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kevans/Desktop/"/>
    </mc:Choice>
  </mc:AlternateContent>
  <xr:revisionPtr revIDLastSave="0" documentId="13_ncr:1_{001366F8-90AD-534A-9F99-1A83881D4DDE}" xr6:coauthVersionLast="47" xr6:coauthVersionMax="47" xr10:uidLastSave="{00000000-0000-0000-0000-000000000000}"/>
  <bookViews>
    <workbookView xWindow="0" yWindow="780" windowWidth="18760" windowHeight="19960" xr2:uid="{C762ECBC-EE1A-4249-820F-B10BC232F997}"/>
  </bookViews>
  <sheets>
    <sheet name="Projections" sheetId="1" r:id="rId1"/>
    <sheet name="Record" sheetId="4" r:id="rId2"/>
    <sheet name="Portfolio" sheetId="5" r:id="rId3"/>
    <sheet name="Rankings" sheetId="2" r:id="rId4"/>
    <sheet name="MMSim" sheetId="3" r:id="rId5"/>
  </sheets>
  <externalReferences>
    <externalReference r:id="rId6"/>
    <externalReference r:id="rId7"/>
    <externalReference r:id="rId8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4" i="1" l="1"/>
  <c r="D14" i="1" s="1"/>
  <c r="C14" i="1"/>
  <c r="E14" i="1"/>
  <c r="F14" i="1"/>
  <c r="G14" i="1"/>
  <c r="H14" i="1"/>
  <c r="K14" i="1" s="1"/>
  <c r="I14" i="1"/>
  <c r="B15" i="1"/>
  <c r="D15" i="1" s="1"/>
  <c r="C15" i="1"/>
  <c r="E15" i="1"/>
  <c r="F15" i="1"/>
  <c r="G15" i="1"/>
  <c r="H15" i="1"/>
  <c r="I15" i="1"/>
  <c r="K15" i="1"/>
  <c r="B16" i="1"/>
  <c r="D16" i="1" s="1"/>
  <c r="C16" i="1"/>
  <c r="E16" i="1"/>
  <c r="F16" i="1"/>
  <c r="G16" i="1"/>
  <c r="H16" i="1"/>
  <c r="I16" i="1"/>
  <c r="K16" i="1"/>
  <c r="B17" i="1"/>
  <c r="C17" i="1"/>
  <c r="D17" i="1"/>
  <c r="E17" i="1"/>
  <c r="F17" i="1"/>
  <c r="G17" i="1"/>
  <c r="H17" i="1"/>
  <c r="I17" i="1"/>
  <c r="K17" i="1"/>
  <c r="B10" i="1" l="1"/>
  <c r="D10" i="1" s="1"/>
  <c r="C10" i="1"/>
  <c r="F10" i="1"/>
  <c r="K10" i="1"/>
  <c r="B11" i="1"/>
  <c r="D11" i="1" s="1"/>
  <c r="C11" i="1"/>
  <c r="F11" i="1"/>
  <c r="B12" i="1"/>
  <c r="D12" i="1" s="1"/>
  <c r="C12" i="1"/>
  <c r="F12" i="1"/>
  <c r="K12" i="1"/>
  <c r="B13" i="1"/>
  <c r="D13" i="1" s="1"/>
  <c r="C13" i="1"/>
  <c r="F13" i="1"/>
  <c r="B3" i="1"/>
  <c r="D3" i="1" s="1"/>
  <c r="C3" i="1"/>
  <c r="F3" i="1"/>
  <c r="K3" i="1"/>
  <c r="B4" i="1"/>
  <c r="D4" i="1" s="1"/>
  <c r="C4" i="1"/>
  <c r="F4" i="1"/>
  <c r="K4" i="1"/>
  <c r="B5" i="1"/>
  <c r="D5" i="1" s="1"/>
  <c r="C5" i="1"/>
  <c r="F5" i="1"/>
  <c r="K5" i="1"/>
  <c r="B6" i="1"/>
  <c r="D6" i="1" s="1"/>
  <c r="C6" i="1"/>
  <c r="F6" i="1"/>
  <c r="K6" i="1"/>
  <c r="B7" i="1"/>
  <c r="D7" i="1" s="1"/>
  <c r="C7" i="1"/>
  <c r="F7" i="1"/>
  <c r="K7" i="1"/>
  <c r="B8" i="1"/>
  <c r="D8" i="1" s="1"/>
  <c r="C8" i="1"/>
  <c r="F8" i="1"/>
  <c r="K8" i="1"/>
  <c r="B9" i="1"/>
  <c r="D9" i="1" s="1"/>
  <c r="C9" i="1"/>
  <c r="F9" i="1"/>
  <c r="K9" i="1"/>
  <c r="C2" i="4"/>
  <c r="O24" i="4"/>
  <c r="L24" i="4"/>
  <c r="F24" i="4"/>
  <c r="B24" i="4"/>
  <c r="O23" i="4"/>
  <c r="L23" i="4"/>
  <c r="F23" i="4"/>
  <c r="B23" i="4"/>
  <c r="O22" i="4"/>
  <c r="L22" i="4"/>
  <c r="F22" i="4"/>
  <c r="G22" i="4" s="1"/>
  <c r="B22" i="4"/>
  <c r="H23" i="4" l="1"/>
  <c r="H22" i="4"/>
  <c r="I22" i="4" s="1"/>
  <c r="H24" i="4"/>
  <c r="I24" i="4"/>
  <c r="I23" i="4"/>
  <c r="G23" i="4"/>
  <c r="G24" i="4" s="1"/>
  <c r="O21" i="4"/>
  <c r="L21" i="4"/>
  <c r="F21" i="4"/>
  <c r="B21" i="4"/>
  <c r="O20" i="4"/>
  <c r="L20" i="4"/>
  <c r="F20" i="4"/>
  <c r="B20" i="4"/>
  <c r="O19" i="4"/>
  <c r="L19" i="4"/>
  <c r="H19" i="4" s="1"/>
  <c r="F19" i="4"/>
  <c r="B19" i="4"/>
  <c r="O18" i="4"/>
  <c r="L18" i="4"/>
  <c r="F18" i="4"/>
  <c r="B18" i="4"/>
  <c r="H21" i="4" l="1"/>
  <c r="H20" i="4"/>
  <c r="H18" i="4"/>
  <c r="I19" i="4" l="1"/>
  <c r="I20" i="4"/>
  <c r="I21" i="4"/>
  <c r="F2" i="4" l="1"/>
  <c r="E2" i="4"/>
  <c r="O17" i="4"/>
  <c r="L17" i="4"/>
  <c r="F17" i="4"/>
  <c r="G17" i="4" s="1"/>
  <c r="G18" i="4" s="1"/>
  <c r="G19" i="4" s="1"/>
  <c r="G20" i="4" s="1"/>
  <c r="G21" i="4" s="1"/>
  <c r="B17" i="4"/>
  <c r="H17" i="4" l="1"/>
  <c r="K3" i="5"/>
  <c r="K4" i="5"/>
  <c r="K5" i="5"/>
  <c r="K6" i="5"/>
  <c r="K7" i="5"/>
  <c r="K8" i="5"/>
  <c r="K9" i="5"/>
  <c r="K10" i="5"/>
  <c r="K11" i="5"/>
  <c r="K12" i="5"/>
  <c r="K2" i="5"/>
  <c r="F6" i="4"/>
  <c r="I17" i="4" l="1"/>
  <c r="I18" i="4"/>
  <c r="O16" i="4" l="1"/>
  <c r="H16" i="4" s="1"/>
  <c r="O15" i="4"/>
  <c r="O14" i="4"/>
  <c r="L16" i="4"/>
  <c r="L15" i="4"/>
  <c r="L14" i="4"/>
  <c r="H15" i="4"/>
  <c r="F14" i="4"/>
  <c r="F15" i="4"/>
  <c r="F16" i="4"/>
  <c r="B8" i="4"/>
  <c r="B9" i="4" s="1"/>
  <c r="B10" i="4" s="1"/>
  <c r="B11" i="4" s="1"/>
  <c r="B12" i="4" s="1"/>
  <c r="B13" i="4" s="1"/>
  <c r="B14" i="4" s="1"/>
  <c r="B15" i="4" s="1"/>
  <c r="B16" i="4" s="1"/>
  <c r="B7" i="4"/>
  <c r="I14" i="4" l="1"/>
  <c r="H14" i="4"/>
  <c r="I15" i="4" s="1"/>
  <c r="O13" i="4"/>
  <c r="H13" i="4" s="1"/>
  <c r="L13" i="4"/>
  <c r="F13" i="4"/>
  <c r="I11" i="4"/>
  <c r="I12" i="4"/>
  <c r="F12" i="4"/>
  <c r="F11" i="4"/>
  <c r="H12" i="4"/>
  <c r="O12" i="4"/>
  <c r="O11" i="4"/>
  <c r="H11" i="4" s="1"/>
  <c r="L12" i="4"/>
  <c r="L11" i="4"/>
  <c r="I16" i="4" l="1"/>
  <c r="I13" i="4"/>
  <c r="D2" i="4"/>
  <c r="O10" i="4"/>
  <c r="L10" i="4"/>
  <c r="F10" i="4"/>
  <c r="F9" i="4"/>
  <c r="H10" i="4" l="1"/>
  <c r="O9" i="4"/>
  <c r="L9" i="4"/>
  <c r="H9" i="4" l="1"/>
  <c r="O8" i="4" l="1"/>
  <c r="L8" i="4"/>
  <c r="H8" i="4" s="1"/>
  <c r="F8" i="4"/>
  <c r="O7" i="4"/>
  <c r="L7" i="4"/>
  <c r="F7" i="4"/>
  <c r="H7" i="4" l="1"/>
  <c r="B2" i="4" l="1"/>
  <c r="A2" i="4"/>
  <c r="O6" i="4" l="1"/>
  <c r="L6" i="4"/>
  <c r="H6" i="4" l="1"/>
  <c r="I9" i="4"/>
  <c r="I8" i="4"/>
  <c r="I10" i="4"/>
  <c r="F2" i="1"/>
  <c r="I7" i="4" l="1"/>
  <c r="I6" i="4"/>
  <c r="G6" i="4"/>
  <c r="C2" i="1"/>
  <c r="B2" i="1"/>
  <c r="D2" i="1" s="1"/>
  <c r="G7" i="4" l="1"/>
  <c r="G8" i="4" s="1"/>
  <c r="G9" i="4" s="1"/>
  <c r="G10" i="4" s="1"/>
  <c r="G11" i="4" s="1"/>
  <c r="G12" i="4" s="1"/>
  <c r="G13" i="4" s="1"/>
  <c r="G14" i="4" s="1"/>
  <c r="G15" i="4" s="1"/>
  <c r="G16" i="4" s="1"/>
  <c r="B235" i="2" l="1"/>
  <c r="B75" i="2"/>
  <c r="B69" i="2"/>
  <c r="B68" i="2"/>
  <c r="B84" i="2"/>
  <c r="B60" i="2"/>
  <c r="B36" i="2"/>
  <c r="B296" i="2"/>
  <c r="B343" i="2"/>
  <c r="B232" i="2"/>
  <c r="B240" i="2"/>
  <c r="B257" i="2"/>
  <c r="B41" i="2"/>
  <c r="B203" i="2"/>
  <c r="B222" i="2"/>
  <c r="B127" i="2"/>
  <c r="B245" i="2"/>
  <c r="B310" i="2"/>
  <c r="B228" i="2"/>
  <c r="B139" i="2"/>
  <c r="B77" i="2"/>
  <c r="B145" i="2"/>
  <c r="B8" i="2"/>
  <c r="B21" i="2"/>
  <c r="B20" i="2"/>
  <c r="B221" i="2"/>
  <c r="B122" i="2"/>
  <c r="B123" i="2"/>
  <c r="B29" i="2"/>
  <c r="B204" i="2"/>
  <c r="B330" i="2"/>
  <c r="B264" i="2"/>
  <c r="B175" i="2"/>
  <c r="B276" i="2"/>
  <c r="B80" i="2"/>
  <c r="B5" i="2"/>
  <c r="B284" i="2"/>
  <c r="B280" i="2"/>
  <c r="B328" i="2"/>
  <c r="B364" i="2"/>
  <c r="B362" i="2"/>
  <c r="B182" i="2"/>
  <c r="B120" i="2"/>
  <c r="B252" i="2"/>
  <c r="B199" i="2"/>
  <c r="B81" i="2"/>
  <c r="B327" i="2"/>
  <c r="B165" i="2"/>
  <c r="B45" i="2"/>
  <c r="B243" i="2"/>
  <c r="B179" i="2"/>
  <c r="B51" i="2"/>
  <c r="B337" i="2"/>
  <c r="B331" i="2"/>
  <c r="B205" i="2"/>
  <c r="B135" i="2"/>
  <c r="B3" i="2"/>
  <c r="B108" i="2"/>
  <c r="B44" i="2"/>
  <c r="B131" i="2"/>
  <c r="B201" i="2"/>
  <c r="B249" i="2"/>
  <c r="B27" i="2"/>
  <c r="B33" i="2"/>
  <c r="B323" i="2"/>
  <c r="B344" i="2"/>
  <c r="B15" i="2"/>
  <c r="B17" i="2"/>
  <c r="B6" i="2"/>
  <c r="B366" i="2"/>
  <c r="B23" i="2"/>
  <c r="B110" i="2"/>
  <c r="B38" i="2"/>
  <c r="B234" i="2"/>
  <c r="B270" i="2"/>
  <c r="B340" i="2"/>
  <c r="B53" i="2"/>
  <c r="B334" i="2"/>
  <c r="B260" i="2"/>
  <c r="B93" i="2"/>
  <c r="B43" i="2"/>
  <c r="B56" i="2"/>
  <c r="B281" i="2"/>
  <c r="B304" i="2"/>
  <c r="B236" i="2"/>
  <c r="B148" i="2"/>
  <c r="B94" i="2"/>
  <c r="B133" i="2"/>
  <c r="B302" i="2"/>
  <c r="B357" i="2"/>
  <c r="B73" i="2"/>
  <c r="B345" i="2"/>
  <c r="B230" i="2"/>
  <c r="B99" i="2"/>
  <c r="B114" i="2"/>
  <c r="B153" i="2"/>
  <c r="B172" i="2"/>
  <c r="B183" i="2"/>
  <c r="B226" i="2"/>
  <c r="B187" i="2"/>
  <c r="B353" i="2"/>
  <c r="B137" i="2"/>
  <c r="B130" i="2"/>
  <c r="B32" i="2"/>
  <c r="B25" i="2"/>
  <c r="B46" i="2"/>
  <c r="B267" i="2"/>
  <c r="B191" i="2"/>
  <c r="B238" i="2"/>
  <c r="B34" i="2"/>
  <c r="B22" i="2"/>
  <c r="B125" i="2"/>
  <c r="B65" i="2"/>
  <c r="B111" i="2"/>
  <c r="B141" i="2"/>
  <c r="B144" i="2"/>
  <c r="B9" i="2"/>
  <c r="B292" i="2"/>
  <c r="B223" i="2"/>
  <c r="B189" i="2"/>
  <c r="B121" i="2"/>
  <c r="B316" i="2"/>
  <c r="B295" i="2"/>
  <c r="B91" i="2"/>
  <c r="B162" i="2"/>
  <c r="B246" i="2"/>
  <c r="B365" i="2"/>
  <c r="B101" i="2"/>
  <c r="B136" i="2"/>
  <c r="B58" i="2"/>
  <c r="B40" i="2"/>
  <c r="B193" i="2"/>
  <c r="B268" i="2"/>
  <c r="B349" i="2"/>
  <c r="B256" i="2"/>
  <c r="B169" i="2"/>
  <c r="B62" i="2"/>
  <c r="B301" i="2"/>
  <c r="B107" i="2"/>
  <c r="B195" i="2"/>
  <c r="B291" i="2"/>
  <c r="B156" i="2"/>
  <c r="B272" i="2"/>
  <c r="B4" i="2"/>
  <c r="B200" i="2"/>
  <c r="B105" i="2"/>
  <c r="B61" i="2"/>
  <c r="B208" i="2"/>
  <c r="B149" i="2"/>
  <c r="B356" i="2"/>
  <c r="B50" i="2"/>
  <c r="B177" i="2"/>
  <c r="B178" i="2"/>
  <c r="B350" i="2"/>
  <c r="B134" i="2"/>
  <c r="B314" i="2"/>
  <c r="B242" i="2"/>
  <c r="B355" i="2"/>
  <c r="B171" i="2"/>
  <c r="B258" i="2"/>
  <c r="B37" i="2"/>
  <c r="B146" i="2"/>
  <c r="B287" i="2"/>
  <c r="B279" i="2"/>
  <c r="B64" i="2"/>
  <c r="B128" i="2"/>
  <c r="B313" i="2"/>
  <c r="B283" i="2"/>
  <c r="B67" i="2"/>
  <c r="B354" i="2"/>
  <c r="B213" i="2"/>
  <c r="B251" i="2"/>
  <c r="B216" i="2"/>
  <c r="B202" i="2"/>
  <c r="B253" i="2"/>
  <c r="B227" i="2"/>
  <c r="B63" i="2"/>
  <c r="B224" i="2"/>
  <c r="B282" i="2"/>
  <c r="B352" i="2"/>
  <c r="B168" i="2"/>
  <c r="B159" i="2"/>
  <c r="B229" i="2"/>
  <c r="B317" i="2"/>
  <c r="B152" i="2"/>
  <c r="B14" i="2"/>
  <c r="B342" i="2"/>
  <c r="B59" i="2"/>
  <c r="B190" i="2"/>
  <c r="B143" i="2"/>
  <c r="B55" i="2"/>
  <c r="B16" i="2"/>
  <c r="B180" i="2"/>
  <c r="B312" i="2"/>
  <c r="B71" i="2"/>
  <c r="B160" i="2"/>
  <c r="B289" i="2"/>
  <c r="B11" i="2"/>
  <c r="B266" i="2"/>
  <c r="B12" i="2"/>
  <c r="B265" i="2"/>
  <c r="B52" i="2"/>
  <c r="B214" i="2"/>
  <c r="B161" i="2"/>
  <c r="B113" i="2"/>
  <c r="B363" i="2"/>
  <c r="B261" i="2"/>
  <c r="B86" i="2"/>
  <c r="B359" i="2"/>
  <c r="B297" i="2"/>
  <c r="B90" i="2"/>
  <c r="B333" i="2"/>
  <c r="B83" i="2"/>
  <c r="B326" i="2"/>
  <c r="B106" i="2"/>
  <c r="B322" i="2"/>
  <c r="B118" i="2"/>
  <c r="B307" i="2"/>
  <c r="B250" i="2"/>
  <c r="B82" i="2"/>
  <c r="B320" i="2"/>
  <c r="B275" i="2"/>
  <c r="B42" i="2"/>
  <c r="B319" i="2"/>
  <c r="B116" i="2"/>
  <c r="B299" i="2" l="1"/>
  <c r="B290" i="2"/>
  <c r="B358" i="2"/>
  <c r="B218" i="2"/>
  <c r="B335" i="2"/>
  <c r="B95" i="2"/>
  <c r="B188" i="2"/>
  <c r="B278" i="2"/>
  <c r="B239" i="2"/>
  <c r="B324" i="2"/>
  <c r="B233" i="2"/>
  <c r="B79" i="2"/>
  <c r="B209" i="2"/>
  <c r="B220" i="2"/>
  <c r="B102" i="2"/>
  <c r="B263" i="2"/>
  <c r="B39" i="2"/>
  <c r="B341" i="2"/>
  <c r="B329" i="2"/>
  <c r="B248" i="2"/>
  <c r="B157" i="2"/>
  <c r="B217" i="2"/>
  <c r="B13" i="2"/>
  <c r="B244" i="2"/>
  <c r="B112" i="2"/>
  <c r="B170" i="2"/>
  <c r="B47" i="2"/>
  <c r="B104" i="2"/>
  <c r="B19" i="2"/>
  <c r="B150" i="2"/>
  <c r="B198" i="2"/>
  <c r="B138" i="2"/>
  <c r="B158" i="2"/>
  <c r="B100" i="2"/>
  <c r="B347" i="2"/>
  <c r="B98" i="2"/>
  <c r="B10" i="2"/>
  <c r="B225" i="2"/>
  <c r="B18" i="2"/>
  <c r="B87" i="2"/>
  <c r="B28" i="2"/>
  <c r="B142" i="2"/>
  <c r="B254" i="2"/>
  <c r="B24" i="2"/>
  <c r="B211" i="2"/>
  <c r="B26" i="2"/>
  <c r="B140" i="2"/>
  <c r="B346" i="2"/>
  <c r="B361" i="2"/>
  <c r="B294" i="2"/>
  <c r="B300" i="2"/>
  <c r="B72" i="2"/>
  <c r="B166" i="2"/>
  <c r="B49" i="2"/>
  <c r="B92" i="2"/>
  <c r="B273" i="2"/>
  <c r="B167" i="2"/>
  <c r="B89" i="2"/>
  <c r="B321" i="2"/>
  <c r="B277" i="2"/>
  <c r="B274" i="2"/>
  <c r="B285" i="2"/>
  <c r="B155" i="2"/>
  <c r="B237" i="2"/>
  <c r="B151" i="2"/>
  <c r="B74" i="2"/>
  <c r="B70" i="2"/>
  <c r="B207" i="2"/>
  <c r="B48" i="2"/>
  <c r="B206" i="2"/>
  <c r="B196" i="2"/>
  <c r="B173" i="2"/>
  <c r="B174" i="2"/>
  <c r="B66" i="2"/>
  <c r="B259" i="2"/>
  <c r="B318" i="2"/>
  <c r="B305" i="2"/>
  <c r="B262" i="2"/>
  <c r="B309" i="2"/>
  <c r="B181" i="2"/>
  <c r="B212" i="2"/>
  <c r="B184" i="2"/>
  <c r="B154" i="2"/>
  <c r="B303" i="2"/>
  <c r="B126" i="2"/>
  <c r="B103" i="2"/>
  <c r="B115" i="2"/>
  <c r="B35" i="2"/>
  <c r="B194" i="2"/>
  <c r="B348" i="2"/>
  <c r="B308" i="2"/>
  <c r="B332" i="2"/>
  <c r="B109" i="2"/>
  <c r="B315" i="2"/>
  <c r="B164" i="2"/>
  <c r="B124" i="2"/>
  <c r="B210" i="2"/>
  <c r="B298" i="2"/>
  <c r="B163" i="2"/>
  <c r="B57" i="2"/>
  <c r="B219" i="2"/>
  <c r="B269" i="2"/>
  <c r="B197" i="2"/>
  <c r="B7" i="2"/>
  <c r="B311" i="2"/>
  <c r="B215" i="2"/>
  <c r="B293" i="2"/>
  <c r="B54" i="2"/>
  <c r="B351" i="2"/>
  <c r="B30" i="2"/>
  <c r="B306" i="2"/>
  <c r="B186" i="2"/>
  <c r="B247" i="2"/>
  <c r="B255" i="2"/>
  <c r="B117" i="2"/>
  <c r="B192" i="2"/>
  <c r="B129" i="2"/>
  <c r="B96" i="2"/>
  <c r="B338" i="2"/>
  <c r="B85" i="2"/>
  <c r="B78" i="2"/>
  <c r="B271" i="2"/>
  <c r="B132" i="2"/>
  <c r="B31" i="2"/>
  <c r="B176" i="2"/>
  <c r="B336" i="2"/>
  <c r="B286" i="2"/>
  <c r="B325" i="2"/>
  <c r="B241" i="2"/>
  <c r="B339" i="2"/>
  <c r="B147" i="2"/>
  <c r="B185" i="2"/>
  <c r="B119" i="2"/>
  <c r="B231" i="2"/>
  <c r="B360" i="2"/>
  <c r="B88" i="2"/>
  <c r="B97" i="2"/>
  <c r="B76" i="2"/>
  <c r="B288" i="2"/>
  <c r="B2" i="2"/>
  <c r="C41" i="2" l="1"/>
  <c r="C359" i="2"/>
  <c r="C271" i="2"/>
  <c r="C173" i="2"/>
  <c r="C158" i="2"/>
  <c r="C73" i="2"/>
  <c r="C7" i="2"/>
  <c r="C37" i="2"/>
  <c r="C218" i="2"/>
  <c r="C240" i="2"/>
  <c r="C124" i="2"/>
  <c r="C237" i="2"/>
  <c r="C288" i="2"/>
  <c r="C203" i="2"/>
  <c r="C194" i="2"/>
  <c r="C246" i="2"/>
  <c r="C325" i="2"/>
  <c r="C330" i="2"/>
  <c r="C51" i="2"/>
  <c r="C84" i="2"/>
  <c r="C201" i="2"/>
  <c r="C125" i="2"/>
  <c r="C93" i="2"/>
  <c r="C277" i="2"/>
  <c r="C17" i="2"/>
  <c r="C91" i="2"/>
  <c r="C66" i="2"/>
  <c r="C273" i="2"/>
  <c r="C226" i="2"/>
  <c r="C88" i="2"/>
  <c r="C186" i="2"/>
  <c r="C35" i="2"/>
  <c r="C181" i="2"/>
  <c r="C39" i="2"/>
  <c r="C55" i="2"/>
  <c r="C105" i="2"/>
  <c r="C336" i="2"/>
  <c r="C14" i="2"/>
  <c r="C130" i="2"/>
  <c r="C363" i="2"/>
  <c r="C134" i="2"/>
  <c r="C151" i="2"/>
  <c r="C140" i="2"/>
  <c r="C349" i="2"/>
  <c r="C176" i="2"/>
  <c r="C75" i="2"/>
  <c r="C121" i="2"/>
  <c r="C138" i="2"/>
  <c r="C142" i="2"/>
  <c r="C321" i="2"/>
  <c r="C357" i="2"/>
  <c r="C262" i="2"/>
  <c r="C348" i="2"/>
  <c r="C59" i="2"/>
  <c r="C327" i="2"/>
  <c r="C85" i="2"/>
  <c r="C9" i="2"/>
  <c r="C95" i="2"/>
  <c r="C175" i="2"/>
  <c r="C65" i="2"/>
  <c r="C49" i="2"/>
  <c r="C301" i="2"/>
  <c r="C228" i="2"/>
  <c r="C3" i="2"/>
  <c r="C309" i="2"/>
  <c r="C293" i="2"/>
  <c r="C320" i="2"/>
  <c r="C286" i="2"/>
  <c r="C291" i="2"/>
  <c r="C139" i="2"/>
  <c r="C177" i="2"/>
  <c r="C110" i="2"/>
  <c r="C287" i="2"/>
  <c r="C23" i="2"/>
  <c r="C279" i="2"/>
  <c r="C165" i="2"/>
  <c r="C303" i="2"/>
  <c r="C315" i="2"/>
  <c r="C169" i="2"/>
  <c r="C255" i="2"/>
  <c r="C313" i="2"/>
  <c r="C5" i="2"/>
  <c r="C143" i="2"/>
  <c r="C230" i="2"/>
  <c r="C209" i="2"/>
  <c r="C118" i="2"/>
  <c r="C322" i="2"/>
  <c r="C30" i="2"/>
  <c r="C78" i="2"/>
  <c r="C216" i="2"/>
  <c r="C316" i="2"/>
  <c r="C280" i="2"/>
  <c r="C232" i="2"/>
  <c r="C224" i="2"/>
  <c r="C152" i="2"/>
  <c r="C220" i="2"/>
  <c r="C302" i="2"/>
  <c r="C47" i="2"/>
  <c r="C307" i="2"/>
  <c r="C183" i="2"/>
  <c r="C18" i="2"/>
  <c r="C334" i="2"/>
  <c r="C157" i="2"/>
  <c r="C45" i="2"/>
  <c r="C269" i="2"/>
  <c r="C103" i="2"/>
  <c r="C99" i="2"/>
  <c r="C258" i="2"/>
  <c r="C206" i="2"/>
  <c r="C26" i="2"/>
  <c r="C111" i="2"/>
  <c r="C109" i="2"/>
  <c r="C212" i="2"/>
  <c r="C257" i="2"/>
  <c r="C227" i="2"/>
  <c r="C10" i="2"/>
  <c r="C161" i="2"/>
  <c r="C332" i="2"/>
  <c r="C119" i="2"/>
  <c r="C6" i="2"/>
  <c r="C57" i="2"/>
  <c r="C308" i="2"/>
  <c r="C58" i="2"/>
  <c r="C70" i="2"/>
  <c r="C312" i="2"/>
  <c r="C300" i="2"/>
  <c r="C314" i="2"/>
  <c r="C98" i="2"/>
  <c r="C244" i="2"/>
  <c r="C214" i="2"/>
  <c r="C24" i="2"/>
  <c r="C96" i="2"/>
  <c r="C83" i="2"/>
  <c r="C164" i="2"/>
  <c r="C40" i="2"/>
  <c r="C254" i="2"/>
  <c r="C198" i="2"/>
  <c r="C129" i="2"/>
  <c r="C32" i="2"/>
  <c r="C253" i="2"/>
  <c r="C207" i="2"/>
  <c r="C356" i="2"/>
  <c r="C82" i="2"/>
  <c r="C54" i="2"/>
  <c r="C106" i="2"/>
  <c r="C185" i="2"/>
  <c r="C156" i="2"/>
  <c r="C146" i="2"/>
  <c r="C260" i="2"/>
  <c r="C326" i="2"/>
  <c r="C77" i="2"/>
  <c r="C184" i="2"/>
  <c r="C366" i="2"/>
  <c r="C50" i="2"/>
  <c r="C361" i="2"/>
  <c r="C155" i="2"/>
  <c r="C44" i="2"/>
  <c r="C205" i="2"/>
  <c r="C245" i="2"/>
  <c r="C231" i="2"/>
  <c r="C76" i="2"/>
  <c r="C328" i="2"/>
  <c r="C126" i="2"/>
  <c r="C20" i="2"/>
  <c r="C289" i="2"/>
  <c r="C219" i="2"/>
  <c r="C97" i="2"/>
  <c r="C351" i="2"/>
  <c r="C114" i="2"/>
  <c r="C92" i="2"/>
  <c r="C112" i="2"/>
  <c r="C31" i="2"/>
  <c r="C22" i="2"/>
  <c r="C204" i="2"/>
  <c r="C178" i="2"/>
  <c r="C192" i="2"/>
  <c r="C148" i="2"/>
  <c r="C292" i="2"/>
  <c r="C364" i="2"/>
  <c r="C12" i="2"/>
  <c r="C43" i="2"/>
  <c r="C235" i="2"/>
  <c r="C33" i="2"/>
  <c r="C52" i="2"/>
  <c r="C323" i="2"/>
  <c r="C248" i="2"/>
  <c r="C81" i="2"/>
  <c r="C68" i="2"/>
  <c r="C21" i="2"/>
  <c r="C135" i="2"/>
  <c r="C132" i="2"/>
  <c r="C61" i="2"/>
  <c r="C266" i="2"/>
  <c r="C117" i="2"/>
  <c r="C270" i="2"/>
  <c r="C311" i="2"/>
  <c r="C283" i="2"/>
  <c r="C275" i="2"/>
  <c r="C210" i="2"/>
  <c r="C222" i="2"/>
  <c r="C120" i="2"/>
  <c r="C94" i="2"/>
  <c r="C62" i="2"/>
  <c r="C174" i="2"/>
  <c r="C48" i="2"/>
  <c r="C74" i="2"/>
  <c r="C223" i="2"/>
  <c r="C159" i="2"/>
  <c r="C274" i="2"/>
  <c r="C8" i="2"/>
  <c r="C294" i="2"/>
  <c r="C172" i="2"/>
  <c r="C4" i="2"/>
  <c r="C71" i="2"/>
  <c r="C211" i="2"/>
  <c r="C225" i="2"/>
  <c r="C331" i="2"/>
  <c r="C191" i="2"/>
  <c r="C69" i="2"/>
  <c r="C170" i="2"/>
  <c r="C243" i="2"/>
  <c r="C341" i="2"/>
  <c r="C195" i="2"/>
  <c r="C190" i="2"/>
  <c r="C285" i="2"/>
  <c r="C239" i="2"/>
  <c r="C182" i="2"/>
  <c r="C236" i="2"/>
  <c r="C101" i="2"/>
  <c r="C352" i="2"/>
  <c r="C319" i="2"/>
  <c r="C60" i="2"/>
  <c r="C238" i="2"/>
  <c r="C360" i="2"/>
  <c r="C202" i="2"/>
  <c r="C179" i="2"/>
  <c r="C305" i="2"/>
  <c r="C317" i="2"/>
  <c r="C340" i="2"/>
  <c r="C116" i="2"/>
  <c r="C343" i="2"/>
  <c r="C107" i="2"/>
  <c r="C150" i="2"/>
  <c r="C276" i="2"/>
  <c r="C38" i="2"/>
  <c r="C141" i="2"/>
  <c r="C64" i="2"/>
  <c r="C250" i="2"/>
  <c r="C233" i="2"/>
  <c r="C221" i="2"/>
  <c r="C131" i="2"/>
  <c r="C358" i="2"/>
  <c r="C299" i="2"/>
  <c r="C113" i="2"/>
  <c r="C268" i="2"/>
  <c r="C29" i="2"/>
  <c r="C344" i="2"/>
  <c r="C355" i="2"/>
  <c r="C90" i="2"/>
  <c r="C79" i="2"/>
  <c r="C278" i="2"/>
  <c r="C335" i="2"/>
  <c r="C187" i="2"/>
  <c r="C290" i="2"/>
  <c r="C11" i="2"/>
  <c r="C147" i="2"/>
  <c r="C295" i="2"/>
  <c r="C338" i="2"/>
  <c r="C215" i="2"/>
  <c r="C16" i="2"/>
  <c r="C122" i="2"/>
  <c r="C46" i="2"/>
  <c r="C337" i="2"/>
  <c r="C272" i="2"/>
  <c r="C166" i="2"/>
  <c r="C354" i="2"/>
  <c r="C347" i="2"/>
  <c r="C339" i="2"/>
  <c r="C168" i="2"/>
  <c r="C353" i="2"/>
  <c r="C163" i="2"/>
  <c r="C154" i="2"/>
  <c r="C196" i="2"/>
  <c r="C137" i="2"/>
  <c r="C167" i="2"/>
  <c r="C56" i="2"/>
  <c r="C63" i="2"/>
  <c r="C53" i="2"/>
  <c r="C28" i="2"/>
  <c r="C133" i="2"/>
  <c r="C200" i="2"/>
  <c r="C19" i="2"/>
  <c r="C13" i="2"/>
  <c r="C329" i="2"/>
  <c r="C263" i="2"/>
  <c r="C251" i="2"/>
  <c r="C265" i="2"/>
  <c r="C36" i="2"/>
  <c r="C188" i="2"/>
  <c r="C15" i="2"/>
  <c r="C34" i="2"/>
  <c r="C171" i="2"/>
  <c r="C333" i="2"/>
  <c r="C208" i="2"/>
  <c r="C247" i="2"/>
  <c r="C197" i="2"/>
  <c r="C180" i="2"/>
  <c r="C145" i="2"/>
  <c r="C153" i="2"/>
  <c r="C89" i="2"/>
  <c r="C189" i="2"/>
  <c r="C281" i="2"/>
  <c r="C136" i="2"/>
  <c r="C350" i="2"/>
  <c r="C86" i="2"/>
  <c r="C264" i="2"/>
  <c r="C115" i="2"/>
  <c r="C318" i="2"/>
  <c r="C108" i="2"/>
  <c r="C149" i="2"/>
  <c r="C160" i="2"/>
  <c r="C72" i="2"/>
  <c r="C365" i="2"/>
  <c r="C362" i="2"/>
  <c r="C2" i="2"/>
  <c r="C310" i="2"/>
  <c r="C241" i="2"/>
  <c r="C256" i="2"/>
  <c r="C342" i="2"/>
  <c r="C67" i="2"/>
  <c r="C306" i="2"/>
  <c r="C249" i="2"/>
  <c r="C25" i="2"/>
  <c r="C261" i="2"/>
  <c r="C42" i="2"/>
  <c r="C296" i="2"/>
  <c r="C284" i="2"/>
  <c r="C162" i="2"/>
  <c r="C259" i="2"/>
  <c r="C123" i="2"/>
  <c r="C27" i="2"/>
  <c r="C267" i="2"/>
  <c r="C298" i="2"/>
  <c r="C297" i="2"/>
  <c r="C127" i="2"/>
  <c r="C252" i="2"/>
  <c r="C346" i="2"/>
  <c r="C193" i="2"/>
  <c r="C229" i="2"/>
  <c r="C100" i="2"/>
  <c r="C87" i="2"/>
  <c r="C199" i="2"/>
  <c r="C345" i="2"/>
  <c r="C242" i="2"/>
  <c r="C104" i="2"/>
  <c r="C217" i="2"/>
  <c r="C304" i="2"/>
  <c r="C102" i="2"/>
  <c r="C282" i="2"/>
  <c r="C213" i="2"/>
  <c r="C324" i="2"/>
  <c r="C80" i="2"/>
  <c r="C234" i="2"/>
  <c r="C144" i="2"/>
  <c r="C128" i="2"/>
  <c r="E3" i="1" l="1"/>
  <c r="E4" i="1"/>
  <c r="E5" i="1"/>
  <c r="E6" i="1"/>
  <c r="E7" i="1"/>
  <c r="E8" i="1"/>
  <c r="E9" i="1"/>
  <c r="E10" i="1"/>
  <c r="E12" i="1"/>
  <c r="E13" i="1"/>
  <c r="E11" i="1"/>
  <c r="E2" i="1"/>
  <c r="H3" i="1" l="1"/>
  <c r="I3" i="1"/>
  <c r="G3" i="1"/>
  <c r="H4" i="1"/>
  <c r="I4" i="1"/>
  <c r="G4" i="1"/>
  <c r="H5" i="1"/>
  <c r="I5" i="1"/>
  <c r="G5" i="1"/>
  <c r="H6" i="1"/>
  <c r="I6" i="1"/>
  <c r="G6" i="1"/>
  <c r="H7" i="1"/>
  <c r="I7" i="1"/>
  <c r="G7" i="1"/>
  <c r="H8" i="1"/>
  <c r="I8" i="1"/>
  <c r="G8" i="1"/>
  <c r="H9" i="1"/>
  <c r="I9" i="1"/>
  <c r="G9" i="1"/>
  <c r="H10" i="1"/>
  <c r="I10" i="1"/>
  <c r="G10" i="1"/>
  <c r="H12" i="1"/>
  <c r="I12" i="1"/>
  <c r="G12" i="1"/>
  <c r="H13" i="1"/>
  <c r="K13" i="1" s="1"/>
  <c r="I13" i="1"/>
  <c r="G13" i="1"/>
  <c r="H11" i="1"/>
  <c r="K11" i="1" s="1"/>
  <c r="I11" i="1"/>
  <c r="G11" i="1"/>
  <c r="G2" i="1"/>
  <c r="I2" i="1"/>
  <c r="H2" i="1"/>
  <c r="K2" i="1" s="1"/>
</calcChain>
</file>

<file path=xl/sharedStrings.xml><?xml version="1.0" encoding="utf-8"?>
<sst xmlns="http://schemas.openxmlformats.org/spreadsheetml/2006/main" count="701" uniqueCount="462">
  <si>
    <t>Team</t>
  </si>
  <si>
    <t>Duke</t>
  </si>
  <si>
    <t>Arizona</t>
  </si>
  <si>
    <t>Michigan</t>
  </si>
  <si>
    <t>Florida</t>
  </si>
  <si>
    <t>Gonzaga</t>
  </si>
  <si>
    <t>Houston</t>
  </si>
  <si>
    <t>Purdue</t>
  </si>
  <si>
    <t>Arkansas</t>
  </si>
  <si>
    <t>Michigan State</t>
  </si>
  <si>
    <t>Tennessee</t>
  </si>
  <si>
    <t>Texas Tech</t>
  </si>
  <si>
    <t>Alabama</t>
  </si>
  <si>
    <t>Illinois</t>
  </si>
  <si>
    <t>Iowa State</t>
  </si>
  <si>
    <t>Vanderbilt</t>
  </si>
  <si>
    <t>UConn</t>
  </si>
  <si>
    <t>Kentucky</t>
  </si>
  <si>
    <t>Louisville</t>
  </si>
  <si>
    <t>Auburn</t>
  </si>
  <si>
    <t>Kansas</t>
  </si>
  <si>
    <t>Utah State</t>
  </si>
  <si>
    <t>BYU</t>
  </si>
  <si>
    <t>UCLA</t>
  </si>
  <si>
    <t>Nebraska</t>
  </si>
  <si>
    <t>Texas</t>
  </si>
  <si>
    <t>Wisconsin</t>
  </si>
  <si>
    <t>Santa Clara</t>
  </si>
  <si>
    <t>Iowa</t>
  </si>
  <si>
    <t>Georgia</t>
  </si>
  <si>
    <t>St. John's</t>
  </si>
  <si>
    <t>Saint Mary's</t>
  </si>
  <si>
    <t>San Diego State</t>
  </si>
  <si>
    <t>Ohio State</t>
  </si>
  <si>
    <t>SMU</t>
  </si>
  <si>
    <t>North Carolina</t>
  </si>
  <si>
    <t>Baylor</t>
  </si>
  <si>
    <t>Texas A&amp;M</t>
  </si>
  <si>
    <t>Saint Louis</t>
  </si>
  <si>
    <t>Indiana</t>
  </si>
  <si>
    <t>Virginia</t>
  </si>
  <si>
    <t>Cincinnati</t>
  </si>
  <si>
    <t>NC State</t>
  </si>
  <si>
    <t>UCF</t>
  </si>
  <si>
    <t>Villanova</t>
  </si>
  <si>
    <t>New Mexico</t>
  </si>
  <si>
    <t>TCU</t>
  </si>
  <si>
    <t>Oklahoma</t>
  </si>
  <si>
    <t>Washington</t>
  </si>
  <si>
    <t>LSU</t>
  </si>
  <si>
    <t>Missouri</t>
  </si>
  <si>
    <t>Arizona State</t>
  </si>
  <si>
    <t>Boise State</t>
  </si>
  <si>
    <t>Miami</t>
  </si>
  <si>
    <t>Stanford</t>
  </si>
  <si>
    <t>South Florida</t>
  </si>
  <si>
    <t>Clemson</t>
  </si>
  <si>
    <t>Wake Forest</t>
  </si>
  <si>
    <t>Akron</t>
  </si>
  <si>
    <t>Oklahoma State</t>
  </si>
  <si>
    <t>High Point</t>
  </si>
  <si>
    <t>Southern California</t>
  </si>
  <si>
    <t>Northwestern</t>
  </si>
  <si>
    <t>VCU</t>
  </si>
  <si>
    <t>Nevada</t>
  </si>
  <si>
    <t>Colorado</t>
  </si>
  <si>
    <t>California</t>
  </si>
  <si>
    <t>Sam Houston</t>
  </si>
  <si>
    <t>Belmont</t>
  </si>
  <si>
    <t>Seton Hall</t>
  </si>
  <si>
    <t>Oregon</t>
  </si>
  <si>
    <t>Ole Miss</t>
  </si>
  <si>
    <t>Grand Canyon</t>
  </si>
  <si>
    <t>West Virginia</t>
  </si>
  <si>
    <t>George Washington</t>
  </si>
  <si>
    <t>Kansas State</t>
  </si>
  <si>
    <t>Colorado State</t>
  </si>
  <si>
    <t>Northern Iowa</t>
  </si>
  <si>
    <t>Miami (OH)</t>
  </si>
  <si>
    <t>Notre Dame</t>
  </si>
  <si>
    <t>Virginia Tech</t>
  </si>
  <si>
    <t>UNLV</t>
  </si>
  <si>
    <t>Florida State</t>
  </si>
  <si>
    <t>Utah Valley</t>
  </si>
  <si>
    <t>Minnesota</t>
  </si>
  <si>
    <t>Middle Tennessee</t>
  </si>
  <si>
    <t>Wichita State</t>
  </si>
  <si>
    <t>Butler</t>
  </si>
  <si>
    <t>Providence</t>
  </si>
  <si>
    <t>McNeese</t>
  </si>
  <si>
    <t>Utah</t>
  </si>
  <si>
    <t>Yale</t>
  </si>
  <si>
    <t>Kennesaw State</t>
  </si>
  <si>
    <t>Creighton</t>
  </si>
  <si>
    <t>Dayton</t>
  </si>
  <si>
    <t>Western Kentucky</t>
  </si>
  <si>
    <t>Liberty</t>
  </si>
  <si>
    <t>Xavier</t>
  </si>
  <si>
    <t>Seattle</t>
  </si>
  <si>
    <t>Mississippi State</t>
  </si>
  <si>
    <t>Illinois State</t>
  </si>
  <si>
    <t>South Carolina</t>
  </si>
  <si>
    <t>Syracuse</t>
  </si>
  <si>
    <t>Murray State</t>
  </si>
  <si>
    <t>Washington State</t>
  </si>
  <si>
    <t>Davidson</t>
  </si>
  <si>
    <t>Bradley</t>
  </si>
  <si>
    <t>Tulsa</t>
  </si>
  <si>
    <t>Memphis</t>
  </si>
  <si>
    <t>Montana State</t>
  </si>
  <si>
    <t>Winthrop</t>
  </si>
  <si>
    <t>UT Rio Grande Valley</t>
  </si>
  <si>
    <t>Bowling Green</t>
  </si>
  <si>
    <t>New Mexico State</t>
  </si>
  <si>
    <t>San Francisco</t>
  </si>
  <si>
    <t>Marquette</t>
  </si>
  <si>
    <t>UC Irvine</t>
  </si>
  <si>
    <t>Duquesne</t>
  </si>
  <si>
    <t>Pittsburgh</t>
  </si>
  <si>
    <t>DePaul</t>
  </si>
  <si>
    <t>Jacksonville State</t>
  </si>
  <si>
    <t>Southern Illinois</t>
  </si>
  <si>
    <t>Florida Atlantic</t>
  </si>
  <si>
    <t>Georgetown</t>
  </si>
  <si>
    <t>Maryland</t>
  </si>
  <si>
    <t>UIC</t>
  </si>
  <si>
    <t>Kent State</t>
  </si>
  <si>
    <t>Fresno State</t>
  </si>
  <si>
    <t>Stephen F. Austin</t>
  </si>
  <si>
    <t>Wyoming</t>
  </si>
  <si>
    <t>Pacific</t>
  </si>
  <si>
    <t>Penn State</t>
  </si>
  <si>
    <t>California Baptist</t>
  </si>
  <si>
    <t>Portland State</t>
  </si>
  <si>
    <t>Northern Colorado</t>
  </si>
  <si>
    <t>St. Thomas - Minnesota</t>
  </si>
  <si>
    <t>St. Bonaventure</t>
  </si>
  <si>
    <t>Toledo</t>
  </si>
  <si>
    <t>North Dakota State</t>
  </si>
  <si>
    <t>Idaho</t>
  </si>
  <si>
    <t>UNC Wilmington</t>
  </si>
  <si>
    <t>North Texas</t>
  </si>
  <si>
    <t>Florida International</t>
  </si>
  <si>
    <t>George Mason</t>
  </si>
  <si>
    <t>Missouri State</t>
  </si>
  <si>
    <t>Abilene Christian</t>
  </si>
  <si>
    <t>UT Arlington</t>
  </si>
  <si>
    <t>Loyola Marymount</t>
  </si>
  <si>
    <t>Tarleton</t>
  </si>
  <si>
    <t>Richmond</t>
  </si>
  <si>
    <t>East Tennessee State</t>
  </si>
  <si>
    <t>UC Santa Barbara</t>
  </si>
  <si>
    <t>Cornell</t>
  </si>
  <si>
    <t>Rutgers</t>
  </si>
  <si>
    <t>Hawaii</t>
  </si>
  <si>
    <t>William &amp; Mary</t>
  </si>
  <si>
    <t>UC San Diego</t>
  </si>
  <si>
    <t>Weber State</t>
  </si>
  <si>
    <t>Texas A&amp;M-CC</t>
  </si>
  <si>
    <t>Rhode Island</t>
  </si>
  <si>
    <t>Wright State</t>
  </si>
  <si>
    <t>Montana</t>
  </si>
  <si>
    <t>UAB</t>
  </si>
  <si>
    <t>Mercer</t>
  </si>
  <si>
    <t>UMass</t>
  </si>
  <si>
    <t>San Diego</t>
  </si>
  <si>
    <t>Oregon State</t>
  </si>
  <si>
    <t>Louisiana Tech</t>
  </si>
  <si>
    <t>Eastern Washington</t>
  </si>
  <si>
    <t>Utah Tech</t>
  </si>
  <si>
    <t>Columbia</t>
  </si>
  <si>
    <t>Drake</t>
  </si>
  <si>
    <t>Portland</t>
  </si>
  <si>
    <t>CSU Fullerton</t>
  </si>
  <si>
    <t>Austin Peay</t>
  </si>
  <si>
    <t>UTEP</t>
  </si>
  <si>
    <t>Idaho State</t>
  </si>
  <si>
    <t>Northern Kentucky</t>
  </si>
  <si>
    <t>San Jose State</t>
  </si>
  <si>
    <t>Troy</t>
  </si>
  <si>
    <t>Campbell</t>
  </si>
  <si>
    <t>Oakland</t>
  </si>
  <si>
    <t>Hofstra</t>
  </si>
  <si>
    <t>CSU Northridge</t>
  </si>
  <si>
    <t>Robert Morris</t>
  </si>
  <si>
    <t>Valparaiso</t>
  </si>
  <si>
    <t>Tennessee State</t>
  </si>
  <si>
    <t>Arkansas State</t>
  </si>
  <si>
    <t>Temple</t>
  </si>
  <si>
    <t>Western Carolina</t>
  </si>
  <si>
    <t>UC Davis</t>
  </si>
  <si>
    <t>South Dakota State</t>
  </si>
  <si>
    <t>Boston College</t>
  </si>
  <si>
    <t>Fordham</t>
  </si>
  <si>
    <t>Ohio</t>
  </si>
  <si>
    <t>Sacramento State</t>
  </si>
  <si>
    <t>St. Joseph's</t>
  </si>
  <si>
    <t>Central Arkansas</t>
  </si>
  <si>
    <t>Lamar</t>
  </si>
  <si>
    <t>Radford</t>
  </si>
  <si>
    <t>Incarnate Word</t>
  </si>
  <si>
    <t>Southern Utah</t>
  </si>
  <si>
    <t>Rice</t>
  </si>
  <si>
    <t>Youngstown State</t>
  </si>
  <si>
    <t>Lipscomb</t>
  </si>
  <si>
    <t>Southeast Missouri State</t>
  </si>
  <si>
    <t>Furman</t>
  </si>
  <si>
    <t>Charlotte</t>
  </si>
  <si>
    <t>Charleston</t>
  </si>
  <si>
    <t>Marshall</t>
  </si>
  <si>
    <t>Pepperdine</t>
  </si>
  <si>
    <t>Buffalo</t>
  </si>
  <si>
    <t>Samford</t>
  </si>
  <si>
    <t>Indiana State</t>
  </si>
  <si>
    <t>Nicholls</t>
  </si>
  <si>
    <t>New Orleans</t>
  </si>
  <si>
    <t>Northern Arizona</t>
  </si>
  <si>
    <t>UNC Asheville</t>
  </si>
  <si>
    <t>Denver</t>
  </si>
  <si>
    <t>Detroit</t>
  </si>
  <si>
    <t>Cal Poly</t>
  </si>
  <si>
    <t>Pennsylvania</t>
  </si>
  <si>
    <t>Purdue Fort Wayne</t>
  </si>
  <si>
    <t>Elon</t>
  </si>
  <si>
    <t>Georgia Tech</t>
  </si>
  <si>
    <t>UT Martin</t>
  </si>
  <si>
    <t>La Salle</t>
  </si>
  <si>
    <t>Long Beach State</t>
  </si>
  <si>
    <t>Eastern Michigan</t>
  </si>
  <si>
    <t>Wofford</t>
  </si>
  <si>
    <t>North Dakota</t>
  </si>
  <si>
    <t>Green Bay</t>
  </si>
  <si>
    <t>Omaha</t>
  </si>
  <si>
    <t>Chattanooga</t>
  </si>
  <si>
    <t>Evansville</t>
  </si>
  <si>
    <t>Queens University</t>
  </si>
  <si>
    <t>Brown</t>
  </si>
  <si>
    <t>Towson</t>
  </si>
  <si>
    <t>Tulane</t>
  </si>
  <si>
    <t>Lindenwood</t>
  </si>
  <si>
    <t>Milwaukee</t>
  </si>
  <si>
    <t>Monmouth</t>
  </si>
  <si>
    <t>Dartmouth</t>
  </si>
  <si>
    <t>Charleston Southern</t>
  </si>
  <si>
    <t>Central Michigan</t>
  </si>
  <si>
    <t>Harvard</t>
  </si>
  <si>
    <t>Appalachian State</t>
  </si>
  <si>
    <t>South Alabama</t>
  </si>
  <si>
    <t>South Carolina Upstate</t>
  </si>
  <si>
    <t>Stony Brook</t>
  </si>
  <si>
    <t>UC Riverside</t>
  </si>
  <si>
    <t>Presbyterian</t>
  </si>
  <si>
    <t>Western Michigan</t>
  </si>
  <si>
    <t>Florida Gulf Coast</t>
  </si>
  <si>
    <t>Morehead State</t>
  </si>
  <si>
    <t>Oral Roberts</t>
  </si>
  <si>
    <t>UNC Greensboro</t>
  </si>
  <si>
    <t>Longwood</t>
  </si>
  <si>
    <t>Eastern Kentucky</t>
  </si>
  <si>
    <t>SIU Edwardsville</t>
  </si>
  <si>
    <t>James Madison</t>
  </si>
  <si>
    <t>Bellarmine</t>
  </si>
  <si>
    <t>East Texas A&amp;M</t>
  </si>
  <si>
    <t>Northwestern State</t>
  </si>
  <si>
    <t>Hampton</t>
  </si>
  <si>
    <t>East Carolina</t>
  </si>
  <si>
    <t>South Dakota</t>
  </si>
  <si>
    <t>IU Indianapolis</t>
  </si>
  <si>
    <t>Princeton</t>
  </si>
  <si>
    <t>Drexel</t>
  </si>
  <si>
    <t>Georgia Southern</t>
  </si>
  <si>
    <t>Ball State</t>
  </si>
  <si>
    <t>Old Dominion</t>
  </si>
  <si>
    <t>Southern Miss</t>
  </si>
  <si>
    <t>Texas State</t>
  </si>
  <si>
    <t>Long Island University</t>
  </si>
  <si>
    <t>North Carolina A&amp;T</t>
  </si>
  <si>
    <t>Loyola Chicago</t>
  </si>
  <si>
    <t>Navy</t>
  </si>
  <si>
    <t>Delaware</t>
  </si>
  <si>
    <t>Houston Christian</t>
  </si>
  <si>
    <t>Eastern Illinois</t>
  </si>
  <si>
    <t>Coastal Carolina</t>
  </si>
  <si>
    <t>Jacksonville</t>
  </si>
  <si>
    <t>Tennessee Tech</t>
  </si>
  <si>
    <t>Northern Illinois</t>
  </si>
  <si>
    <t>Colgate</t>
  </si>
  <si>
    <t>American University</t>
  </si>
  <si>
    <t>Little Rock</t>
  </si>
  <si>
    <t>Cleveland State</t>
  </si>
  <si>
    <t>Southern</t>
  </si>
  <si>
    <t>CSU Bakersfield</t>
  </si>
  <si>
    <t>SE Louisiana</t>
  </si>
  <si>
    <t>Howard</t>
  </si>
  <si>
    <t>Northeastern</t>
  </si>
  <si>
    <t>The Citadel</t>
  </si>
  <si>
    <t>West Georgia</t>
  </si>
  <si>
    <t>Air Force</t>
  </si>
  <si>
    <t>UTSA</t>
  </si>
  <si>
    <t>Le Moyne</t>
  </si>
  <si>
    <t>Vermont</t>
  </si>
  <si>
    <t>Albany</t>
  </si>
  <si>
    <t>Norfolk State</t>
  </si>
  <si>
    <t>Georgia State</t>
  </si>
  <si>
    <t>Mercyhurst</t>
  </si>
  <si>
    <t>UMBC</t>
  </si>
  <si>
    <t>Louisiana</t>
  </si>
  <si>
    <t>North Florida</t>
  </si>
  <si>
    <t>Marist</t>
  </si>
  <si>
    <t>VMI</t>
  </si>
  <si>
    <t>Boston University</t>
  </si>
  <si>
    <t>Stetson</t>
  </si>
  <si>
    <t>Saint Peter's</t>
  </si>
  <si>
    <t>Kansas City</t>
  </si>
  <si>
    <t>Southern Indiana</t>
  </si>
  <si>
    <t>UMass Lowell</t>
  </si>
  <si>
    <t>Siena</t>
  </si>
  <si>
    <t>Quinnipiac</t>
  </si>
  <si>
    <t>Lehigh Mountain</t>
  </si>
  <si>
    <t>Prairie View A&amp;M</t>
  </si>
  <si>
    <t>Central Connecticut</t>
  </si>
  <si>
    <t>Merrimack</t>
  </si>
  <si>
    <t>North Carolina Central</t>
  </si>
  <si>
    <t>North Alabama</t>
  </si>
  <si>
    <t>Wagner</t>
  </si>
  <si>
    <t>Iona</t>
  </si>
  <si>
    <t>Loyola (MD)</t>
  </si>
  <si>
    <t>Bethune-Cookman</t>
  </si>
  <si>
    <t>Fairfield</t>
  </si>
  <si>
    <t>Fairleigh Dickinson</t>
  </si>
  <si>
    <t>Grambling</t>
  </si>
  <si>
    <t>Gardner-Webb</t>
  </si>
  <si>
    <t>Texas Southern</t>
  </si>
  <si>
    <t>Western Illinois</t>
  </si>
  <si>
    <t>New Haven</t>
  </si>
  <si>
    <t>Morgan State</t>
  </si>
  <si>
    <t>Alabama State</t>
  </si>
  <si>
    <t>Chicago State</t>
  </si>
  <si>
    <t>NJIT</t>
  </si>
  <si>
    <t>Alabama A&amp;M</t>
  </si>
  <si>
    <t>Arkansas-Pine Bluff</t>
  </si>
  <si>
    <t>Mount St. Mary's</t>
  </si>
  <si>
    <t>Army</t>
  </si>
  <si>
    <t>Lafayette</t>
  </si>
  <si>
    <t>St. Francis (PA)</t>
  </si>
  <si>
    <t>New Hampshire</t>
  </si>
  <si>
    <t>Bucknell</t>
  </si>
  <si>
    <t>Holy Cross</t>
  </si>
  <si>
    <t>Stonehill</t>
  </si>
  <si>
    <t>Florida A&amp;M</t>
  </si>
  <si>
    <t>Maryland-Eastern Shore</t>
  </si>
  <si>
    <t>Bryant</t>
  </si>
  <si>
    <t>South Carolina State</t>
  </si>
  <si>
    <t>Sacred Heart</t>
  </si>
  <si>
    <t>Maine</t>
  </si>
  <si>
    <t>UL Monroe</t>
  </si>
  <si>
    <t>Jackson State</t>
  </si>
  <si>
    <t>Canisius</t>
  </si>
  <si>
    <t>Niagara</t>
  </si>
  <si>
    <t>Manhatten</t>
  </si>
  <si>
    <t>Rider</t>
  </si>
  <si>
    <t>Alcorn State</t>
  </si>
  <si>
    <t>Delaware State</t>
  </si>
  <si>
    <t>Coppin State</t>
  </si>
  <si>
    <t>Binghamton</t>
  </si>
  <si>
    <t>Mississippi Valley State</t>
  </si>
  <si>
    <t>New Rank</t>
  </si>
  <si>
    <t>Rating</t>
  </si>
  <si>
    <t>TeamOpp</t>
  </si>
  <si>
    <t>Margin</t>
  </si>
  <si>
    <t>Blowout Potential</t>
  </si>
  <si>
    <t>Kelly %</t>
  </si>
  <si>
    <t>EV %</t>
  </si>
  <si>
    <t>Game</t>
  </si>
  <si>
    <t>Round of 32 Prob</t>
  </si>
  <si>
    <t>Round of 16 Prob</t>
  </si>
  <si>
    <t>Elite 8 Prob</t>
  </si>
  <si>
    <t>Final Four Prob</t>
  </si>
  <si>
    <t>Champ Game Prob</t>
  </si>
  <si>
    <t>Champion Prob</t>
  </si>
  <si>
    <t>Region</t>
  </si>
  <si>
    <t>Seed</t>
  </si>
  <si>
    <t>Midwest</t>
  </si>
  <si>
    <t>West</t>
  </si>
  <si>
    <t>East</t>
  </si>
  <si>
    <t>South</t>
  </si>
  <si>
    <t>Uconn</t>
  </si>
  <si>
    <t>Units</t>
  </si>
  <si>
    <t>W</t>
  </si>
  <si>
    <t>L</t>
  </si>
  <si>
    <t>ROI</t>
  </si>
  <si>
    <t>CLV</t>
  </si>
  <si>
    <t>Bet</t>
  </si>
  <si>
    <t>Date</t>
  </si>
  <si>
    <t>Last 10W</t>
  </si>
  <si>
    <t>Last10L</t>
  </si>
  <si>
    <t>Game #</t>
  </si>
  <si>
    <t>Win/Loss/Push</t>
  </si>
  <si>
    <t>Running CLV</t>
  </si>
  <si>
    <t>Running Profit</t>
  </si>
  <si>
    <t>Profit</t>
  </si>
  <si>
    <t>Stake</t>
  </si>
  <si>
    <t>Team Position</t>
  </si>
  <si>
    <t>Market Spread</t>
  </si>
  <si>
    <t>Last Rank</t>
  </si>
  <si>
    <t>Category</t>
  </si>
  <si>
    <t>Odds</t>
  </si>
  <si>
    <t>Current Odds</t>
  </si>
  <si>
    <t>Status</t>
  </si>
  <si>
    <t>Notes</t>
  </si>
  <si>
    <t>Result</t>
  </si>
  <si>
    <t>PnL</t>
  </si>
  <si>
    <t>Title</t>
  </si>
  <si>
    <t>Open</t>
  </si>
  <si>
    <t>Season</t>
  </si>
  <si>
    <t>2025-26</t>
  </si>
  <si>
    <t>05/02/2025</t>
  </si>
  <si>
    <t>04/25/2025</t>
  </si>
  <si>
    <t>Closing Odds</t>
  </si>
  <si>
    <t>Closing Line</t>
  </si>
  <si>
    <t>%</t>
  </si>
  <si>
    <t>Position Line</t>
  </si>
  <si>
    <t>Position Odds</t>
  </si>
  <si>
    <t>03/08/2026</t>
  </si>
  <si>
    <t>03/09/2026</t>
  </si>
  <si>
    <t>03/10/2026</t>
  </si>
  <si>
    <t>03/11/2026</t>
  </si>
  <si>
    <t>03/12/2026</t>
  </si>
  <si>
    <t>03/13/2026</t>
  </si>
  <si>
    <t>Matchup</t>
  </si>
  <si>
    <t>MST/LT</t>
  </si>
  <si>
    <t>TENN/VAN</t>
  </si>
  <si>
    <t>DAV/LOY</t>
  </si>
  <si>
    <t>XU/MARQ</t>
  </si>
  <si>
    <t>WAKE/VT</t>
  </si>
  <si>
    <t>WEB/EWASH</t>
  </si>
  <si>
    <t>ILL/MD</t>
  </si>
  <si>
    <t>DAV/STJOE</t>
  </si>
  <si>
    <t>03/14/2026</t>
  </si>
  <si>
    <t>STJOE/VCU</t>
  </si>
  <si>
    <t>MISS/ARK</t>
  </si>
  <si>
    <t>KENN/LT</t>
  </si>
  <si>
    <t>Show</t>
  </si>
  <si>
    <t>No</t>
  </si>
  <si>
    <t>Yes</t>
  </si>
  <si>
    <t>East Region Winner</t>
  </si>
  <si>
    <t>Midwest Region Winner</t>
  </si>
  <si>
    <t>Closed</t>
  </si>
  <si>
    <t>03/15/2025</t>
  </si>
  <si>
    <t>Reach Sweet 16 - Yes</t>
  </si>
  <si>
    <t>Reach Sweet 16 - No</t>
  </si>
  <si>
    <t>03/16/2025</t>
  </si>
  <si>
    <t>03/17/2026</t>
  </si>
  <si>
    <t>HOW/UMBC</t>
  </si>
  <si>
    <t>03/19/2026</t>
  </si>
  <si>
    <t>ARK/HAWAII</t>
  </si>
  <si>
    <t>MSU/NDSU</t>
  </si>
  <si>
    <t>NEB/TROY</t>
  </si>
  <si>
    <t>VAN/MCN</t>
  </si>
  <si>
    <t>03/20/2026</t>
  </si>
  <si>
    <t>ALA/HOFS</t>
  </si>
  <si>
    <t>TEN/MIAOH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</si>
</sst>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"/>
    <numFmt numFmtId="165" formatCode="[$-1009]mmmm\ d\,\ yyyy;@"/>
    <numFmt numFmtId="166" formatCode="0.0%"/>
    <numFmt numFmtId="167" formatCode="0.000"/>
  </numFmts>
  <fonts count="3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5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64" fontId="0" fillId="0" borderId="0" xfId="0" applyNumberFormat="1" applyAlignment="1">
      <alignment horizontal="center"/>
    </xf>
    <xf numFmtId="0" fontId="2" fillId="0" borderId="2" xfId="0" applyFont="1" applyBorder="1" applyAlignment="1">
      <alignment horizontal="center" vertical="top"/>
    </xf>
    <xf numFmtId="2" fontId="0" fillId="2" borderId="0" xfId="0" applyNumberFormat="1" applyFill="1" applyAlignment="1">
      <alignment horizontal="center"/>
    </xf>
    <xf numFmtId="0" fontId="0" fillId="2" borderId="0" xfId="0" applyFill="1" applyAlignment="1">
      <alignment horizontal="center"/>
    </xf>
    <xf numFmtId="10" fontId="0" fillId="2" borderId="0" xfId="1" applyNumberFormat="1" applyFont="1" applyFill="1" applyAlignment="1">
      <alignment horizontal="center"/>
    </xf>
    <xf numFmtId="10" fontId="0" fillId="0" borderId="0" xfId="1" applyNumberFormat="1" applyFont="1" applyFill="1" applyAlignment="1">
      <alignment horizontal="center"/>
    </xf>
    <xf numFmtId="164" fontId="0" fillId="2" borderId="0" xfId="0" applyNumberFormat="1" applyFill="1" applyAlignment="1">
      <alignment horizontal="center"/>
    </xf>
    <xf numFmtId="10" fontId="0" fillId="0" borderId="0" xfId="1" applyNumberFormat="1" applyFont="1" applyAlignment="1">
      <alignment horizontal="center"/>
    </xf>
    <xf numFmtId="165" fontId="0" fillId="0" borderId="0" xfId="0" applyNumberFormat="1" applyAlignment="1">
      <alignment horizontal="center"/>
    </xf>
    <xf numFmtId="166" fontId="0" fillId="0" borderId="0" xfId="1" applyNumberFormat="1" applyFont="1" applyAlignment="1">
      <alignment horizontal="center"/>
    </xf>
    <xf numFmtId="10" fontId="0" fillId="0" borderId="0" xfId="0" applyNumberFormat="1" applyAlignment="1">
      <alignment horizontal="center"/>
    </xf>
    <xf numFmtId="167" fontId="0" fillId="0" borderId="0" xfId="0" applyNumberFormat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3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kevans/Desktop/Game%20Spreads.xlsx" TargetMode="External"/><Relationship Id="rId1" Type="http://schemas.openxmlformats.org/officeDocument/2006/relationships/externalLinkPath" Target="Game%20Spread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kevans/Desktop/NewData.xlsx" TargetMode="External"/><Relationship Id="rId1" Type="http://schemas.openxmlformats.org/officeDocument/2006/relationships/externalLinkPath" Target="NewData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kevans/Desktop/College%20Ball%20Model%2025-26.xlsx" TargetMode="External"/><Relationship Id="rId1" Type="http://schemas.openxmlformats.org/officeDocument/2006/relationships/externalLinkPath" Target="College%20Ball%20Model%2025-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ames"/>
    </sheetNames>
    <sheetDataSet>
      <sheetData sheetId="0">
        <row r="2">
          <cell r="B2">
            <v>1</v>
          </cell>
          <cell r="C2" t="str">
            <v>Michigan State</v>
          </cell>
          <cell r="D2" t="str">
            <v>Louisville</v>
          </cell>
          <cell r="E2">
            <v>7.6237974976589857</v>
          </cell>
          <cell r="F2" t="b">
            <v>0</v>
          </cell>
          <cell r="G2">
            <v>0.5651294463644575</v>
          </cell>
          <cell r="H2">
            <v>0</v>
          </cell>
          <cell r="I2">
            <v>7.8883488513964317E-2</v>
          </cell>
          <cell r="J2">
            <v>0.39498384438829071</v>
          </cell>
          <cell r="K2">
            <v>0</v>
          </cell>
        </row>
        <row r="3">
          <cell r="B3">
            <v>2</v>
          </cell>
          <cell r="C3" t="str">
            <v>Michigan</v>
          </cell>
          <cell r="D3" t="str">
            <v>Saint Louis</v>
          </cell>
          <cell r="E3">
            <v>14.976006036963041</v>
          </cell>
          <cell r="F3" t="b">
            <v>0</v>
          </cell>
          <cell r="G3">
            <v>0.55757114715800105</v>
          </cell>
          <cell r="H3">
            <v>0</v>
          </cell>
          <cell r="I3">
            <v>6.445400821072933E-2</v>
          </cell>
          <cell r="J3">
            <v>0.58389146809910786</v>
          </cell>
          <cell r="K3">
            <v>0</v>
          </cell>
        </row>
        <row r="4">
          <cell r="B4">
            <v>3</v>
          </cell>
          <cell r="C4" t="str">
            <v>Duke</v>
          </cell>
          <cell r="D4" t="str">
            <v>TCU</v>
          </cell>
          <cell r="E4">
            <v>16.156515841644939</v>
          </cell>
          <cell r="F4" t="b">
            <v>0</v>
          </cell>
          <cell r="G4">
            <v>0.60014369447283544</v>
          </cell>
          <cell r="H4">
            <v>0</v>
          </cell>
          <cell r="I4">
            <v>0.14572887126632231</v>
          </cell>
          <cell r="J4">
            <v>0.68835260367062623</v>
          </cell>
          <cell r="K4">
            <v>0</v>
          </cell>
        </row>
        <row r="5">
          <cell r="B5">
            <v>4</v>
          </cell>
          <cell r="C5" t="str">
            <v>Illinois</v>
          </cell>
          <cell r="D5" t="str">
            <v>VCU</v>
          </cell>
          <cell r="E5">
            <v>14.138979689921969</v>
          </cell>
          <cell r="F5" t="b">
            <v>0</v>
          </cell>
          <cell r="G5">
            <v>0.57243583222898409</v>
          </cell>
          <cell r="H5">
            <v>0</v>
          </cell>
          <cell r="I5">
            <v>9.2832043346242399E-2</v>
          </cell>
          <cell r="J5">
            <v>0.59272854171055356</v>
          </cell>
          <cell r="K5">
            <v>0</v>
          </cell>
        </row>
        <row r="6">
          <cell r="B6">
            <v>5</v>
          </cell>
          <cell r="C6" t="str">
            <v>Nebraska</v>
          </cell>
          <cell r="D6" t="str">
            <v>Vanderbilt</v>
          </cell>
          <cell r="E6">
            <v>-1.470916172407954</v>
          </cell>
          <cell r="F6" t="b">
            <v>0</v>
          </cell>
          <cell r="G6">
            <v>0.51318971547862935</v>
          </cell>
          <cell r="H6">
            <v>0</v>
          </cell>
          <cell r="I6">
            <v>-2.0274179540798461E-2</v>
          </cell>
          <cell r="J6">
            <v>1.5691879196898632E-2</v>
          </cell>
          <cell r="K6">
            <v>0</v>
          </cell>
        </row>
        <row r="7">
          <cell r="B7">
            <v>6</v>
          </cell>
          <cell r="C7" t="str">
            <v>Houston</v>
          </cell>
          <cell r="D7" t="str">
            <v>Texas A&amp;M</v>
          </cell>
          <cell r="E7">
            <v>12.49051257771263</v>
          </cell>
          <cell r="F7" t="b">
            <v>0</v>
          </cell>
          <cell r="G7">
            <v>0.54864172283435142</v>
          </cell>
          <cell r="H7">
            <v>0</v>
          </cell>
          <cell r="I7">
            <v>4.7406925411034577E-2</v>
          </cell>
          <cell r="J7">
            <v>0.50131716872622811</v>
          </cell>
          <cell r="K7">
            <v>0</v>
          </cell>
        </row>
        <row r="8">
          <cell r="B8">
            <v>7</v>
          </cell>
          <cell r="C8" t="str">
            <v>Arkansas</v>
          </cell>
          <cell r="D8" t="str">
            <v>High Point</v>
          </cell>
          <cell r="E8">
            <v>14.409404039669781</v>
          </cell>
          <cell r="F8" t="b">
            <v>0</v>
          </cell>
          <cell r="G8">
            <v>0.56733563667959241</v>
          </cell>
          <cell r="H8">
            <v>0</v>
          </cell>
          <cell r="I8">
            <v>8.3095306388312862E-2</v>
          </cell>
          <cell r="J8">
            <v>0.58925228425349863</v>
          </cell>
          <cell r="K8">
            <v>0</v>
          </cell>
        </row>
        <row r="9">
          <cell r="B9">
            <v>8</v>
          </cell>
          <cell r="C9" t="str">
            <v>Gonzaga</v>
          </cell>
          <cell r="D9" t="str">
            <v>Texas</v>
          </cell>
          <cell r="E9">
            <v>8.8326972336325653</v>
          </cell>
          <cell r="F9" t="b">
            <v>0</v>
          </cell>
          <cell r="G9">
            <v>0.55795782677192751</v>
          </cell>
          <cell r="H9">
            <v>0</v>
          </cell>
          <cell r="I9">
            <v>6.5192214746407129E-2</v>
          </cell>
          <cell r="J9">
            <v>0.41516446029663578</v>
          </cell>
          <cell r="K9">
            <v>0</v>
          </cell>
        </row>
        <row r="10">
          <cell r="B10">
            <v>9</v>
          </cell>
          <cell r="C10" t="str">
            <v>Alabama</v>
          </cell>
          <cell r="D10" t="str">
            <v>Texas Tech</v>
          </cell>
          <cell r="E10">
            <v>4.1278919748299394</v>
          </cell>
          <cell r="F10" t="b">
            <v>0</v>
          </cell>
          <cell r="G10">
            <v>0.57749658865455844</v>
          </cell>
          <cell r="H10">
            <v>0</v>
          </cell>
          <cell r="I10">
            <v>0.1024934874314298</v>
          </cell>
          <cell r="J10">
            <v>0.31628008750747999</v>
          </cell>
          <cell r="K10">
            <v>0</v>
          </cell>
        </row>
        <row r="11">
          <cell r="B11">
            <v>10</v>
          </cell>
          <cell r="C11" t="str">
            <v>Florida</v>
          </cell>
          <cell r="D11" t="str">
            <v>Iowa</v>
          </cell>
          <cell r="E11">
            <v>11.194715824766851</v>
          </cell>
          <cell r="F11" t="b">
            <v>0</v>
          </cell>
          <cell r="G11">
            <v>0.51731652847327136</v>
          </cell>
          <cell r="H11">
            <v>0</v>
          </cell>
          <cell r="I11">
            <v>-1.239571836920916E-2</v>
          </cell>
          <cell r="J11">
            <v>0.39463016781725752</v>
          </cell>
          <cell r="K11">
            <v>0</v>
          </cell>
        </row>
        <row r="12">
          <cell r="B12">
            <v>11</v>
          </cell>
          <cell r="C12" t="str">
            <v>Uconn</v>
          </cell>
          <cell r="D12" t="str">
            <v>UCLA</v>
          </cell>
          <cell r="E12">
            <v>5.391134817228437</v>
          </cell>
          <cell r="F12" t="b">
            <v>0</v>
          </cell>
          <cell r="G12">
            <v>0.53464275300729347</v>
          </cell>
          <cell r="H12">
            <v>0</v>
          </cell>
          <cell r="I12">
            <v>2.0681619377560301E-2</v>
          </cell>
          <cell r="J12">
            <v>0.25478768357222192</v>
          </cell>
          <cell r="K12">
            <v>0</v>
          </cell>
        </row>
        <row r="13">
          <cell r="B13">
            <v>12</v>
          </cell>
          <cell r="C13" t="str">
            <v>Virginia</v>
          </cell>
          <cell r="D13" t="str">
            <v>Tennessee</v>
          </cell>
          <cell r="E13">
            <v>0.62393594721707168</v>
          </cell>
          <cell r="F13" t="b">
            <v>0</v>
          </cell>
          <cell r="G13">
            <v>0.54042163234016005</v>
          </cell>
          <cell r="H13">
            <v>0</v>
          </cell>
          <cell r="I13">
            <v>3.171402537666923E-2</v>
          </cell>
          <cell r="J13">
            <v>0.1168367102471546</v>
          </cell>
          <cell r="K13">
            <v>0</v>
          </cell>
        </row>
        <row r="14">
          <cell r="B14">
            <v>13</v>
          </cell>
          <cell r="C14" t="str">
            <v>Purdue</v>
          </cell>
          <cell r="D14" t="str">
            <v>Miami</v>
          </cell>
          <cell r="E14">
            <v>12.5746195342281</v>
          </cell>
          <cell r="F14" t="b">
            <v>1</v>
          </cell>
          <cell r="G14">
            <v>0.61295541220788918</v>
          </cell>
          <cell r="H14">
            <v>4.4882546254626871E-2</v>
          </cell>
          <cell r="I14">
            <v>0.1701876051241521</v>
          </cell>
          <cell r="J14">
            <v>0.63571360517770981</v>
          </cell>
          <cell r="K14">
            <v>0.87610730289031646</v>
          </cell>
        </row>
        <row r="15">
          <cell r="B15">
            <v>14</v>
          </cell>
          <cell r="C15" t="str">
            <v>Iowa State</v>
          </cell>
          <cell r="D15" t="str">
            <v>Kentucky</v>
          </cell>
          <cell r="E15">
            <v>7.1011751940087526</v>
          </cell>
          <cell r="F15" t="b">
            <v>0</v>
          </cell>
          <cell r="G15">
            <v>0.55224027884451476</v>
          </cell>
          <cell r="H15">
            <v>0</v>
          </cell>
          <cell r="I15">
            <v>5.4276895975891908E-2</v>
          </cell>
          <cell r="J15">
            <v>0.34931589557310277</v>
          </cell>
          <cell r="K15">
            <v>0</v>
          </cell>
        </row>
        <row r="16">
          <cell r="B16">
            <v>15</v>
          </cell>
          <cell r="C16" t="str">
            <v>Kansas</v>
          </cell>
          <cell r="D16" t="str">
            <v>St. John's</v>
          </cell>
          <cell r="E16">
            <v>1.26500591653001</v>
          </cell>
          <cell r="F16" t="b">
            <v>1</v>
          </cell>
          <cell r="G16">
            <v>0.61707700432140333</v>
          </cell>
          <cell r="H16">
            <v>4.8344683629978888E-2</v>
          </cell>
          <cell r="I16">
            <v>0.17805609915904269</v>
          </cell>
          <cell r="J16">
            <v>0.32179849370920788</v>
          </cell>
          <cell r="K16">
            <v>0.94368822445718792</v>
          </cell>
        </row>
        <row r="17">
          <cell r="B17">
            <v>16</v>
          </cell>
          <cell r="C17" t="str">
            <v>Arizona</v>
          </cell>
          <cell r="D17" t="str">
            <v>Utah State</v>
          </cell>
          <cell r="E17">
            <v>12.03916810204351</v>
          </cell>
          <cell r="F17" t="b">
            <v>0</v>
          </cell>
          <cell r="G17">
            <v>0.51344101562434308</v>
          </cell>
          <cell r="H17">
            <v>0</v>
          </cell>
          <cell r="I17">
            <v>-1.9794424717163191E-2</v>
          </cell>
          <cell r="J17">
            <v>0.41142205261584602</v>
          </cell>
          <cell r="K17">
            <v>0</v>
          </cell>
        </row>
        <row r="18">
          <cell r="B18">
            <v>17</v>
          </cell>
          <cell r="C18" t="str">
            <v>Louisville</v>
          </cell>
          <cell r="D18" t="str">
            <v>Michigan State</v>
          </cell>
          <cell r="E18">
            <v>-4.1343269197252157</v>
          </cell>
          <cell r="F18" t="b">
            <v>0</v>
          </cell>
          <cell r="G18">
            <v>0.52157407338626549</v>
          </cell>
          <cell r="H18">
            <v>0</v>
          </cell>
          <cell r="I18">
            <v>-4.2676780807658346E-3</v>
          </cell>
          <cell r="J18">
            <v>8.115042882985124E-2</v>
          </cell>
          <cell r="K18">
            <v>0</v>
          </cell>
        </row>
        <row r="19">
          <cell r="B19">
            <v>18</v>
          </cell>
          <cell r="C19" t="str">
            <v>Saint Louis</v>
          </cell>
          <cell r="D19" t="str">
            <v>Michigan</v>
          </cell>
          <cell r="E19">
            <v>-12.63418965089744</v>
          </cell>
          <cell r="F19" t="b">
            <v>0</v>
          </cell>
          <cell r="G19">
            <v>0.50334583110950348</v>
          </cell>
          <cell r="H19">
            <v>0</v>
          </cell>
          <cell r="I19">
            <v>-3.906704970003877E-2</v>
          </cell>
          <cell r="J19">
            <v>0.40668649337587193</v>
          </cell>
          <cell r="K19">
            <v>0</v>
          </cell>
        </row>
        <row r="20">
          <cell r="B20">
            <v>19</v>
          </cell>
          <cell r="C20" t="str">
            <v>TCU</v>
          </cell>
          <cell r="D20" t="str">
            <v>Duke</v>
          </cell>
          <cell r="E20">
            <v>-12.57583710066964</v>
          </cell>
          <cell r="F20" t="b">
            <v>0</v>
          </cell>
          <cell r="G20">
            <v>0.52680460698779541</v>
          </cell>
          <cell r="H20">
            <v>0</v>
          </cell>
          <cell r="I20">
            <v>5.7178860676094789E-3</v>
          </cell>
          <cell r="J20">
            <v>0.45710006902003097</v>
          </cell>
          <cell r="K20">
            <v>0</v>
          </cell>
        </row>
        <row r="21">
          <cell r="B21">
            <v>20</v>
          </cell>
          <cell r="C21" t="str">
            <v>VCU</v>
          </cell>
          <cell r="D21" t="str">
            <v>Illinois</v>
          </cell>
          <cell r="E21">
            <v>-7.9731914140359823</v>
          </cell>
          <cell r="F21" t="b">
            <v>0</v>
          </cell>
          <cell r="G21">
            <v>0.57502237979486459</v>
          </cell>
          <cell r="H21">
            <v>0</v>
          </cell>
          <cell r="I21">
            <v>9.7769997790196128E-2</v>
          </cell>
          <cell r="J21">
            <v>7.5545540380110965E-2</v>
          </cell>
          <cell r="K21">
            <v>0</v>
          </cell>
        </row>
        <row r="22">
          <cell r="B22">
            <v>21</v>
          </cell>
          <cell r="C22" t="str">
            <v>Vanderbilt</v>
          </cell>
          <cell r="D22" t="str">
            <v>Nebraska</v>
          </cell>
          <cell r="E22">
            <v>4.7803474147172347</v>
          </cell>
          <cell r="F22" t="b">
            <v>0</v>
          </cell>
          <cell r="G22">
            <v>0.56897756221792961</v>
          </cell>
          <cell r="H22">
            <v>0</v>
          </cell>
          <cell r="I22">
            <v>8.6229891506956591E-2</v>
          </cell>
          <cell r="J22">
            <v>0.31649838901374572</v>
          </cell>
          <cell r="K22">
            <v>0</v>
          </cell>
        </row>
        <row r="23">
          <cell r="B23">
            <v>22</v>
          </cell>
          <cell r="C23" t="str">
            <v>Texas A&amp;M</v>
          </cell>
          <cell r="D23" t="str">
            <v>Houston</v>
          </cell>
          <cell r="E23">
            <v>-7.5735379918606291</v>
          </cell>
          <cell r="F23" t="b">
            <v>0</v>
          </cell>
          <cell r="G23">
            <v>0.57256327900997128</v>
          </cell>
          <cell r="H23">
            <v>0</v>
          </cell>
          <cell r="I23">
            <v>9.3075350837217963E-2</v>
          </cell>
          <cell r="J23">
            <v>6.8699796942407798E-2</v>
          </cell>
          <cell r="K23">
            <v>0</v>
          </cell>
        </row>
        <row r="24">
          <cell r="B24">
            <v>23</v>
          </cell>
          <cell r="C24" t="str">
            <v>High Point</v>
          </cell>
          <cell r="D24" t="str">
            <v>Arkansas</v>
          </cell>
          <cell r="E24">
            <v>-12.955196747770399</v>
          </cell>
          <cell r="F24" t="b">
            <v>0</v>
          </cell>
          <cell r="G24">
            <v>0.5358807449944516</v>
          </cell>
          <cell r="H24">
            <v>0</v>
          </cell>
          <cell r="I24">
            <v>2.3045058625771279E-2</v>
          </cell>
          <cell r="J24">
            <v>0.48734606471556807</v>
          </cell>
          <cell r="K24">
            <v>0</v>
          </cell>
        </row>
        <row r="25">
          <cell r="B25">
            <v>24</v>
          </cell>
          <cell r="C25" t="str">
            <v>Texas</v>
          </cell>
          <cell r="D25" t="str">
            <v>Gonzaga</v>
          </cell>
          <cell r="E25">
            <v>-4.8282195018383911</v>
          </cell>
          <cell r="F25" t="b">
            <v>0</v>
          </cell>
          <cell r="G25">
            <v>0.5416082726227095</v>
          </cell>
          <cell r="H25">
            <v>0</v>
          </cell>
          <cell r="I25">
            <v>3.3979429552445428E-2</v>
          </cell>
          <cell r="J25">
            <v>5.5369792667541717E-2</v>
          </cell>
          <cell r="K25">
            <v>0</v>
          </cell>
        </row>
        <row r="26">
          <cell r="B26">
            <v>25</v>
          </cell>
          <cell r="C26" t="str">
            <v>Texas Tech</v>
          </cell>
          <cell r="D26" t="str">
            <v>Alabama</v>
          </cell>
          <cell r="E26">
            <v>-2.5226261132732191</v>
          </cell>
          <cell r="F26" t="b">
            <v>0</v>
          </cell>
          <cell r="G26">
            <v>0.53790777044744986</v>
          </cell>
          <cell r="H26">
            <v>0</v>
          </cell>
          <cell r="I26">
            <v>2.6914834490586129E-2</v>
          </cell>
          <cell r="J26">
            <v>0.1715154919189017</v>
          </cell>
          <cell r="K26">
            <v>0</v>
          </cell>
        </row>
        <row r="27">
          <cell r="B27">
            <v>26</v>
          </cell>
          <cell r="C27" t="str">
            <v>Iowa</v>
          </cell>
          <cell r="D27" t="str">
            <v>Florida</v>
          </cell>
          <cell r="E27">
            <v>-7.106672621036318</v>
          </cell>
          <cell r="F27" t="b">
            <v>0</v>
          </cell>
          <cell r="G27">
            <v>0.58397884382351473</v>
          </cell>
          <cell r="H27">
            <v>0</v>
          </cell>
          <cell r="I27">
            <v>0.1148687018448918</v>
          </cell>
          <cell r="J27">
            <v>2.5859635062304261E-2</v>
          </cell>
          <cell r="K27">
            <v>0</v>
          </cell>
        </row>
        <row r="28">
          <cell r="B28">
            <v>27</v>
          </cell>
          <cell r="C28" t="str">
            <v>UCLA</v>
          </cell>
          <cell r="D28" t="str">
            <v>Uconn</v>
          </cell>
          <cell r="E28">
            <v>-2.5258509357806149</v>
          </cell>
          <cell r="F28" t="b">
            <v>0</v>
          </cell>
          <cell r="G28">
            <v>0.5367043381194001</v>
          </cell>
          <cell r="H28">
            <v>0</v>
          </cell>
          <cell r="I28">
            <v>2.4617372773400259E-2</v>
          </cell>
          <cell r="J28">
            <v>6.8077579319985038E-3</v>
          </cell>
          <cell r="K28">
            <v>0</v>
          </cell>
        </row>
        <row r="29">
          <cell r="B29">
            <v>28</v>
          </cell>
          <cell r="C29" t="str">
            <v>Tennessee</v>
          </cell>
          <cell r="D29" t="str">
            <v>Virginia</v>
          </cell>
          <cell r="E29">
            <v>6.3504265210794983</v>
          </cell>
          <cell r="F29" t="b">
            <v>1</v>
          </cell>
          <cell r="G29">
            <v>0.62857011124576767</v>
          </cell>
          <cell r="H29">
            <v>5.7998893446444849E-2</v>
          </cell>
          <cell r="I29">
            <v>0.19999748510555651</v>
          </cell>
          <cell r="J29">
            <v>0.503917783931362</v>
          </cell>
          <cell r="K29">
            <v>1.1321384000746035</v>
          </cell>
        </row>
        <row r="30">
          <cell r="B30">
            <v>29</v>
          </cell>
          <cell r="C30" t="str">
            <v>Miami</v>
          </cell>
          <cell r="D30" t="str">
            <v>Purdue</v>
          </cell>
          <cell r="E30">
            <v>-6.4513442417313867</v>
          </cell>
          <cell r="F30" t="b">
            <v>0</v>
          </cell>
          <cell r="G30">
            <v>0.52612836237902483</v>
          </cell>
          <cell r="H30">
            <v>0</v>
          </cell>
          <cell r="I30">
            <v>4.4268736326837921E-3</v>
          </cell>
          <cell r="J30">
            <v>0.14448487310626509</v>
          </cell>
          <cell r="K30">
            <v>0</v>
          </cell>
        </row>
        <row r="31">
          <cell r="B31">
            <v>30</v>
          </cell>
          <cell r="C31" t="str">
            <v>Kentucky</v>
          </cell>
          <cell r="D31" t="str">
            <v>Iowa State</v>
          </cell>
          <cell r="E31">
            <v>-4.5359178664915367</v>
          </cell>
          <cell r="F31" t="b">
            <v>0</v>
          </cell>
          <cell r="G31">
            <v>0.51156975174926678</v>
          </cell>
          <cell r="H31">
            <v>0</v>
          </cell>
          <cell r="I31">
            <v>-2.3366837569581581E-2</v>
          </cell>
          <cell r="J31">
            <v>0.1179331312373687</v>
          </cell>
          <cell r="K31">
            <v>0</v>
          </cell>
        </row>
        <row r="32">
          <cell r="B32">
            <v>31</v>
          </cell>
          <cell r="C32" t="str">
            <v>St. John's</v>
          </cell>
          <cell r="D32" t="str">
            <v>Kansas</v>
          </cell>
          <cell r="E32">
            <v>3.1590318805399149</v>
          </cell>
          <cell r="F32" t="b">
            <v>0</v>
          </cell>
          <cell r="G32">
            <v>0.50850101900132016</v>
          </cell>
          <cell r="H32">
            <v>0</v>
          </cell>
          <cell r="I32">
            <v>-2.922532736111599E-2</v>
          </cell>
          <cell r="J32">
            <v>8.1123382590810478E-2</v>
          </cell>
          <cell r="K32">
            <v>0</v>
          </cell>
        </row>
        <row r="33">
          <cell r="B33">
            <v>32</v>
          </cell>
          <cell r="C33" t="str">
            <v>Utah State</v>
          </cell>
          <cell r="D33" t="str">
            <v>Arizona</v>
          </cell>
          <cell r="E33">
            <v>-9.6384453574740654</v>
          </cell>
          <cell r="F33" t="b">
            <v>0</v>
          </cell>
          <cell r="G33">
            <v>0.54631129649620014</v>
          </cell>
          <cell r="H33">
            <v>0</v>
          </cell>
          <cell r="I33">
            <v>4.2957929674563973E-2</v>
          </cell>
          <cell r="J33">
            <v>0.19797857638448799</v>
          </cell>
          <cell r="K33">
            <v>0</v>
          </cell>
        </row>
        <row r="34">
          <cell r="B34">
            <v>33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</row>
        <row r="35">
          <cell r="B35">
            <v>34</v>
          </cell>
          <cell r="E35">
            <v>0</v>
          </cell>
          <cell r="F35">
            <v>0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</row>
        <row r="36">
          <cell r="B36">
            <v>35</v>
          </cell>
          <cell r="E36">
            <v>0</v>
          </cell>
          <cell r="F36">
            <v>0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</row>
        <row r="37">
          <cell r="B37">
            <v>36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</row>
        <row r="38">
          <cell r="B38">
            <v>37</v>
          </cell>
          <cell r="E38">
            <v>0</v>
          </cell>
          <cell r="F38">
            <v>0</v>
          </cell>
          <cell r="G38">
            <v>0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</row>
        <row r="39">
          <cell r="B39">
            <v>38</v>
          </cell>
          <cell r="E39">
            <v>0</v>
          </cell>
          <cell r="F39">
            <v>0</v>
          </cell>
          <cell r="G39">
            <v>0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</row>
        <row r="40">
          <cell r="B40">
            <v>39</v>
          </cell>
          <cell r="E40">
            <v>0</v>
          </cell>
          <cell r="F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</row>
        <row r="41">
          <cell r="B41">
            <v>40</v>
          </cell>
          <cell r="E41">
            <v>0</v>
          </cell>
          <cell r="F41">
            <v>0</v>
          </cell>
          <cell r="G41">
            <v>0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</row>
        <row r="42">
          <cell r="B42">
            <v>41</v>
          </cell>
          <cell r="E42">
            <v>0</v>
          </cell>
          <cell r="F42">
            <v>0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0</v>
          </cell>
        </row>
        <row r="43">
          <cell r="B43">
            <v>42</v>
          </cell>
          <cell r="E43">
            <v>0</v>
          </cell>
          <cell r="F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K43">
            <v>0</v>
          </cell>
        </row>
        <row r="44">
          <cell r="B44">
            <v>43</v>
          </cell>
          <cell r="E44">
            <v>0</v>
          </cell>
          <cell r="F44">
            <v>0</v>
          </cell>
          <cell r="G44">
            <v>0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</row>
        <row r="45">
          <cell r="B45">
            <v>44</v>
          </cell>
          <cell r="E45">
            <v>0</v>
          </cell>
          <cell r="F45">
            <v>0</v>
          </cell>
          <cell r="G45">
            <v>0</v>
          </cell>
          <cell r="H45">
            <v>0</v>
          </cell>
          <cell r="I45">
            <v>0</v>
          </cell>
          <cell r="J45">
            <v>0</v>
          </cell>
          <cell r="K45">
            <v>0</v>
          </cell>
        </row>
        <row r="46">
          <cell r="B46">
            <v>45</v>
          </cell>
          <cell r="E46">
            <v>0</v>
          </cell>
          <cell r="F46">
            <v>0</v>
          </cell>
          <cell r="G46">
            <v>0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</row>
        <row r="47">
          <cell r="B47">
            <v>46</v>
          </cell>
          <cell r="E47">
            <v>0</v>
          </cell>
          <cell r="F47">
            <v>0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</row>
        <row r="48">
          <cell r="B48">
            <v>47</v>
          </cell>
          <cell r="E48">
            <v>0</v>
          </cell>
          <cell r="F48">
            <v>0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</row>
        <row r="49">
          <cell r="B49">
            <v>48</v>
          </cell>
          <cell r="E49">
            <v>0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</row>
        <row r="50">
          <cell r="B50">
            <v>49</v>
          </cell>
          <cell r="E50">
            <v>0</v>
          </cell>
          <cell r="F50">
            <v>0</v>
          </cell>
          <cell r="G50">
            <v>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</row>
        <row r="51">
          <cell r="B51">
            <v>50</v>
          </cell>
          <cell r="E51">
            <v>0</v>
          </cell>
          <cell r="F51">
            <v>0</v>
          </cell>
          <cell r="G51">
            <v>0</v>
          </cell>
          <cell r="H51">
            <v>0</v>
          </cell>
          <cell r="I51">
            <v>0</v>
          </cell>
          <cell r="J51">
            <v>0</v>
          </cell>
          <cell r="K51">
            <v>0</v>
          </cell>
        </row>
        <row r="52">
          <cell r="B52">
            <v>51</v>
          </cell>
          <cell r="E52">
            <v>0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  <cell r="K52">
            <v>0</v>
          </cell>
        </row>
        <row r="53">
          <cell r="B53">
            <v>52</v>
          </cell>
          <cell r="E53">
            <v>0</v>
          </cell>
          <cell r="F53">
            <v>0</v>
          </cell>
          <cell r="G53">
            <v>0</v>
          </cell>
          <cell r="H53">
            <v>0</v>
          </cell>
          <cell r="I53">
            <v>0</v>
          </cell>
          <cell r="J53">
            <v>0</v>
          </cell>
          <cell r="K53">
            <v>0</v>
          </cell>
        </row>
        <row r="54">
          <cell r="B54">
            <v>53</v>
          </cell>
          <cell r="E54">
            <v>0</v>
          </cell>
          <cell r="F54">
            <v>0</v>
          </cell>
          <cell r="G54">
            <v>0</v>
          </cell>
          <cell r="H54">
            <v>0</v>
          </cell>
          <cell r="I54">
            <v>0</v>
          </cell>
          <cell r="J54">
            <v>0</v>
          </cell>
          <cell r="K54">
            <v>0</v>
          </cell>
        </row>
        <row r="55">
          <cell r="B55">
            <v>54</v>
          </cell>
          <cell r="E55">
            <v>0</v>
          </cell>
          <cell r="F55">
            <v>0</v>
          </cell>
          <cell r="G55">
            <v>0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</row>
        <row r="56">
          <cell r="B56">
            <v>55</v>
          </cell>
          <cell r="E56">
            <v>0</v>
          </cell>
          <cell r="F56">
            <v>0</v>
          </cell>
          <cell r="G56">
            <v>0</v>
          </cell>
          <cell r="H56">
            <v>0</v>
          </cell>
          <cell r="I56">
            <v>0</v>
          </cell>
          <cell r="J56">
            <v>0</v>
          </cell>
          <cell r="K56">
            <v>0</v>
          </cell>
        </row>
        <row r="57">
          <cell r="B57">
            <v>56</v>
          </cell>
          <cell r="E57">
            <v>0</v>
          </cell>
          <cell r="F57">
            <v>0</v>
          </cell>
          <cell r="G57">
            <v>0</v>
          </cell>
          <cell r="H57">
            <v>0</v>
          </cell>
          <cell r="I57">
            <v>0</v>
          </cell>
          <cell r="J57">
            <v>0</v>
          </cell>
          <cell r="K57">
            <v>0</v>
          </cell>
        </row>
        <row r="58">
          <cell r="B58">
            <v>57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</row>
        <row r="59">
          <cell r="B59">
            <v>58</v>
          </cell>
          <cell r="E59">
            <v>0</v>
          </cell>
          <cell r="F59">
            <v>0</v>
          </cell>
          <cell r="G59">
            <v>0</v>
          </cell>
          <cell r="H59">
            <v>0</v>
          </cell>
          <cell r="I59">
            <v>0</v>
          </cell>
          <cell r="J59">
            <v>0</v>
          </cell>
          <cell r="K59">
            <v>0</v>
          </cell>
        </row>
        <row r="60">
          <cell r="B60">
            <v>59</v>
          </cell>
          <cell r="E60">
            <v>0</v>
          </cell>
          <cell r="F60">
            <v>0</v>
          </cell>
          <cell r="G60">
            <v>0</v>
          </cell>
          <cell r="H60">
            <v>0</v>
          </cell>
          <cell r="I60">
            <v>0</v>
          </cell>
          <cell r="J60">
            <v>0</v>
          </cell>
          <cell r="K60">
            <v>0</v>
          </cell>
        </row>
        <row r="61">
          <cell r="B61">
            <v>60</v>
          </cell>
          <cell r="E61">
            <v>0</v>
          </cell>
          <cell r="F61">
            <v>0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</row>
        <row r="62">
          <cell r="B62">
            <v>61</v>
          </cell>
          <cell r="E62">
            <v>0</v>
          </cell>
          <cell r="F62">
            <v>0</v>
          </cell>
          <cell r="G62">
            <v>0</v>
          </cell>
          <cell r="H62">
            <v>0</v>
          </cell>
          <cell r="I62">
            <v>0</v>
          </cell>
          <cell r="J62">
            <v>0</v>
          </cell>
          <cell r="K62">
            <v>0</v>
          </cell>
        </row>
        <row r="63">
          <cell r="B63">
            <v>62</v>
          </cell>
          <cell r="E63">
            <v>0</v>
          </cell>
          <cell r="F63">
            <v>0</v>
          </cell>
          <cell r="G63">
            <v>0</v>
          </cell>
          <cell r="H63">
            <v>0</v>
          </cell>
          <cell r="I63">
            <v>0</v>
          </cell>
          <cell r="J63">
            <v>0</v>
          </cell>
          <cell r="K63">
            <v>0</v>
          </cell>
        </row>
        <row r="64">
          <cell r="B64">
            <v>63</v>
          </cell>
          <cell r="E64">
            <v>0</v>
          </cell>
          <cell r="F64">
            <v>0</v>
          </cell>
          <cell r="G64">
            <v>0</v>
          </cell>
          <cell r="H64">
            <v>0</v>
          </cell>
          <cell r="I64">
            <v>0</v>
          </cell>
          <cell r="J64">
            <v>0</v>
          </cell>
          <cell r="K64">
            <v>0</v>
          </cell>
        </row>
        <row r="65">
          <cell r="B65">
            <v>64</v>
          </cell>
          <cell r="E65">
            <v>0</v>
          </cell>
          <cell r="F65">
            <v>0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  <cell r="K65">
            <v>0</v>
          </cell>
        </row>
        <row r="66">
          <cell r="B66">
            <v>65</v>
          </cell>
          <cell r="E66">
            <v>0</v>
          </cell>
          <cell r="F66">
            <v>0</v>
          </cell>
          <cell r="G66">
            <v>0</v>
          </cell>
          <cell r="H66">
            <v>0</v>
          </cell>
          <cell r="I66">
            <v>0</v>
          </cell>
          <cell r="J66">
            <v>0</v>
          </cell>
          <cell r="K66">
            <v>0</v>
          </cell>
        </row>
        <row r="67">
          <cell r="B67">
            <v>66</v>
          </cell>
          <cell r="E67">
            <v>0</v>
          </cell>
          <cell r="F67">
            <v>0</v>
          </cell>
          <cell r="G67">
            <v>0</v>
          </cell>
          <cell r="H67">
            <v>0</v>
          </cell>
          <cell r="I67">
            <v>0</v>
          </cell>
          <cell r="J67">
            <v>0</v>
          </cell>
          <cell r="K67">
            <v>0</v>
          </cell>
        </row>
        <row r="68">
          <cell r="B68">
            <v>67</v>
          </cell>
          <cell r="E68">
            <v>0</v>
          </cell>
          <cell r="F68">
            <v>0</v>
          </cell>
          <cell r="G68">
            <v>0</v>
          </cell>
          <cell r="H68">
            <v>0</v>
          </cell>
          <cell r="I68">
            <v>0</v>
          </cell>
          <cell r="J68">
            <v>0</v>
          </cell>
          <cell r="K68">
            <v>0</v>
          </cell>
        </row>
        <row r="69">
          <cell r="B69">
            <v>68</v>
          </cell>
          <cell r="E69">
            <v>0</v>
          </cell>
          <cell r="F69">
            <v>0</v>
          </cell>
          <cell r="G69">
            <v>0</v>
          </cell>
          <cell r="H69">
            <v>0</v>
          </cell>
          <cell r="I69">
            <v>0</v>
          </cell>
          <cell r="J69">
            <v>0</v>
          </cell>
          <cell r="K69">
            <v>0</v>
          </cell>
        </row>
        <row r="70">
          <cell r="B70">
            <v>69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</row>
        <row r="71">
          <cell r="B71">
            <v>70</v>
          </cell>
          <cell r="E71">
            <v>0</v>
          </cell>
          <cell r="F71">
            <v>0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</row>
        <row r="72">
          <cell r="B72">
            <v>71</v>
          </cell>
          <cell r="E72">
            <v>0</v>
          </cell>
          <cell r="F72">
            <v>0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0</v>
          </cell>
        </row>
        <row r="73">
          <cell r="B73">
            <v>72</v>
          </cell>
          <cell r="E73">
            <v>0</v>
          </cell>
          <cell r="F73">
            <v>0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</row>
        <row r="74">
          <cell r="B74">
            <v>73</v>
          </cell>
          <cell r="E74">
            <v>0</v>
          </cell>
          <cell r="F74">
            <v>0</v>
          </cell>
          <cell r="G74">
            <v>0</v>
          </cell>
          <cell r="H74">
            <v>0</v>
          </cell>
          <cell r="I74">
            <v>0</v>
          </cell>
          <cell r="J74">
            <v>0</v>
          </cell>
          <cell r="K74">
            <v>0</v>
          </cell>
        </row>
        <row r="75">
          <cell r="B75">
            <v>74</v>
          </cell>
          <cell r="E75">
            <v>0</v>
          </cell>
          <cell r="F75">
            <v>0</v>
          </cell>
          <cell r="G75">
            <v>0</v>
          </cell>
          <cell r="H75">
            <v>0</v>
          </cell>
          <cell r="I75">
            <v>0</v>
          </cell>
          <cell r="J75">
            <v>0</v>
          </cell>
          <cell r="K75">
            <v>0</v>
          </cell>
        </row>
        <row r="76">
          <cell r="B76">
            <v>75</v>
          </cell>
          <cell r="E76">
            <v>0</v>
          </cell>
          <cell r="F76">
            <v>0</v>
          </cell>
          <cell r="G76">
            <v>0</v>
          </cell>
          <cell r="H76">
            <v>0</v>
          </cell>
          <cell r="I76">
            <v>0</v>
          </cell>
          <cell r="J76">
            <v>0</v>
          </cell>
          <cell r="K76">
            <v>0</v>
          </cell>
        </row>
        <row r="77">
          <cell r="B77">
            <v>76</v>
          </cell>
          <cell r="E77">
            <v>0</v>
          </cell>
          <cell r="F77">
            <v>0</v>
          </cell>
          <cell r="G77">
            <v>0</v>
          </cell>
          <cell r="H77">
            <v>0</v>
          </cell>
          <cell r="I77">
            <v>0</v>
          </cell>
          <cell r="J77">
            <v>0</v>
          </cell>
          <cell r="K77">
            <v>0</v>
          </cell>
        </row>
        <row r="78">
          <cell r="B78">
            <v>77</v>
          </cell>
          <cell r="E78">
            <v>0</v>
          </cell>
          <cell r="F78">
            <v>0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</row>
        <row r="79">
          <cell r="B79">
            <v>78</v>
          </cell>
          <cell r="E79">
            <v>0</v>
          </cell>
          <cell r="F79">
            <v>0</v>
          </cell>
          <cell r="G79">
            <v>0</v>
          </cell>
          <cell r="H79">
            <v>0</v>
          </cell>
          <cell r="I79">
            <v>0</v>
          </cell>
          <cell r="J79">
            <v>0</v>
          </cell>
          <cell r="K79">
            <v>0</v>
          </cell>
        </row>
        <row r="80">
          <cell r="B80">
            <v>79</v>
          </cell>
          <cell r="E80">
            <v>0</v>
          </cell>
          <cell r="F80">
            <v>0</v>
          </cell>
          <cell r="G80">
            <v>0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</row>
        <row r="81">
          <cell r="B81">
            <v>80</v>
          </cell>
          <cell r="E81">
            <v>0</v>
          </cell>
          <cell r="F81">
            <v>0</v>
          </cell>
          <cell r="G81">
            <v>0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</row>
        <row r="82">
          <cell r="B82">
            <v>81</v>
          </cell>
          <cell r="E82">
            <v>0</v>
          </cell>
          <cell r="F82">
            <v>0</v>
          </cell>
          <cell r="G82">
            <v>0</v>
          </cell>
          <cell r="H82">
            <v>0</v>
          </cell>
          <cell r="I82">
            <v>0</v>
          </cell>
          <cell r="J82">
            <v>0</v>
          </cell>
          <cell r="K82">
            <v>0</v>
          </cell>
        </row>
        <row r="83">
          <cell r="B83">
            <v>82</v>
          </cell>
          <cell r="E83">
            <v>0</v>
          </cell>
          <cell r="F83">
            <v>0</v>
          </cell>
          <cell r="G83">
            <v>0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</row>
        <row r="84">
          <cell r="B84">
            <v>83</v>
          </cell>
          <cell r="E84">
            <v>0</v>
          </cell>
          <cell r="F84">
            <v>0</v>
          </cell>
          <cell r="G84">
            <v>0</v>
          </cell>
          <cell r="H84">
            <v>0</v>
          </cell>
          <cell r="I84">
            <v>0</v>
          </cell>
          <cell r="J84">
            <v>0</v>
          </cell>
          <cell r="K84">
            <v>0</v>
          </cell>
        </row>
        <row r="85">
          <cell r="B85">
            <v>84</v>
          </cell>
          <cell r="E85">
            <v>0</v>
          </cell>
          <cell r="F85">
            <v>0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</row>
        <row r="86">
          <cell r="B86">
            <v>85</v>
          </cell>
          <cell r="E86">
            <v>0</v>
          </cell>
          <cell r="F86">
            <v>0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</row>
        <row r="87">
          <cell r="B87">
            <v>86</v>
          </cell>
          <cell r="E87">
            <v>0</v>
          </cell>
          <cell r="F87">
            <v>0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</row>
        <row r="88">
          <cell r="B88">
            <v>87</v>
          </cell>
          <cell r="E88">
            <v>0</v>
          </cell>
          <cell r="F88">
            <v>0</v>
          </cell>
          <cell r="G88">
            <v>0</v>
          </cell>
          <cell r="H88">
            <v>0</v>
          </cell>
          <cell r="I88">
            <v>0</v>
          </cell>
          <cell r="J88">
            <v>0</v>
          </cell>
          <cell r="K88">
            <v>0</v>
          </cell>
        </row>
        <row r="89">
          <cell r="B89">
            <v>88</v>
          </cell>
          <cell r="E89">
            <v>0</v>
          </cell>
          <cell r="F89">
            <v>0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</row>
        <row r="90">
          <cell r="B90">
            <v>89</v>
          </cell>
          <cell r="E90">
            <v>0</v>
          </cell>
          <cell r="F90">
            <v>0</v>
          </cell>
          <cell r="G90">
            <v>0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</row>
        <row r="91">
          <cell r="B91">
            <v>90</v>
          </cell>
          <cell r="E91">
            <v>0</v>
          </cell>
          <cell r="F91">
            <v>0</v>
          </cell>
          <cell r="G91">
            <v>0</v>
          </cell>
          <cell r="H91">
            <v>0</v>
          </cell>
          <cell r="I91">
            <v>0</v>
          </cell>
          <cell r="J91">
            <v>0</v>
          </cell>
          <cell r="K91">
            <v>0</v>
          </cell>
        </row>
        <row r="92">
          <cell r="B92">
            <v>91</v>
          </cell>
          <cell r="E92">
            <v>0</v>
          </cell>
          <cell r="F92">
            <v>0</v>
          </cell>
          <cell r="G92">
            <v>0</v>
          </cell>
          <cell r="H92">
            <v>0</v>
          </cell>
          <cell r="I92">
            <v>0</v>
          </cell>
          <cell r="J92">
            <v>0</v>
          </cell>
          <cell r="K92">
            <v>0</v>
          </cell>
        </row>
        <row r="93">
          <cell r="B93">
            <v>92</v>
          </cell>
          <cell r="E93">
            <v>0</v>
          </cell>
          <cell r="F93">
            <v>0</v>
          </cell>
          <cell r="G93">
            <v>0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</row>
        <row r="94">
          <cell r="B94">
            <v>93</v>
          </cell>
          <cell r="E94">
            <v>0</v>
          </cell>
          <cell r="F94">
            <v>0</v>
          </cell>
          <cell r="G94">
            <v>0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</row>
        <row r="95">
          <cell r="B95">
            <v>94</v>
          </cell>
          <cell r="E95">
            <v>0</v>
          </cell>
          <cell r="F95">
            <v>0</v>
          </cell>
          <cell r="G95">
            <v>0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</row>
        <row r="96">
          <cell r="B96">
            <v>95</v>
          </cell>
          <cell r="E96">
            <v>0</v>
          </cell>
          <cell r="F96">
            <v>0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</row>
        <row r="97">
          <cell r="B97">
            <v>96</v>
          </cell>
          <cell r="E97">
            <v>0</v>
          </cell>
          <cell r="F97">
            <v>0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</row>
        <row r="98">
          <cell r="B98">
            <v>97</v>
          </cell>
          <cell r="E98">
            <v>0</v>
          </cell>
          <cell r="F98">
            <v>0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  <cell r="K98">
            <v>0</v>
          </cell>
        </row>
        <row r="99">
          <cell r="B99">
            <v>98</v>
          </cell>
          <cell r="E99">
            <v>0</v>
          </cell>
          <cell r="F99">
            <v>0</v>
          </cell>
          <cell r="G99">
            <v>0</v>
          </cell>
          <cell r="H99">
            <v>0</v>
          </cell>
          <cell r="I99">
            <v>0</v>
          </cell>
          <cell r="J99">
            <v>0</v>
          </cell>
          <cell r="K99">
            <v>0</v>
          </cell>
        </row>
        <row r="100">
          <cell r="B100">
            <v>99</v>
          </cell>
          <cell r="E100">
            <v>0</v>
          </cell>
          <cell r="F100">
            <v>0</v>
          </cell>
          <cell r="G100">
            <v>0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</row>
        <row r="101">
          <cell r="B101">
            <v>100</v>
          </cell>
          <cell r="E101">
            <v>0</v>
          </cell>
          <cell r="F101">
            <v>0</v>
          </cell>
          <cell r="G101">
            <v>0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</row>
        <row r="102">
          <cell r="B102">
            <v>101</v>
          </cell>
          <cell r="E102">
            <v>0</v>
          </cell>
          <cell r="F102">
            <v>0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</row>
        <row r="103">
          <cell r="B103">
            <v>102</v>
          </cell>
          <cell r="E103">
            <v>0</v>
          </cell>
          <cell r="F103">
            <v>0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</row>
        <row r="104">
          <cell r="B104">
            <v>103</v>
          </cell>
          <cell r="E104">
            <v>0</v>
          </cell>
          <cell r="F104">
            <v>0</v>
          </cell>
          <cell r="G104">
            <v>0</v>
          </cell>
          <cell r="H104">
            <v>0</v>
          </cell>
          <cell r="I104">
            <v>0</v>
          </cell>
          <cell r="J104">
            <v>0</v>
          </cell>
          <cell r="K104">
            <v>0</v>
          </cell>
        </row>
        <row r="105">
          <cell r="B105">
            <v>104</v>
          </cell>
          <cell r="E105">
            <v>0</v>
          </cell>
          <cell r="F105">
            <v>0</v>
          </cell>
          <cell r="G105">
            <v>0</v>
          </cell>
          <cell r="H105">
            <v>0</v>
          </cell>
          <cell r="I105">
            <v>0</v>
          </cell>
          <cell r="J105">
            <v>0</v>
          </cell>
          <cell r="K105">
            <v>0</v>
          </cell>
        </row>
        <row r="106">
          <cell r="B106">
            <v>105</v>
          </cell>
          <cell r="E106">
            <v>0</v>
          </cell>
          <cell r="F106">
            <v>0</v>
          </cell>
          <cell r="G106">
            <v>0</v>
          </cell>
          <cell r="H106">
            <v>0</v>
          </cell>
          <cell r="I106">
            <v>0</v>
          </cell>
          <cell r="J106">
            <v>0</v>
          </cell>
          <cell r="K106">
            <v>0</v>
          </cell>
        </row>
        <row r="107">
          <cell r="B107">
            <v>106</v>
          </cell>
          <cell r="E107">
            <v>0</v>
          </cell>
          <cell r="F107">
            <v>0</v>
          </cell>
          <cell r="G107">
            <v>0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</row>
        <row r="108">
          <cell r="B108">
            <v>107</v>
          </cell>
          <cell r="E108">
            <v>0</v>
          </cell>
          <cell r="F108">
            <v>0</v>
          </cell>
          <cell r="G108">
            <v>0</v>
          </cell>
          <cell r="H108">
            <v>0</v>
          </cell>
          <cell r="I108">
            <v>0</v>
          </cell>
          <cell r="J108">
            <v>0</v>
          </cell>
          <cell r="K108">
            <v>0</v>
          </cell>
        </row>
        <row r="109">
          <cell r="B109">
            <v>108</v>
          </cell>
          <cell r="E109">
            <v>0</v>
          </cell>
          <cell r="F109">
            <v>0</v>
          </cell>
          <cell r="G109">
            <v>0</v>
          </cell>
          <cell r="H109">
            <v>0</v>
          </cell>
          <cell r="I109">
            <v>0</v>
          </cell>
          <cell r="J109">
            <v>0</v>
          </cell>
          <cell r="K109">
            <v>0</v>
          </cell>
        </row>
        <row r="110">
          <cell r="B110">
            <v>109</v>
          </cell>
          <cell r="E110">
            <v>0</v>
          </cell>
          <cell r="F110">
            <v>0</v>
          </cell>
          <cell r="G110">
            <v>0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</row>
        <row r="111">
          <cell r="B111">
            <v>110</v>
          </cell>
          <cell r="E111">
            <v>0</v>
          </cell>
          <cell r="F111">
            <v>0</v>
          </cell>
          <cell r="G111">
            <v>0</v>
          </cell>
          <cell r="H111">
            <v>0</v>
          </cell>
          <cell r="I111">
            <v>0</v>
          </cell>
          <cell r="J111">
            <v>0</v>
          </cell>
          <cell r="K111">
            <v>0</v>
          </cell>
        </row>
        <row r="112">
          <cell r="B112">
            <v>111</v>
          </cell>
          <cell r="E112">
            <v>0</v>
          </cell>
          <cell r="F112">
            <v>0</v>
          </cell>
          <cell r="G112">
            <v>0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</row>
        <row r="113">
          <cell r="B113">
            <v>112</v>
          </cell>
          <cell r="E113">
            <v>0</v>
          </cell>
          <cell r="F113">
            <v>0</v>
          </cell>
          <cell r="G113">
            <v>0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</row>
        <row r="114">
          <cell r="B114">
            <v>113</v>
          </cell>
          <cell r="E114">
            <v>0</v>
          </cell>
          <cell r="F114">
            <v>0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</row>
        <row r="115">
          <cell r="B115">
            <v>114</v>
          </cell>
          <cell r="E115">
            <v>0</v>
          </cell>
          <cell r="F115">
            <v>0</v>
          </cell>
          <cell r="G115">
            <v>0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</row>
        <row r="116">
          <cell r="B116">
            <v>115</v>
          </cell>
          <cell r="E116">
            <v>0</v>
          </cell>
          <cell r="F116">
            <v>0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  <cell r="K116">
            <v>0</v>
          </cell>
        </row>
        <row r="117">
          <cell r="B117">
            <v>116</v>
          </cell>
          <cell r="E117">
            <v>0</v>
          </cell>
          <cell r="F117">
            <v>0</v>
          </cell>
          <cell r="G117">
            <v>0</v>
          </cell>
          <cell r="H117">
            <v>0</v>
          </cell>
          <cell r="I117">
            <v>0</v>
          </cell>
          <cell r="J117">
            <v>0</v>
          </cell>
          <cell r="K117">
            <v>0</v>
          </cell>
        </row>
        <row r="118">
          <cell r="B118">
            <v>117</v>
          </cell>
          <cell r="E118">
            <v>0</v>
          </cell>
          <cell r="F118">
            <v>0</v>
          </cell>
          <cell r="G118">
            <v>0</v>
          </cell>
          <cell r="H118">
            <v>0</v>
          </cell>
          <cell r="I118">
            <v>0</v>
          </cell>
          <cell r="J118">
            <v>0</v>
          </cell>
          <cell r="K118">
            <v>0</v>
          </cell>
        </row>
        <row r="119">
          <cell r="B119">
            <v>118</v>
          </cell>
          <cell r="E119">
            <v>0</v>
          </cell>
          <cell r="F119">
            <v>0</v>
          </cell>
          <cell r="G119">
            <v>0</v>
          </cell>
          <cell r="H119">
            <v>0</v>
          </cell>
          <cell r="I119">
            <v>0</v>
          </cell>
          <cell r="J119">
            <v>0</v>
          </cell>
          <cell r="K119">
            <v>0</v>
          </cell>
        </row>
        <row r="120">
          <cell r="B120">
            <v>119</v>
          </cell>
          <cell r="E120">
            <v>0</v>
          </cell>
          <cell r="F120">
            <v>0</v>
          </cell>
          <cell r="G120">
            <v>0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</row>
        <row r="121">
          <cell r="B121">
            <v>120</v>
          </cell>
          <cell r="E121">
            <v>0</v>
          </cell>
          <cell r="F121">
            <v>0</v>
          </cell>
          <cell r="G121">
            <v>0</v>
          </cell>
          <cell r="H121">
            <v>0</v>
          </cell>
          <cell r="I121">
            <v>0</v>
          </cell>
          <cell r="J121">
            <v>0</v>
          </cell>
          <cell r="K121">
            <v>0</v>
          </cell>
        </row>
        <row r="122">
          <cell r="B122">
            <v>121</v>
          </cell>
          <cell r="E122">
            <v>0</v>
          </cell>
          <cell r="F122">
            <v>0</v>
          </cell>
          <cell r="G122">
            <v>0</v>
          </cell>
          <cell r="H122">
            <v>0</v>
          </cell>
          <cell r="I122">
            <v>0</v>
          </cell>
          <cell r="J122">
            <v>0</v>
          </cell>
          <cell r="K122">
            <v>0</v>
          </cell>
        </row>
        <row r="123">
          <cell r="B123">
            <v>122</v>
          </cell>
          <cell r="E123">
            <v>0</v>
          </cell>
          <cell r="F123">
            <v>0</v>
          </cell>
          <cell r="G123">
            <v>0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</row>
        <row r="124">
          <cell r="B124">
            <v>123</v>
          </cell>
          <cell r="E124">
            <v>0</v>
          </cell>
          <cell r="F124">
            <v>0</v>
          </cell>
          <cell r="G124">
            <v>0</v>
          </cell>
          <cell r="H124">
            <v>0</v>
          </cell>
          <cell r="I124">
            <v>0</v>
          </cell>
          <cell r="J124">
            <v>0</v>
          </cell>
          <cell r="K124">
            <v>0</v>
          </cell>
        </row>
        <row r="125">
          <cell r="B125">
            <v>124</v>
          </cell>
          <cell r="E125">
            <v>0</v>
          </cell>
          <cell r="F125">
            <v>0</v>
          </cell>
          <cell r="G125">
            <v>0</v>
          </cell>
          <cell r="H125">
            <v>0</v>
          </cell>
          <cell r="I125">
            <v>0</v>
          </cell>
          <cell r="J125">
            <v>0</v>
          </cell>
          <cell r="K125">
            <v>0</v>
          </cell>
        </row>
        <row r="126">
          <cell r="B126">
            <v>125</v>
          </cell>
          <cell r="E126">
            <v>0</v>
          </cell>
          <cell r="F126">
            <v>0</v>
          </cell>
          <cell r="G126">
            <v>0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</row>
        <row r="127">
          <cell r="B127">
            <v>126</v>
          </cell>
          <cell r="E127">
            <v>0</v>
          </cell>
          <cell r="F127">
            <v>0</v>
          </cell>
          <cell r="G127">
            <v>0</v>
          </cell>
          <cell r="H127">
            <v>0</v>
          </cell>
          <cell r="I127">
            <v>0</v>
          </cell>
          <cell r="J127">
            <v>0</v>
          </cell>
          <cell r="K127">
            <v>0</v>
          </cell>
        </row>
        <row r="128">
          <cell r="B128">
            <v>127</v>
          </cell>
          <cell r="E128">
            <v>0</v>
          </cell>
          <cell r="F128">
            <v>0</v>
          </cell>
          <cell r="G128">
            <v>0</v>
          </cell>
          <cell r="H128">
            <v>0</v>
          </cell>
          <cell r="I128">
            <v>0</v>
          </cell>
          <cell r="J128">
            <v>0</v>
          </cell>
          <cell r="K128">
            <v>0</v>
          </cell>
        </row>
        <row r="129">
          <cell r="B129">
            <v>128</v>
          </cell>
          <cell r="E129">
            <v>0</v>
          </cell>
          <cell r="F129">
            <v>0</v>
          </cell>
          <cell r="G129">
            <v>0</v>
          </cell>
          <cell r="H129">
            <v>0</v>
          </cell>
          <cell r="I129">
            <v>0</v>
          </cell>
          <cell r="J129">
            <v>0</v>
          </cell>
          <cell r="K129">
            <v>0</v>
          </cell>
        </row>
        <row r="130">
          <cell r="B130">
            <v>129</v>
          </cell>
          <cell r="E130">
            <v>0</v>
          </cell>
          <cell r="F130">
            <v>0</v>
          </cell>
          <cell r="G130">
            <v>0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</row>
        <row r="131">
          <cell r="B131">
            <v>130</v>
          </cell>
          <cell r="E131">
            <v>0</v>
          </cell>
          <cell r="F131">
            <v>0</v>
          </cell>
          <cell r="G131">
            <v>0</v>
          </cell>
          <cell r="H131">
            <v>0</v>
          </cell>
          <cell r="I131">
            <v>0</v>
          </cell>
          <cell r="J131">
            <v>0</v>
          </cell>
          <cell r="K131">
            <v>0</v>
          </cell>
        </row>
        <row r="132">
          <cell r="B132">
            <v>131</v>
          </cell>
          <cell r="E132">
            <v>0</v>
          </cell>
          <cell r="F132">
            <v>0</v>
          </cell>
          <cell r="G132">
            <v>0</v>
          </cell>
          <cell r="H132">
            <v>0</v>
          </cell>
          <cell r="I132">
            <v>0</v>
          </cell>
          <cell r="J132">
            <v>0</v>
          </cell>
          <cell r="K132">
            <v>0</v>
          </cell>
        </row>
        <row r="133">
          <cell r="B133">
            <v>132</v>
          </cell>
          <cell r="E133">
            <v>0</v>
          </cell>
          <cell r="F133">
            <v>0</v>
          </cell>
          <cell r="G133">
            <v>0</v>
          </cell>
          <cell r="H133">
            <v>0</v>
          </cell>
          <cell r="I133">
            <v>0</v>
          </cell>
          <cell r="J133">
            <v>0</v>
          </cell>
          <cell r="K133">
            <v>0</v>
          </cell>
        </row>
        <row r="134">
          <cell r="B134">
            <v>133</v>
          </cell>
          <cell r="E134">
            <v>0</v>
          </cell>
          <cell r="F134">
            <v>0</v>
          </cell>
          <cell r="G134">
            <v>0</v>
          </cell>
          <cell r="H134">
            <v>0</v>
          </cell>
          <cell r="I134">
            <v>0</v>
          </cell>
          <cell r="J134">
            <v>0</v>
          </cell>
          <cell r="K134">
            <v>0</v>
          </cell>
        </row>
        <row r="135">
          <cell r="B135">
            <v>134</v>
          </cell>
          <cell r="E135">
            <v>0</v>
          </cell>
          <cell r="F135">
            <v>0</v>
          </cell>
          <cell r="G135">
            <v>0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</row>
        <row r="136">
          <cell r="B136">
            <v>135</v>
          </cell>
          <cell r="E136">
            <v>0</v>
          </cell>
          <cell r="F136">
            <v>0</v>
          </cell>
          <cell r="G136">
            <v>0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</row>
        <row r="137">
          <cell r="B137">
            <v>136</v>
          </cell>
          <cell r="E137">
            <v>0</v>
          </cell>
          <cell r="F137">
            <v>0</v>
          </cell>
          <cell r="G137">
            <v>0</v>
          </cell>
          <cell r="H137">
            <v>0</v>
          </cell>
          <cell r="I137">
            <v>0</v>
          </cell>
          <cell r="J137">
            <v>0</v>
          </cell>
          <cell r="K137">
            <v>0</v>
          </cell>
        </row>
        <row r="138">
          <cell r="B138">
            <v>137</v>
          </cell>
          <cell r="E138">
            <v>0</v>
          </cell>
          <cell r="F138">
            <v>0</v>
          </cell>
          <cell r="G138">
            <v>0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</row>
        <row r="139">
          <cell r="B139">
            <v>138</v>
          </cell>
          <cell r="E139">
            <v>0</v>
          </cell>
          <cell r="F139">
            <v>0</v>
          </cell>
          <cell r="G139">
            <v>0</v>
          </cell>
          <cell r="H139">
            <v>0</v>
          </cell>
          <cell r="I139">
            <v>0</v>
          </cell>
          <cell r="J139">
            <v>0</v>
          </cell>
          <cell r="K139">
            <v>0</v>
          </cell>
        </row>
        <row r="140">
          <cell r="B140">
            <v>139</v>
          </cell>
          <cell r="E140">
            <v>0</v>
          </cell>
          <cell r="F140">
            <v>0</v>
          </cell>
          <cell r="G140">
            <v>0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</row>
        <row r="141">
          <cell r="B141">
            <v>140</v>
          </cell>
          <cell r="E141">
            <v>0</v>
          </cell>
          <cell r="F141">
            <v>0</v>
          </cell>
          <cell r="G141">
            <v>0</v>
          </cell>
          <cell r="H141">
            <v>0</v>
          </cell>
          <cell r="I141">
            <v>0</v>
          </cell>
          <cell r="J141">
            <v>0</v>
          </cell>
          <cell r="K141">
            <v>0</v>
          </cell>
        </row>
        <row r="142">
          <cell r="B142">
            <v>141</v>
          </cell>
          <cell r="E142">
            <v>0</v>
          </cell>
          <cell r="F142">
            <v>0</v>
          </cell>
          <cell r="G142">
            <v>0</v>
          </cell>
          <cell r="H142">
            <v>0</v>
          </cell>
          <cell r="I142">
            <v>0</v>
          </cell>
          <cell r="J142">
            <v>0</v>
          </cell>
          <cell r="K142">
            <v>0</v>
          </cell>
        </row>
        <row r="143">
          <cell r="B143">
            <v>142</v>
          </cell>
          <cell r="E143">
            <v>0</v>
          </cell>
          <cell r="F143">
            <v>0</v>
          </cell>
          <cell r="G143">
            <v>0</v>
          </cell>
          <cell r="H143">
            <v>0</v>
          </cell>
          <cell r="I143">
            <v>0</v>
          </cell>
          <cell r="J143">
            <v>0</v>
          </cell>
          <cell r="K143">
            <v>0</v>
          </cell>
        </row>
        <row r="144">
          <cell r="B144">
            <v>143</v>
          </cell>
          <cell r="E144">
            <v>0</v>
          </cell>
          <cell r="F144">
            <v>0</v>
          </cell>
          <cell r="G144">
            <v>0</v>
          </cell>
          <cell r="H144">
            <v>0</v>
          </cell>
          <cell r="I144">
            <v>0</v>
          </cell>
          <cell r="J144">
            <v>0</v>
          </cell>
          <cell r="K144">
            <v>0</v>
          </cell>
        </row>
        <row r="145">
          <cell r="B145">
            <v>144</v>
          </cell>
          <cell r="E145">
            <v>0</v>
          </cell>
          <cell r="F145">
            <v>0</v>
          </cell>
          <cell r="G145">
            <v>0</v>
          </cell>
          <cell r="H145">
            <v>0</v>
          </cell>
          <cell r="I145">
            <v>0</v>
          </cell>
          <cell r="J145">
            <v>0</v>
          </cell>
          <cell r="K145">
            <v>0</v>
          </cell>
        </row>
        <row r="146">
          <cell r="B146">
            <v>145</v>
          </cell>
          <cell r="E146">
            <v>0</v>
          </cell>
          <cell r="F146">
            <v>0</v>
          </cell>
          <cell r="G146">
            <v>0</v>
          </cell>
          <cell r="H146">
            <v>0</v>
          </cell>
          <cell r="I146">
            <v>0</v>
          </cell>
          <cell r="J146">
            <v>0</v>
          </cell>
          <cell r="K146">
            <v>0</v>
          </cell>
        </row>
        <row r="147">
          <cell r="B147">
            <v>146</v>
          </cell>
          <cell r="E147">
            <v>0</v>
          </cell>
          <cell r="F147">
            <v>0</v>
          </cell>
          <cell r="G147">
            <v>0</v>
          </cell>
          <cell r="H147">
            <v>0</v>
          </cell>
          <cell r="I147">
            <v>0</v>
          </cell>
          <cell r="J147">
            <v>0</v>
          </cell>
          <cell r="K147">
            <v>0</v>
          </cell>
        </row>
        <row r="148">
          <cell r="B148">
            <v>147</v>
          </cell>
          <cell r="E148">
            <v>0</v>
          </cell>
          <cell r="F148">
            <v>0</v>
          </cell>
          <cell r="G148">
            <v>0</v>
          </cell>
          <cell r="H148">
            <v>0</v>
          </cell>
          <cell r="I148">
            <v>0</v>
          </cell>
          <cell r="J148">
            <v>0</v>
          </cell>
          <cell r="K148">
            <v>0</v>
          </cell>
        </row>
        <row r="149">
          <cell r="B149">
            <v>148</v>
          </cell>
          <cell r="E149">
            <v>0</v>
          </cell>
          <cell r="F149">
            <v>0</v>
          </cell>
          <cell r="G149">
            <v>0</v>
          </cell>
          <cell r="H149">
            <v>0</v>
          </cell>
          <cell r="I149">
            <v>0</v>
          </cell>
          <cell r="J149">
            <v>0</v>
          </cell>
          <cell r="K149">
            <v>0</v>
          </cell>
        </row>
        <row r="150">
          <cell r="B150">
            <v>149</v>
          </cell>
          <cell r="E150">
            <v>0</v>
          </cell>
          <cell r="F150">
            <v>0</v>
          </cell>
          <cell r="G150">
            <v>0</v>
          </cell>
          <cell r="H150">
            <v>0</v>
          </cell>
          <cell r="I150">
            <v>0</v>
          </cell>
          <cell r="J150">
            <v>0</v>
          </cell>
          <cell r="K150">
            <v>0</v>
          </cell>
        </row>
        <row r="151">
          <cell r="B151">
            <v>150</v>
          </cell>
          <cell r="E151">
            <v>0</v>
          </cell>
          <cell r="F151">
            <v>0</v>
          </cell>
          <cell r="G151">
            <v>0</v>
          </cell>
          <cell r="H151">
            <v>0</v>
          </cell>
          <cell r="I151">
            <v>0</v>
          </cell>
          <cell r="J151">
            <v>0</v>
          </cell>
          <cell r="K151">
            <v>0</v>
          </cell>
        </row>
        <row r="152">
          <cell r="B152">
            <v>151</v>
          </cell>
          <cell r="E152">
            <v>0</v>
          </cell>
          <cell r="F152">
            <v>0</v>
          </cell>
          <cell r="G152">
            <v>0</v>
          </cell>
          <cell r="H152">
            <v>0</v>
          </cell>
          <cell r="I152">
            <v>0</v>
          </cell>
          <cell r="J152">
            <v>0</v>
          </cell>
          <cell r="K152">
            <v>0</v>
          </cell>
        </row>
        <row r="153">
          <cell r="B153">
            <v>152</v>
          </cell>
          <cell r="E153">
            <v>0</v>
          </cell>
          <cell r="F153">
            <v>0</v>
          </cell>
          <cell r="G153">
            <v>0</v>
          </cell>
          <cell r="H153">
            <v>0</v>
          </cell>
          <cell r="I153">
            <v>0</v>
          </cell>
          <cell r="J153">
            <v>0</v>
          </cell>
          <cell r="K153">
            <v>0</v>
          </cell>
        </row>
        <row r="154">
          <cell r="B154">
            <v>153</v>
          </cell>
          <cell r="E154">
            <v>0</v>
          </cell>
          <cell r="F154">
            <v>0</v>
          </cell>
          <cell r="G154">
            <v>0</v>
          </cell>
          <cell r="H154">
            <v>0</v>
          </cell>
          <cell r="I154">
            <v>0</v>
          </cell>
          <cell r="J154">
            <v>0</v>
          </cell>
          <cell r="K154">
            <v>0</v>
          </cell>
        </row>
        <row r="155">
          <cell r="B155">
            <v>154</v>
          </cell>
          <cell r="E155">
            <v>0</v>
          </cell>
          <cell r="F155">
            <v>0</v>
          </cell>
          <cell r="G155">
            <v>0</v>
          </cell>
          <cell r="H155">
            <v>0</v>
          </cell>
          <cell r="I155">
            <v>0</v>
          </cell>
          <cell r="J155">
            <v>0</v>
          </cell>
          <cell r="K155">
            <v>0</v>
          </cell>
        </row>
        <row r="156">
          <cell r="B156">
            <v>155</v>
          </cell>
          <cell r="E156">
            <v>0</v>
          </cell>
          <cell r="F156">
            <v>0</v>
          </cell>
          <cell r="G156">
            <v>0</v>
          </cell>
          <cell r="H156">
            <v>0</v>
          </cell>
          <cell r="I156">
            <v>0</v>
          </cell>
          <cell r="J156">
            <v>0</v>
          </cell>
          <cell r="K156">
            <v>0</v>
          </cell>
        </row>
        <row r="157">
          <cell r="B157">
            <v>156</v>
          </cell>
          <cell r="E157">
            <v>0</v>
          </cell>
          <cell r="F157">
            <v>0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  <cell r="K157">
            <v>0</v>
          </cell>
        </row>
        <row r="158">
          <cell r="B158">
            <v>157</v>
          </cell>
          <cell r="E158">
            <v>0</v>
          </cell>
          <cell r="F158">
            <v>0</v>
          </cell>
          <cell r="G158">
            <v>0</v>
          </cell>
          <cell r="H158">
            <v>0</v>
          </cell>
          <cell r="I158">
            <v>0</v>
          </cell>
          <cell r="J158">
            <v>0</v>
          </cell>
          <cell r="K158">
            <v>0</v>
          </cell>
        </row>
        <row r="159">
          <cell r="B159">
            <v>158</v>
          </cell>
          <cell r="E159">
            <v>0</v>
          </cell>
          <cell r="F159">
            <v>0</v>
          </cell>
          <cell r="G159">
            <v>0</v>
          </cell>
          <cell r="H159">
            <v>0</v>
          </cell>
          <cell r="I159">
            <v>0</v>
          </cell>
          <cell r="J159">
            <v>0</v>
          </cell>
          <cell r="K159">
            <v>0</v>
          </cell>
        </row>
        <row r="160">
          <cell r="B160">
            <v>159</v>
          </cell>
          <cell r="E160">
            <v>0</v>
          </cell>
          <cell r="F160">
            <v>0</v>
          </cell>
          <cell r="G160">
            <v>0</v>
          </cell>
          <cell r="H160">
            <v>0</v>
          </cell>
          <cell r="I160">
            <v>0</v>
          </cell>
          <cell r="J160">
            <v>0</v>
          </cell>
          <cell r="K160">
            <v>0</v>
          </cell>
        </row>
        <row r="161">
          <cell r="B161">
            <v>160</v>
          </cell>
          <cell r="E161">
            <v>0</v>
          </cell>
          <cell r="F161">
            <v>0</v>
          </cell>
          <cell r="G161">
            <v>0</v>
          </cell>
          <cell r="H161">
            <v>0</v>
          </cell>
          <cell r="I161">
            <v>0</v>
          </cell>
          <cell r="J161">
            <v>0</v>
          </cell>
          <cell r="K161">
            <v>0</v>
          </cell>
        </row>
        <row r="162">
          <cell r="B162">
            <v>161</v>
          </cell>
          <cell r="E162">
            <v>0</v>
          </cell>
          <cell r="F162">
            <v>0</v>
          </cell>
          <cell r="G162">
            <v>0</v>
          </cell>
          <cell r="H162">
            <v>0</v>
          </cell>
          <cell r="I162">
            <v>0</v>
          </cell>
          <cell r="J162">
            <v>0</v>
          </cell>
          <cell r="K162">
            <v>0</v>
          </cell>
        </row>
        <row r="163">
          <cell r="B163">
            <v>162</v>
          </cell>
          <cell r="E163">
            <v>0</v>
          </cell>
          <cell r="F163">
            <v>0</v>
          </cell>
          <cell r="G163">
            <v>0</v>
          </cell>
          <cell r="H163">
            <v>0</v>
          </cell>
          <cell r="I163">
            <v>0</v>
          </cell>
          <cell r="J163">
            <v>0</v>
          </cell>
          <cell r="K163">
            <v>0</v>
          </cell>
        </row>
        <row r="164">
          <cell r="B164">
            <v>163</v>
          </cell>
          <cell r="E164">
            <v>0</v>
          </cell>
          <cell r="F164">
            <v>0</v>
          </cell>
          <cell r="G164">
            <v>0</v>
          </cell>
          <cell r="H164">
            <v>0</v>
          </cell>
          <cell r="I164">
            <v>0</v>
          </cell>
          <cell r="J164">
            <v>0</v>
          </cell>
          <cell r="K164">
            <v>0</v>
          </cell>
        </row>
        <row r="165">
          <cell r="B165">
            <v>164</v>
          </cell>
          <cell r="E165">
            <v>0</v>
          </cell>
          <cell r="F165">
            <v>0</v>
          </cell>
          <cell r="G165">
            <v>0</v>
          </cell>
          <cell r="H165">
            <v>0</v>
          </cell>
          <cell r="I165">
            <v>0</v>
          </cell>
          <cell r="J165">
            <v>0</v>
          </cell>
          <cell r="K165">
            <v>0</v>
          </cell>
        </row>
        <row r="166">
          <cell r="B166">
            <v>165</v>
          </cell>
          <cell r="E166">
            <v>0</v>
          </cell>
          <cell r="F166">
            <v>0</v>
          </cell>
          <cell r="G166">
            <v>0</v>
          </cell>
          <cell r="H166">
            <v>0</v>
          </cell>
          <cell r="I166">
            <v>0</v>
          </cell>
          <cell r="J166">
            <v>0</v>
          </cell>
          <cell r="K166">
            <v>0</v>
          </cell>
        </row>
        <row r="167">
          <cell r="B167">
            <v>166</v>
          </cell>
          <cell r="E167">
            <v>0</v>
          </cell>
          <cell r="F167">
            <v>0</v>
          </cell>
          <cell r="G167">
            <v>0</v>
          </cell>
          <cell r="H167">
            <v>0</v>
          </cell>
          <cell r="I167">
            <v>0</v>
          </cell>
          <cell r="J167">
            <v>0</v>
          </cell>
          <cell r="K167">
            <v>0</v>
          </cell>
        </row>
        <row r="168">
          <cell r="B168">
            <v>167</v>
          </cell>
          <cell r="E168">
            <v>0</v>
          </cell>
          <cell r="F168">
            <v>0</v>
          </cell>
          <cell r="G168">
            <v>0</v>
          </cell>
          <cell r="H168">
            <v>0</v>
          </cell>
          <cell r="I168">
            <v>0</v>
          </cell>
          <cell r="J168">
            <v>0</v>
          </cell>
          <cell r="K168">
            <v>0</v>
          </cell>
        </row>
        <row r="169">
          <cell r="B169">
            <v>168</v>
          </cell>
          <cell r="E169">
            <v>0</v>
          </cell>
          <cell r="F169">
            <v>0</v>
          </cell>
          <cell r="G169">
            <v>0</v>
          </cell>
          <cell r="H169">
            <v>0</v>
          </cell>
          <cell r="I169">
            <v>0</v>
          </cell>
          <cell r="J169">
            <v>0</v>
          </cell>
          <cell r="K169">
            <v>0</v>
          </cell>
        </row>
        <row r="170">
          <cell r="B170">
            <v>169</v>
          </cell>
          <cell r="E170">
            <v>0</v>
          </cell>
          <cell r="F170">
            <v>0</v>
          </cell>
          <cell r="G170">
            <v>0</v>
          </cell>
          <cell r="H170">
            <v>0</v>
          </cell>
          <cell r="I170">
            <v>0</v>
          </cell>
          <cell r="J170">
            <v>0</v>
          </cell>
          <cell r="K170">
            <v>0</v>
          </cell>
        </row>
        <row r="171">
          <cell r="B171">
            <v>170</v>
          </cell>
          <cell r="E171">
            <v>0</v>
          </cell>
          <cell r="F171">
            <v>0</v>
          </cell>
          <cell r="G171">
            <v>0</v>
          </cell>
          <cell r="H171">
            <v>0</v>
          </cell>
          <cell r="I171">
            <v>0</v>
          </cell>
          <cell r="J171">
            <v>0</v>
          </cell>
          <cell r="K171">
            <v>0</v>
          </cell>
        </row>
        <row r="172">
          <cell r="B172">
            <v>171</v>
          </cell>
          <cell r="E172">
            <v>0</v>
          </cell>
          <cell r="F172">
            <v>0</v>
          </cell>
          <cell r="G172">
            <v>0</v>
          </cell>
          <cell r="H172">
            <v>0</v>
          </cell>
          <cell r="I172">
            <v>0</v>
          </cell>
          <cell r="J172">
            <v>0</v>
          </cell>
          <cell r="K172">
            <v>0</v>
          </cell>
        </row>
        <row r="173">
          <cell r="B173">
            <v>172</v>
          </cell>
          <cell r="E173">
            <v>0</v>
          </cell>
          <cell r="F173">
            <v>0</v>
          </cell>
          <cell r="G173">
            <v>0</v>
          </cell>
          <cell r="H173">
            <v>0</v>
          </cell>
          <cell r="I173">
            <v>0</v>
          </cell>
          <cell r="J173">
            <v>0</v>
          </cell>
          <cell r="K173">
            <v>0</v>
          </cell>
        </row>
        <row r="174">
          <cell r="B174">
            <v>173</v>
          </cell>
          <cell r="E174">
            <v>0</v>
          </cell>
          <cell r="F174">
            <v>0</v>
          </cell>
          <cell r="G174">
            <v>0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</row>
        <row r="175">
          <cell r="B175">
            <v>174</v>
          </cell>
          <cell r="E175">
            <v>0</v>
          </cell>
          <cell r="F175">
            <v>0</v>
          </cell>
          <cell r="G175">
            <v>0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</row>
        <row r="176">
          <cell r="B176">
            <v>175</v>
          </cell>
          <cell r="E176">
            <v>0</v>
          </cell>
          <cell r="F176">
            <v>0</v>
          </cell>
          <cell r="G176">
            <v>0</v>
          </cell>
          <cell r="H176">
            <v>0</v>
          </cell>
          <cell r="I176">
            <v>0</v>
          </cell>
          <cell r="J176">
            <v>0</v>
          </cell>
          <cell r="K176">
            <v>0</v>
          </cell>
        </row>
        <row r="177">
          <cell r="B177">
            <v>176</v>
          </cell>
          <cell r="E177">
            <v>0</v>
          </cell>
          <cell r="F177">
            <v>0</v>
          </cell>
          <cell r="G177">
            <v>0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</row>
        <row r="178">
          <cell r="B178">
            <v>177</v>
          </cell>
          <cell r="E178">
            <v>0</v>
          </cell>
          <cell r="F178">
            <v>0</v>
          </cell>
          <cell r="G178">
            <v>0</v>
          </cell>
          <cell r="H178">
            <v>0</v>
          </cell>
          <cell r="I178">
            <v>0</v>
          </cell>
          <cell r="J178">
            <v>0</v>
          </cell>
          <cell r="K178">
            <v>0</v>
          </cell>
        </row>
        <row r="179">
          <cell r="B179">
            <v>178</v>
          </cell>
          <cell r="E179">
            <v>0</v>
          </cell>
          <cell r="F179">
            <v>0</v>
          </cell>
          <cell r="G179">
            <v>0</v>
          </cell>
          <cell r="H179">
            <v>0</v>
          </cell>
          <cell r="I179">
            <v>0</v>
          </cell>
          <cell r="J179">
            <v>0</v>
          </cell>
          <cell r="K179">
            <v>0</v>
          </cell>
        </row>
        <row r="180">
          <cell r="B180">
            <v>179</v>
          </cell>
          <cell r="E180">
            <v>0</v>
          </cell>
          <cell r="F180">
            <v>0</v>
          </cell>
          <cell r="G180">
            <v>0</v>
          </cell>
          <cell r="H180">
            <v>0</v>
          </cell>
          <cell r="I180">
            <v>0</v>
          </cell>
          <cell r="J180">
            <v>0</v>
          </cell>
          <cell r="K180">
            <v>0</v>
          </cell>
        </row>
        <row r="181">
          <cell r="B181">
            <v>180</v>
          </cell>
          <cell r="E181">
            <v>0</v>
          </cell>
          <cell r="F181">
            <v>0</v>
          </cell>
          <cell r="G181">
            <v>0</v>
          </cell>
          <cell r="H181">
            <v>0</v>
          </cell>
          <cell r="I181">
            <v>0</v>
          </cell>
          <cell r="J181">
            <v>0</v>
          </cell>
          <cell r="K181">
            <v>0</v>
          </cell>
        </row>
        <row r="182">
          <cell r="B182">
            <v>181</v>
          </cell>
          <cell r="E182">
            <v>0</v>
          </cell>
          <cell r="F182">
            <v>0</v>
          </cell>
          <cell r="G182">
            <v>0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</row>
        <row r="183">
          <cell r="B183">
            <v>182</v>
          </cell>
          <cell r="E183">
            <v>0</v>
          </cell>
          <cell r="F183">
            <v>0</v>
          </cell>
          <cell r="G183">
            <v>0</v>
          </cell>
          <cell r="H183">
            <v>0</v>
          </cell>
          <cell r="I183">
            <v>0</v>
          </cell>
          <cell r="J183">
            <v>0</v>
          </cell>
          <cell r="K183">
            <v>0</v>
          </cell>
        </row>
        <row r="184">
          <cell r="B184">
            <v>183</v>
          </cell>
          <cell r="E184">
            <v>0</v>
          </cell>
          <cell r="F184">
            <v>0</v>
          </cell>
          <cell r="G184">
            <v>0</v>
          </cell>
          <cell r="H184">
            <v>0</v>
          </cell>
          <cell r="I184">
            <v>0</v>
          </cell>
          <cell r="J184">
            <v>0</v>
          </cell>
          <cell r="K184">
            <v>0</v>
          </cell>
        </row>
        <row r="185">
          <cell r="B185">
            <v>184</v>
          </cell>
          <cell r="E185">
            <v>0</v>
          </cell>
          <cell r="F185">
            <v>0</v>
          </cell>
          <cell r="G185">
            <v>0</v>
          </cell>
          <cell r="H185">
            <v>0</v>
          </cell>
          <cell r="I185">
            <v>0</v>
          </cell>
          <cell r="J185">
            <v>0</v>
          </cell>
          <cell r="K185">
            <v>0</v>
          </cell>
        </row>
        <row r="186">
          <cell r="B186">
            <v>185</v>
          </cell>
          <cell r="E186">
            <v>0</v>
          </cell>
          <cell r="F186">
            <v>0</v>
          </cell>
          <cell r="G186">
            <v>0</v>
          </cell>
          <cell r="H186">
            <v>0</v>
          </cell>
          <cell r="I186">
            <v>0</v>
          </cell>
          <cell r="J186">
            <v>0</v>
          </cell>
          <cell r="K186">
            <v>0</v>
          </cell>
        </row>
        <row r="187">
          <cell r="B187">
            <v>186</v>
          </cell>
          <cell r="E187">
            <v>0</v>
          </cell>
          <cell r="F187">
            <v>0</v>
          </cell>
          <cell r="G187">
            <v>0</v>
          </cell>
          <cell r="H187">
            <v>0</v>
          </cell>
          <cell r="I187">
            <v>0</v>
          </cell>
          <cell r="J187">
            <v>0</v>
          </cell>
          <cell r="K187">
            <v>0</v>
          </cell>
        </row>
        <row r="188">
          <cell r="B188">
            <v>187</v>
          </cell>
          <cell r="E188">
            <v>0</v>
          </cell>
          <cell r="F188">
            <v>0</v>
          </cell>
          <cell r="G188">
            <v>0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</row>
        <row r="189">
          <cell r="B189">
            <v>188</v>
          </cell>
          <cell r="E189">
            <v>0</v>
          </cell>
          <cell r="F189">
            <v>0</v>
          </cell>
          <cell r="G189">
            <v>0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</row>
        <row r="190">
          <cell r="B190">
            <v>189</v>
          </cell>
          <cell r="E190">
            <v>0</v>
          </cell>
          <cell r="F190">
            <v>0</v>
          </cell>
          <cell r="G190">
            <v>0</v>
          </cell>
          <cell r="H190">
            <v>0</v>
          </cell>
          <cell r="I190">
            <v>0</v>
          </cell>
          <cell r="J190">
            <v>0</v>
          </cell>
          <cell r="K190">
            <v>0</v>
          </cell>
        </row>
        <row r="191">
          <cell r="B191">
            <v>190</v>
          </cell>
          <cell r="E191">
            <v>0</v>
          </cell>
          <cell r="F191">
            <v>0</v>
          </cell>
          <cell r="G191">
            <v>0</v>
          </cell>
          <cell r="H191">
            <v>0</v>
          </cell>
          <cell r="I191">
            <v>0</v>
          </cell>
          <cell r="J191">
            <v>0</v>
          </cell>
          <cell r="K191">
            <v>0</v>
          </cell>
        </row>
        <row r="192">
          <cell r="B192">
            <v>191</v>
          </cell>
          <cell r="E192">
            <v>0</v>
          </cell>
          <cell r="F192">
            <v>0</v>
          </cell>
          <cell r="G192">
            <v>0</v>
          </cell>
          <cell r="H192">
            <v>0</v>
          </cell>
          <cell r="I192">
            <v>0</v>
          </cell>
          <cell r="J192">
            <v>0</v>
          </cell>
          <cell r="K192">
            <v>0</v>
          </cell>
        </row>
        <row r="193">
          <cell r="B193">
            <v>192</v>
          </cell>
          <cell r="E193">
            <v>0</v>
          </cell>
          <cell r="F193">
            <v>0</v>
          </cell>
          <cell r="G193">
            <v>0</v>
          </cell>
          <cell r="H193">
            <v>0</v>
          </cell>
          <cell r="I193">
            <v>0</v>
          </cell>
          <cell r="J193">
            <v>0</v>
          </cell>
          <cell r="K193">
            <v>0</v>
          </cell>
        </row>
        <row r="194">
          <cell r="B194">
            <v>193</v>
          </cell>
          <cell r="E194">
            <v>0</v>
          </cell>
          <cell r="F194">
            <v>0</v>
          </cell>
          <cell r="G194">
            <v>0</v>
          </cell>
          <cell r="H194">
            <v>0</v>
          </cell>
          <cell r="I194">
            <v>0</v>
          </cell>
          <cell r="J194">
            <v>0</v>
          </cell>
          <cell r="K194">
            <v>0</v>
          </cell>
        </row>
        <row r="195">
          <cell r="B195">
            <v>194</v>
          </cell>
          <cell r="E195">
            <v>0</v>
          </cell>
          <cell r="F195">
            <v>0</v>
          </cell>
          <cell r="G195">
            <v>0</v>
          </cell>
          <cell r="H195">
            <v>0</v>
          </cell>
          <cell r="I195">
            <v>0</v>
          </cell>
          <cell r="J195">
            <v>0</v>
          </cell>
          <cell r="K195">
            <v>0</v>
          </cell>
        </row>
        <row r="196">
          <cell r="B196">
            <v>195</v>
          </cell>
          <cell r="E196">
            <v>0</v>
          </cell>
          <cell r="F196">
            <v>0</v>
          </cell>
          <cell r="G196">
            <v>0</v>
          </cell>
          <cell r="H196">
            <v>0</v>
          </cell>
          <cell r="I196">
            <v>0</v>
          </cell>
          <cell r="J196">
            <v>0</v>
          </cell>
          <cell r="K196">
            <v>0</v>
          </cell>
        </row>
        <row r="197">
          <cell r="B197">
            <v>196</v>
          </cell>
          <cell r="E197">
            <v>0</v>
          </cell>
          <cell r="F197">
            <v>0</v>
          </cell>
          <cell r="G197">
            <v>0</v>
          </cell>
          <cell r="H197">
            <v>0</v>
          </cell>
          <cell r="I197">
            <v>0</v>
          </cell>
          <cell r="J197">
            <v>0</v>
          </cell>
          <cell r="K197">
            <v>0</v>
          </cell>
        </row>
        <row r="198">
          <cell r="B198">
            <v>197</v>
          </cell>
          <cell r="E198">
            <v>0</v>
          </cell>
          <cell r="F198">
            <v>0</v>
          </cell>
          <cell r="G198">
            <v>0</v>
          </cell>
          <cell r="H198">
            <v>0</v>
          </cell>
          <cell r="I198">
            <v>0</v>
          </cell>
          <cell r="J198">
            <v>0</v>
          </cell>
          <cell r="K198">
            <v>0</v>
          </cell>
        </row>
        <row r="199">
          <cell r="B199">
            <v>198</v>
          </cell>
          <cell r="E199">
            <v>0</v>
          </cell>
          <cell r="F199">
            <v>0</v>
          </cell>
          <cell r="G199">
            <v>0</v>
          </cell>
          <cell r="H199">
            <v>0</v>
          </cell>
          <cell r="I199">
            <v>0</v>
          </cell>
          <cell r="J199">
            <v>0</v>
          </cell>
          <cell r="K199">
            <v>0</v>
          </cell>
        </row>
        <row r="200">
          <cell r="B200">
            <v>199</v>
          </cell>
          <cell r="E200">
            <v>0</v>
          </cell>
          <cell r="F200">
            <v>0</v>
          </cell>
          <cell r="G200">
            <v>0</v>
          </cell>
          <cell r="H200">
            <v>0</v>
          </cell>
          <cell r="I200">
            <v>0</v>
          </cell>
          <cell r="J200">
            <v>0</v>
          </cell>
          <cell r="K200">
            <v>0</v>
          </cell>
        </row>
        <row r="201">
          <cell r="B201">
            <v>200</v>
          </cell>
          <cell r="E201">
            <v>0</v>
          </cell>
          <cell r="F201">
            <v>0</v>
          </cell>
          <cell r="G201">
            <v>0</v>
          </cell>
          <cell r="H201">
            <v>0</v>
          </cell>
          <cell r="I201">
            <v>0</v>
          </cell>
          <cell r="J201">
            <v>0</v>
          </cell>
          <cell r="K201">
            <v>0</v>
          </cell>
        </row>
        <row r="202">
          <cell r="B202">
            <v>201</v>
          </cell>
          <cell r="E202">
            <v>0</v>
          </cell>
          <cell r="F202">
            <v>0</v>
          </cell>
          <cell r="G202">
            <v>0</v>
          </cell>
          <cell r="H202">
            <v>0</v>
          </cell>
          <cell r="I202">
            <v>0</v>
          </cell>
          <cell r="J202">
            <v>0</v>
          </cell>
          <cell r="K202">
            <v>0</v>
          </cell>
        </row>
        <row r="203">
          <cell r="B203">
            <v>202</v>
          </cell>
          <cell r="E203">
            <v>0</v>
          </cell>
          <cell r="F203">
            <v>0</v>
          </cell>
          <cell r="G203">
            <v>0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</row>
        <row r="204">
          <cell r="B204">
            <v>203</v>
          </cell>
          <cell r="E204">
            <v>0</v>
          </cell>
          <cell r="F204">
            <v>0</v>
          </cell>
          <cell r="G204">
            <v>0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</row>
        <row r="205">
          <cell r="B205">
            <v>204</v>
          </cell>
          <cell r="E205">
            <v>0</v>
          </cell>
          <cell r="F205">
            <v>0</v>
          </cell>
          <cell r="G205">
            <v>0</v>
          </cell>
          <cell r="H205">
            <v>0</v>
          </cell>
          <cell r="I205">
            <v>0</v>
          </cell>
          <cell r="J205">
            <v>0</v>
          </cell>
          <cell r="K205">
            <v>0</v>
          </cell>
        </row>
        <row r="206">
          <cell r="B206">
            <v>205</v>
          </cell>
          <cell r="E206">
            <v>0</v>
          </cell>
          <cell r="F206">
            <v>0</v>
          </cell>
          <cell r="G206">
            <v>0</v>
          </cell>
          <cell r="H206">
            <v>0</v>
          </cell>
          <cell r="I206">
            <v>0</v>
          </cell>
          <cell r="J206">
            <v>0</v>
          </cell>
          <cell r="K206">
            <v>0</v>
          </cell>
        </row>
        <row r="207">
          <cell r="B207">
            <v>206</v>
          </cell>
          <cell r="E207">
            <v>0</v>
          </cell>
          <cell r="F207">
            <v>0</v>
          </cell>
          <cell r="G207">
            <v>0</v>
          </cell>
          <cell r="H207">
            <v>0</v>
          </cell>
          <cell r="I207">
            <v>0</v>
          </cell>
          <cell r="J207">
            <v>0</v>
          </cell>
          <cell r="K207">
            <v>0</v>
          </cell>
        </row>
        <row r="208">
          <cell r="B208">
            <v>207</v>
          </cell>
          <cell r="E208">
            <v>0</v>
          </cell>
          <cell r="F208">
            <v>0</v>
          </cell>
          <cell r="G208">
            <v>0</v>
          </cell>
          <cell r="H208">
            <v>0</v>
          </cell>
          <cell r="I208">
            <v>0</v>
          </cell>
          <cell r="J208">
            <v>0</v>
          </cell>
          <cell r="K208">
            <v>0</v>
          </cell>
        </row>
        <row r="209">
          <cell r="B209">
            <v>208</v>
          </cell>
          <cell r="E209">
            <v>0</v>
          </cell>
          <cell r="F209">
            <v>0</v>
          </cell>
          <cell r="G209">
            <v>0</v>
          </cell>
          <cell r="H209">
            <v>0</v>
          </cell>
          <cell r="I209">
            <v>0</v>
          </cell>
          <cell r="J209">
            <v>0</v>
          </cell>
          <cell r="K209">
            <v>0</v>
          </cell>
        </row>
        <row r="210">
          <cell r="B210">
            <v>209</v>
          </cell>
          <cell r="E210">
            <v>0</v>
          </cell>
          <cell r="F210">
            <v>0</v>
          </cell>
          <cell r="G210">
            <v>0</v>
          </cell>
          <cell r="H210">
            <v>0</v>
          </cell>
          <cell r="I210">
            <v>0</v>
          </cell>
          <cell r="J210">
            <v>0</v>
          </cell>
          <cell r="K210">
            <v>0</v>
          </cell>
        </row>
        <row r="211">
          <cell r="B211">
            <v>210</v>
          </cell>
          <cell r="E211">
            <v>0</v>
          </cell>
          <cell r="F211">
            <v>0</v>
          </cell>
          <cell r="G211">
            <v>0</v>
          </cell>
          <cell r="H211">
            <v>0</v>
          </cell>
          <cell r="I211">
            <v>0</v>
          </cell>
          <cell r="J211">
            <v>0</v>
          </cell>
          <cell r="K211">
            <v>0</v>
          </cell>
        </row>
        <row r="212">
          <cell r="B212">
            <v>211</v>
          </cell>
          <cell r="E212">
            <v>0</v>
          </cell>
          <cell r="F212">
            <v>0</v>
          </cell>
          <cell r="G212">
            <v>0</v>
          </cell>
          <cell r="H212">
            <v>0</v>
          </cell>
          <cell r="I212">
            <v>0</v>
          </cell>
          <cell r="J212">
            <v>0</v>
          </cell>
          <cell r="K212">
            <v>0</v>
          </cell>
        </row>
        <row r="213">
          <cell r="B213">
            <v>212</v>
          </cell>
          <cell r="K213">
            <v>0</v>
          </cell>
        </row>
        <row r="214">
          <cell r="B214">
            <v>213</v>
          </cell>
          <cell r="K214">
            <v>0</v>
          </cell>
        </row>
        <row r="215">
          <cell r="B215">
            <v>214</v>
          </cell>
          <cell r="K215">
            <v>0</v>
          </cell>
        </row>
        <row r="216">
          <cell r="B216">
            <v>215</v>
          </cell>
          <cell r="K216">
            <v>0</v>
          </cell>
        </row>
        <row r="217">
          <cell r="B217">
            <v>216</v>
          </cell>
          <cell r="K217">
            <v>0</v>
          </cell>
        </row>
        <row r="218">
          <cell r="B218">
            <v>217</v>
          </cell>
          <cell r="K218">
            <v>0</v>
          </cell>
        </row>
        <row r="219">
          <cell r="B219">
            <v>218</v>
          </cell>
          <cell r="K219">
            <v>0</v>
          </cell>
        </row>
        <row r="220">
          <cell r="B220">
            <v>219</v>
          </cell>
          <cell r="K220">
            <v>0</v>
          </cell>
        </row>
        <row r="221">
          <cell r="B221">
            <v>220</v>
          </cell>
          <cell r="K221">
            <v>0</v>
          </cell>
        </row>
        <row r="222">
          <cell r="B222">
            <v>221</v>
          </cell>
          <cell r="K222">
            <v>0</v>
          </cell>
        </row>
        <row r="223">
          <cell r="B223">
            <v>222</v>
          </cell>
          <cell r="K223">
            <v>0</v>
          </cell>
        </row>
        <row r="224">
          <cell r="B224">
            <v>223</v>
          </cell>
          <cell r="K224">
            <v>0</v>
          </cell>
        </row>
        <row r="225">
          <cell r="B225">
            <v>224</v>
          </cell>
          <cell r="K225">
            <v>0</v>
          </cell>
        </row>
        <row r="226">
          <cell r="B226">
            <v>225</v>
          </cell>
          <cell r="K226">
            <v>0</v>
          </cell>
        </row>
        <row r="227">
          <cell r="B227">
            <v>226</v>
          </cell>
          <cell r="K227">
            <v>0</v>
          </cell>
        </row>
        <row r="228">
          <cell r="B228">
            <v>227</v>
          </cell>
          <cell r="K228">
            <v>0</v>
          </cell>
        </row>
        <row r="229">
          <cell r="B229">
            <v>228</v>
          </cell>
          <cell r="K229">
            <v>0</v>
          </cell>
        </row>
        <row r="230">
          <cell r="B230">
            <v>229</v>
          </cell>
          <cell r="K230">
            <v>0</v>
          </cell>
        </row>
        <row r="231">
          <cell r="B231">
            <v>230</v>
          </cell>
          <cell r="K231">
            <v>0</v>
          </cell>
        </row>
        <row r="232">
          <cell r="B232">
            <v>231</v>
          </cell>
          <cell r="K232">
            <v>0</v>
          </cell>
        </row>
        <row r="233">
          <cell r="B233">
            <v>232</v>
          </cell>
          <cell r="K233">
            <v>0</v>
          </cell>
        </row>
        <row r="234">
          <cell r="B234">
            <v>233</v>
          </cell>
          <cell r="K234">
            <v>0</v>
          </cell>
        </row>
        <row r="235">
          <cell r="B235">
            <v>234</v>
          </cell>
          <cell r="K235">
            <v>0</v>
          </cell>
        </row>
        <row r="236">
          <cell r="B236">
            <v>235</v>
          </cell>
          <cell r="K236">
            <v>0</v>
          </cell>
        </row>
        <row r="237">
          <cell r="B237">
            <v>236</v>
          </cell>
          <cell r="K237">
            <v>0</v>
          </cell>
        </row>
        <row r="238">
          <cell r="B238">
            <v>237</v>
          </cell>
          <cell r="K238">
            <v>0</v>
          </cell>
        </row>
        <row r="239">
          <cell r="B239">
            <v>238</v>
          </cell>
          <cell r="K239">
            <v>0</v>
          </cell>
        </row>
        <row r="240">
          <cell r="B240">
            <v>239</v>
          </cell>
          <cell r="K240">
            <v>0</v>
          </cell>
        </row>
        <row r="241">
          <cell r="B241">
            <v>240</v>
          </cell>
          <cell r="K241">
            <v>0</v>
          </cell>
        </row>
        <row r="242">
          <cell r="B242">
            <v>241</v>
          </cell>
          <cell r="K242">
            <v>0</v>
          </cell>
        </row>
        <row r="243">
          <cell r="B243">
            <v>242</v>
          </cell>
          <cell r="K243">
            <v>0</v>
          </cell>
        </row>
        <row r="244">
          <cell r="B244">
            <v>243</v>
          </cell>
          <cell r="K244">
            <v>0</v>
          </cell>
        </row>
        <row r="245">
          <cell r="B245">
            <v>244</v>
          </cell>
          <cell r="K245">
            <v>0</v>
          </cell>
        </row>
        <row r="246">
          <cell r="B246">
            <v>245</v>
          </cell>
          <cell r="K246">
            <v>0</v>
          </cell>
        </row>
        <row r="247">
          <cell r="B247">
            <v>246</v>
          </cell>
          <cell r="K247">
            <v>0</v>
          </cell>
        </row>
        <row r="248">
          <cell r="B248">
            <v>247</v>
          </cell>
          <cell r="K248">
            <v>0</v>
          </cell>
        </row>
        <row r="249">
          <cell r="B249">
            <v>248</v>
          </cell>
          <cell r="K249">
            <v>0</v>
          </cell>
        </row>
        <row r="250">
          <cell r="B250">
            <v>249</v>
          </cell>
          <cell r="K250">
            <v>0</v>
          </cell>
        </row>
        <row r="251">
          <cell r="B251">
            <v>250</v>
          </cell>
          <cell r="K251">
            <v>0</v>
          </cell>
        </row>
        <row r="252">
          <cell r="B252">
            <v>251</v>
          </cell>
          <cell r="K252">
            <v>0</v>
          </cell>
        </row>
        <row r="253">
          <cell r="B253">
            <v>252</v>
          </cell>
          <cell r="K253">
            <v>0</v>
          </cell>
        </row>
        <row r="254">
          <cell r="B254">
            <v>253</v>
          </cell>
          <cell r="K254">
            <v>0</v>
          </cell>
        </row>
        <row r="255">
          <cell r="B255">
            <v>254</v>
          </cell>
          <cell r="K255">
            <v>0</v>
          </cell>
        </row>
        <row r="256">
          <cell r="B256">
            <v>255</v>
          </cell>
          <cell r="K256">
            <v>0</v>
          </cell>
        </row>
        <row r="257">
          <cell r="B257">
            <v>256</v>
          </cell>
          <cell r="K257">
            <v>0</v>
          </cell>
        </row>
        <row r="258">
          <cell r="B258">
            <v>257</v>
          </cell>
          <cell r="K258">
            <v>0</v>
          </cell>
        </row>
        <row r="259">
          <cell r="B259">
            <v>258</v>
          </cell>
          <cell r="K259">
            <v>0</v>
          </cell>
        </row>
        <row r="260">
          <cell r="B260">
            <v>259</v>
          </cell>
          <cell r="K260">
            <v>0</v>
          </cell>
        </row>
        <row r="261">
          <cell r="B261">
            <v>260</v>
          </cell>
          <cell r="K261">
            <v>0</v>
          </cell>
        </row>
        <row r="262">
          <cell r="B262">
            <v>261</v>
          </cell>
          <cell r="K262">
            <v>0</v>
          </cell>
        </row>
        <row r="263">
          <cell r="B263">
            <v>262</v>
          </cell>
          <cell r="K263">
            <v>0</v>
          </cell>
        </row>
        <row r="264">
          <cell r="B264">
            <v>263</v>
          </cell>
          <cell r="K264">
            <v>0</v>
          </cell>
        </row>
        <row r="265">
          <cell r="B265">
            <v>264</v>
          </cell>
          <cell r="K265">
            <v>0</v>
          </cell>
        </row>
        <row r="266">
          <cell r="B266">
            <v>265</v>
          </cell>
          <cell r="K266">
            <v>0</v>
          </cell>
        </row>
        <row r="267">
          <cell r="B267">
            <v>266</v>
          </cell>
          <cell r="K267">
            <v>0</v>
          </cell>
        </row>
        <row r="268">
          <cell r="B268">
            <v>267</v>
          </cell>
          <cell r="K268">
            <v>0</v>
          </cell>
        </row>
        <row r="269">
          <cell r="B269">
            <v>268</v>
          </cell>
          <cell r="K269">
            <v>0</v>
          </cell>
        </row>
        <row r="270">
          <cell r="B270">
            <v>269</v>
          </cell>
          <cell r="K270">
            <v>0</v>
          </cell>
        </row>
        <row r="271">
          <cell r="B271">
            <v>270</v>
          </cell>
          <cell r="K271">
            <v>0</v>
          </cell>
        </row>
        <row r="272">
          <cell r="B272">
            <v>271</v>
          </cell>
          <cell r="K272">
            <v>0</v>
          </cell>
        </row>
        <row r="273">
          <cell r="B273">
            <v>272</v>
          </cell>
          <cell r="K273">
            <v>0</v>
          </cell>
        </row>
        <row r="274">
          <cell r="B274">
            <v>273</v>
          </cell>
          <cell r="K274">
            <v>0</v>
          </cell>
        </row>
        <row r="275">
          <cell r="B275">
            <v>274</v>
          </cell>
          <cell r="K275">
            <v>0</v>
          </cell>
        </row>
        <row r="276">
          <cell r="B276">
            <v>275</v>
          </cell>
          <cell r="K276">
            <v>0</v>
          </cell>
        </row>
        <row r="277">
          <cell r="B277">
            <v>276</v>
          </cell>
          <cell r="K277">
            <v>0</v>
          </cell>
        </row>
        <row r="278">
          <cell r="B278">
            <v>277</v>
          </cell>
          <cell r="K278">
            <v>0</v>
          </cell>
        </row>
        <row r="279">
          <cell r="B279">
            <v>278</v>
          </cell>
          <cell r="K279">
            <v>0</v>
          </cell>
        </row>
        <row r="280">
          <cell r="B280">
            <v>279</v>
          </cell>
          <cell r="K280">
            <v>0</v>
          </cell>
        </row>
        <row r="281">
          <cell r="B281">
            <v>280</v>
          </cell>
          <cell r="K281">
            <v>0</v>
          </cell>
        </row>
        <row r="282">
          <cell r="B282">
            <v>281</v>
          </cell>
          <cell r="K282">
            <v>0</v>
          </cell>
        </row>
        <row r="283">
          <cell r="B283">
            <v>282</v>
          </cell>
          <cell r="K283">
            <v>0</v>
          </cell>
        </row>
        <row r="284">
          <cell r="B284">
            <v>283</v>
          </cell>
          <cell r="K284">
            <v>0</v>
          </cell>
        </row>
        <row r="285">
          <cell r="B285">
            <v>284</v>
          </cell>
          <cell r="K285">
            <v>0</v>
          </cell>
        </row>
        <row r="286">
          <cell r="B286">
            <v>285</v>
          </cell>
          <cell r="K286">
            <v>0</v>
          </cell>
        </row>
        <row r="287">
          <cell r="B287">
            <v>286</v>
          </cell>
          <cell r="K287">
            <v>0</v>
          </cell>
        </row>
        <row r="288">
          <cell r="B288">
            <v>287</v>
          </cell>
          <cell r="K288">
            <v>0</v>
          </cell>
        </row>
        <row r="289">
          <cell r="B289">
            <v>288</v>
          </cell>
          <cell r="K289">
            <v>0</v>
          </cell>
        </row>
        <row r="290">
          <cell r="B290">
            <v>289</v>
          </cell>
          <cell r="K290">
            <v>0</v>
          </cell>
        </row>
        <row r="291">
          <cell r="B291">
            <v>290</v>
          </cell>
          <cell r="K291">
            <v>0</v>
          </cell>
        </row>
        <row r="292">
          <cell r="B292">
            <v>291</v>
          </cell>
          <cell r="K292">
            <v>0</v>
          </cell>
        </row>
        <row r="293">
          <cell r="B293">
            <v>292</v>
          </cell>
          <cell r="K293">
            <v>0</v>
          </cell>
        </row>
        <row r="294">
          <cell r="B294">
            <v>293</v>
          </cell>
          <cell r="K294">
            <v>0</v>
          </cell>
        </row>
        <row r="295">
          <cell r="B295">
            <v>294</v>
          </cell>
          <cell r="K295">
            <v>0</v>
          </cell>
        </row>
        <row r="296">
          <cell r="B296">
            <v>295</v>
          </cell>
          <cell r="K296">
            <v>0</v>
          </cell>
        </row>
        <row r="297">
          <cell r="B297">
            <v>296</v>
          </cell>
          <cell r="K297">
            <v>0</v>
          </cell>
        </row>
        <row r="298">
          <cell r="B298">
            <v>297</v>
          </cell>
          <cell r="K298">
            <v>0</v>
          </cell>
        </row>
        <row r="299">
          <cell r="B299">
            <v>298</v>
          </cell>
          <cell r="K299">
            <v>0</v>
          </cell>
        </row>
        <row r="300">
          <cell r="B300">
            <v>299</v>
          </cell>
          <cell r="K300">
            <v>0</v>
          </cell>
        </row>
        <row r="301">
          <cell r="B301">
            <v>300</v>
          </cell>
          <cell r="K301">
            <v>0</v>
          </cell>
        </row>
        <row r="302">
          <cell r="B302">
            <v>301</v>
          </cell>
          <cell r="K302">
            <v>0</v>
          </cell>
        </row>
        <row r="303">
          <cell r="B303">
            <v>302</v>
          </cell>
          <cell r="K303">
            <v>0</v>
          </cell>
        </row>
        <row r="304">
          <cell r="B304">
            <v>303</v>
          </cell>
          <cell r="K304">
            <v>0</v>
          </cell>
        </row>
        <row r="305">
          <cell r="B305">
            <v>304</v>
          </cell>
          <cell r="K305">
            <v>0</v>
          </cell>
        </row>
        <row r="306">
          <cell r="B306">
            <v>305</v>
          </cell>
          <cell r="K306">
            <v>0</v>
          </cell>
        </row>
        <row r="307">
          <cell r="B307">
            <v>306</v>
          </cell>
          <cell r="K307">
            <v>0</v>
          </cell>
        </row>
        <row r="308">
          <cell r="B308">
            <v>307</v>
          </cell>
          <cell r="K308">
            <v>0</v>
          </cell>
        </row>
        <row r="309">
          <cell r="B309">
            <v>308</v>
          </cell>
          <cell r="K309">
            <v>0</v>
          </cell>
        </row>
        <row r="310">
          <cell r="B310">
            <v>309</v>
          </cell>
          <cell r="K310">
            <v>0</v>
          </cell>
        </row>
        <row r="311">
          <cell r="B311">
            <v>310</v>
          </cell>
          <cell r="K311">
            <v>0</v>
          </cell>
        </row>
        <row r="312">
          <cell r="B312">
            <v>311</v>
          </cell>
          <cell r="K312">
            <v>0</v>
          </cell>
        </row>
        <row r="313">
          <cell r="B313">
            <v>312</v>
          </cell>
          <cell r="K313">
            <v>0</v>
          </cell>
        </row>
        <row r="314">
          <cell r="B314">
            <v>313</v>
          </cell>
          <cell r="K314">
            <v>0</v>
          </cell>
        </row>
        <row r="315">
          <cell r="B315">
            <v>314</v>
          </cell>
          <cell r="K315">
            <v>0</v>
          </cell>
        </row>
        <row r="316">
          <cell r="B316">
            <v>315</v>
          </cell>
          <cell r="K316">
            <v>0</v>
          </cell>
        </row>
        <row r="317">
          <cell r="B317">
            <v>316</v>
          </cell>
          <cell r="K317">
            <v>0</v>
          </cell>
        </row>
        <row r="318">
          <cell r="B318">
            <v>317</v>
          </cell>
          <cell r="K318">
            <v>0</v>
          </cell>
        </row>
        <row r="319">
          <cell r="B319">
            <v>318</v>
          </cell>
          <cell r="K319">
            <v>0</v>
          </cell>
        </row>
        <row r="320">
          <cell r="B320">
            <v>319</v>
          </cell>
          <cell r="K320">
            <v>0</v>
          </cell>
        </row>
        <row r="321">
          <cell r="B321">
            <v>320</v>
          </cell>
          <cell r="K321">
            <v>0</v>
          </cell>
        </row>
        <row r="322">
          <cell r="B322">
            <v>321</v>
          </cell>
          <cell r="K322">
            <v>0</v>
          </cell>
        </row>
        <row r="323">
          <cell r="B323">
            <v>322</v>
          </cell>
          <cell r="K323">
            <v>0</v>
          </cell>
        </row>
        <row r="324">
          <cell r="B324">
            <v>323</v>
          </cell>
          <cell r="K324">
            <v>0</v>
          </cell>
        </row>
        <row r="325">
          <cell r="B325">
            <v>324</v>
          </cell>
          <cell r="K325">
            <v>0</v>
          </cell>
        </row>
        <row r="326">
          <cell r="B326">
            <v>325</v>
          </cell>
          <cell r="K326">
            <v>0</v>
          </cell>
        </row>
        <row r="327">
          <cell r="B327">
            <v>326</v>
          </cell>
          <cell r="K327">
            <v>0</v>
          </cell>
        </row>
        <row r="328">
          <cell r="B328">
            <v>327</v>
          </cell>
          <cell r="K328">
            <v>0</v>
          </cell>
        </row>
        <row r="329">
          <cell r="B329">
            <v>328</v>
          </cell>
          <cell r="K329">
            <v>0</v>
          </cell>
        </row>
        <row r="330">
          <cell r="B330">
            <v>329</v>
          </cell>
          <cell r="K330">
            <v>0</v>
          </cell>
        </row>
        <row r="331">
          <cell r="B331">
            <v>330</v>
          </cell>
          <cell r="K331">
            <v>0</v>
          </cell>
        </row>
        <row r="332">
          <cell r="B332">
            <v>331</v>
          </cell>
          <cell r="K332">
            <v>0</v>
          </cell>
        </row>
        <row r="333">
          <cell r="B333">
            <v>332</v>
          </cell>
          <cell r="K333">
            <v>0</v>
          </cell>
        </row>
        <row r="334">
          <cell r="B334">
            <v>333</v>
          </cell>
          <cell r="K334">
            <v>0</v>
          </cell>
        </row>
        <row r="335">
          <cell r="B335">
            <v>334</v>
          </cell>
          <cell r="K335">
            <v>0</v>
          </cell>
        </row>
        <row r="336">
          <cell r="B336">
            <v>335</v>
          </cell>
          <cell r="K336">
            <v>0</v>
          </cell>
        </row>
        <row r="337">
          <cell r="B337">
            <v>336</v>
          </cell>
          <cell r="K337">
            <v>0</v>
          </cell>
        </row>
        <row r="338">
          <cell r="B338">
            <v>337</v>
          </cell>
          <cell r="K338">
            <v>0</v>
          </cell>
        </row>
        <row r="339">
          <cell r="B339">
            <v>338</v>
          </cell>
          <cell r="K339">
            <v>0</v>
          </cell>
        </row>
        <row r="340">
          <cell r="B340">
            <v>339</v>
          </cell>
          <cell r="K340">
            <v>0</v>
          </cell>
        </row>
        <row r="341">
          <cell r="B341">
            <v>340</v>
          </cell>
          <cell r="K341">
            <v>0</v>
          </cell>
        </row>
        <row r="342">
          <cell r="B342">
            <v>341</v>
          </cell>
          <cell r="K342">
            <v>0</v>
          </cell>
        </row>
        <row r="343">
          <cell r="B343">
            <v>342</v>
          </cell>
          <cell r="K343">
            <v>0</v>
          </cell>
        </row>
        <row r="344">
          <cell r="B344">
            <v>343</v>
          </cell>
          <cell r="K344">
            <v>0</v>
          </cell>
        </row>
        <row r="345">
          <cell r="B345">
            <v>344</v>
          </cell>
          <cell r="K345">
            <v>0</v>
          </cell>
        </row>
        <row r="346">
          <cell r="B346">
            <v>345</v>
          </cell>
          <cell r="K346">
            <v>0</v>
          </cell>
        </row>
        <row r="347">
          <cell r="B347">
            <v>346</v>
          </cell>
          <cell r="K347">
            <v>0</v>
          </cell>
        </row>
        <row r="348">
          <cell r="B348">
            <v>347</v>
          </cell>
          <cell r="K348">
            <v>0</v>
          </cell>
        </row>
        <row r="349">
          <cell r="B349">
            <v>348</v>
          </cell>
          <cell r="K349">
            <v>0</v>
          </cell>
        </row>
        <row r="350">
          <cell r="B350">
            <v>349</v>
          </cell>
          <cell r="K350">
            <v>0</v>
          </cell>
        </row>
        <row r="351">
          <cell r="B351">
            <v>350</v>
          </cell>
          <cell r="K351">
            <v>0</v>
          </cell>
        </row>
        <row r="352">
          <cell r="B352">
            <v>351</v>
          </cell>
          <cell r="K352">
            <v>0</v>
          </cell>
        </row>
        <row r="353">
          <cell r="B353">
            <v>352</v>
          </cell>
          <cell r="K353">
            <v>0</v>
          </cell>
        </row>
        <row r="354">
          <cell r="B354">
            <v>353</v>
          </cell>
          <cell r="K354">
            <v>0</v>
          </cell>
        </row>
        <row r="355">
          <cell r="B355">
            <v>354</v>
          </cell>
          <cell r="K355">
            <v>0</v>
          </cell>
        </row>
        <row r="356">
          <cell r="B356">
            <v>355</v>
          </cell>
          <cell r="K356">
            <v>0</v>
          </cell>
        </row>
        <row r="357">
          <cell r="B357">
            <v>356</v>
          </cell>
          <cell r="K357">
            <v>0</v>
          </cell>
        </row>
        <row r="358">
          <cell r="B358">
            <v>357</v>
          </cell>
          <cell r="K358">
            <v>0</v>
          </cell>
        </row>
        <row r="359">
          <cell r="B359">
            <v>358</v>
          </cell>
          <cell r="K359">
            <v>0</v>
          </cell>
        </row>
        <row r="360">
          <cell r="B360">
            <v>359</v>
          </cell>
          <cell r="K360">
            <v>0</v>
          </cell>
        </row>
        <row r="361">
          <cell r="B361">
            <v>360</v>
          </cell>
          <cell r="K361">
            <v>0</v>
          </cell>
        </row>
        <row r="362">
          <cell r="B362">
            <v>361</v>
          </cell>
          <cell r="K362">
            <v>0</v>
          </cell>
        </row>
        <row r="363">
          <cell r="B363">
            <v>362</v>
          </cell>
          <cell r="K363">
            <v>0</v>
          </cell>
        </row>
        <row r="364">
          <cell r="B364">
            <v>363</v>
          </cell>
          <cell r="K364">
            <v>0</v>
          </cell>
        </row>
        <row r="365">
          <cell r="B365">
            <v>364</v>
          </cell>
          <cell r="K365">
            <v>0</v>
          </cell>
        </row>
        <row r="366">
          <cell r="B366">
            <v>365</v>
          </cell>
          <cell r="K366">
            <v>0</v>
          </cell>
        </row>
        <row r="367">
          <cell r="B367">
            <v>366</v>
          </cell>
          <cell r="K367">
            <v>0</v>
          </cell>
        </row>
        <row r="368">
          <cell r="B368">
            <v>367</v>
          </cell>
          <cell r="K368">
            <v>0</v>
          </cell>
        </row>
        <row r="369">
          <cell r="B369">
            <v>368</v>
          </cell>
          <cell r="K369">
            <v>0</v>
          </cell>
        </row>
        <row r="370">
          <cell r="B370">
            <v>369</v>
          </cell>
          <cell r="K370">
            <v>0</v>
          </cell>
        </row>
        <row r="371">
          <cell r="B371">
            <v>370</v>
          </cell>
          <cell r="K371">
            <v>0</v>
          </cell>
        </row>
        <row r="372">
          <cell r="B372">
            <v>371</v>
          </cell>
          <cell r="K372">
            <v>0</v>
          </cell>
        </row>
        <row r="373">
          <cell r="B373">
            <v>372</v>
          </cell>
          <cell r="K373">
            <v>0</v>
          </cell>
        </row>
        <row r="374">
          <cell r="B374">
            <v>373</v>
          </cell>
          <cell r="K374">
            <v>0</v>
          </cell>
        </row>
        <row r="375">
          <cell r="B375">
            <v>374</v>
          </cell>
          <cell r="K375">
            <v>0</v>
          </cell>
        </row>
        <row r="376">
          <cell r="B376">
            <v>375</v>
          </cell>
          <cell r="K376">
            <v>0</v>
          </cell>
        </row>
        <row r="377">
          <cell r="B377">
            <v>376</v>
          </cell>
          <cell r="K377">
            <v>0</v>
          </cell>
        </row>
        <row r="378">
          <cell r="B378">
            <v>377</v>
          </cell>
          <cell r="K378">
            <v>0</v>
          </cell>
        </row>
        <row r="379">
          <cell r="B379">
            <v>378</v>
          </cell>
          <cell r="K379">
            <v>0</v>
          </cell>
        </row>
        <row r="380">
          <cell r="B380">
            <v>379</v>
          </cell>
          <cell r="K380">
            <v>0</v>
          </cell>
        </row>
        <row r="381">
          <cell r="B381">
            <v>380</v>
          </cell>
          <cell r="K381">
            <v>0</v>
          </cell>
        </row>
        <row r="382">
          <cell r="B382">
            <v>381</v>
          </cell>
          <cell r="K382">
            <v>0</v>
          </cell>
        </row>
        <row r="383">
          <cell r="B383">
            <v>382</v>
          </cell>
          <cell r="K383">
            <v>0</v>
          </cell>
        </row>
        <row r="384">
          <cell r="B384">
            <v>383</v>
          </cell>
          <cell r="K384">
            <v>0</v>
          </cell>
        </row>
        <row r="385">
          <cell r="B385">
            <v>384</v>
          </cell>
          <cell r="K385">
            <v>0</v>
          </cell>
        </row>
        <row r="386">
          <cell r="B386">
            <v>385</v>
          </cell>
          <cell r="K386">
            <v>0</v>
          </cell>
        </row>
        <row r="387">
          <cell r="B387">
            <v>386</v>
          </cell>
          <cell r="K387">
            <v>0</v>
          </cell>
        </row>
        <row r="388">
          <cell r="B388">
            <v>387</v>
          </cell>
          <cell r="K388">
            <v>0</v>
          </cell>
        </row>
        <row r="389">
          <cell r="B389">
            <v>388</v>
          </cell>
          <cell r="K389">
            <v>0</v>
          </cell>
        </row>
        <row r="390">
          <cell r="B390">
            <v>389</v>
          </cell>
          <cell r="K390">
            <v>0</v>
          </cell>
        </row>
        <row r="391">
          <cell r="B391">
            <v>390</v>
          </cell>
          <cell r="K391">
            <v>0</v>
          </cell>
        </row>
        <row r="392">
          <cell r="B392">
            <v>391</v>
          </cell>
          <cell r="K392">
            <v>0</v>
          </cell>
        </row>
        <row r="393">
          <cell r="B393">
            <v>392</v>
          </cell>
          <cell r="K393">
            <v>0</v>
          </cell>
        </row>
        <row r="394">
          <cell r="B394">
            <v>393</v>
          </cell>
          <cell r="K394">
            <v>0</v>
          </cell>
        </row>
        <row r="395">
          <cell r="B395">
            <v>394</v>
          </cell>
          <cell r="K395">
            <v>0</v>
          </cell>
        </row>
        <row r="396">
          <cell r="B396">
            <v>395</v>
          </cell>
          <cell r="K396">
            <v>0</v>
          </cell>
        </row>
        <row r="397">
          <cell r="B397">
            <v>396</v>
          </cell>
          <cell r="K397">
            <v>0</v>
          </cell>
        </row>
        <row r="398">
          <cell r="B398">
            <v>397</v>
          </cell>
          <cell r="K398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ames"/>
    </sheetNames>
    <sheetDataSet>
      <sheetData sheetId="0">
        <row r="2">
          <cell r="A2">
            <v>1</v>
          </cell>
          <cell r="B2" t="str">
            <v>Michigan State</v>
          </cell>
          <cell r="C2" t="str">
            <v>Louisville</v>
          </cell>
          <cell r="D2">
            <v>19.982154388171562</v>
          </cell>
          <cell r="E2">
            <v>101.32466702184337</v>
          </cell>
          <cell r="F2">
            <v>94.579391423053281</v>
          </cell>
          <cell r="G2">
            <v>0.53589041095890411</v>
          </cell>
          <cell r="H2">
            <v>66.620645161290327</v>
          </cell>
          <cell r="I2">
            <v>58.87096774193548</v>
          </cell>
          <cell r="J2">
            <v>20.838709677419356</v>
          </cell>
          <cell r="K2">
            <v>12.774193548387096</v>
          </cell>
          <cell r="L2">
            <v>11.35483870967742</v>
          </cell>
          <cell r="M2">
            <v>0</v>
          </cell>
          <cell r="N2">
            <v>16.631119331501349</v>
          </cell>
          <cell r="O2">
            <v>99.101896527014759</v>
          </cell>
          <cell r="P2">
            <v>98.314439245284362</v>
          </cell>
          <cell r="Q2">
            <v>0.56448412698412698</v>
          </cell>
          <cell r="R2">
            <v>70.393939393939391</v>
          </cell>
          <cell r="S2">
            <v>61.090909090909093</v>
          </cell>
          <cell r="T2">
            <v>20.454545454545453</v>
          </cell>
          <cell r="U2">
            <v>11.333333333333334</v>
          </cell>
          <cell r="V2">
            <v>11.636363636363637</v>
          </cell>
          <cell r="W2">
            <v>0</v>
          </cell>
          <cell r="X2">
            <v>-5</v>
          </cell>
        </row>
        <row r="3">
          <cell r="A3">
            <v>2</v>
          </cell>
          <cell r="B3" t="str">
            <v>Michigan</v>
          </cell>
          <cell r="C3" t="str">
            <v>Saint Louis</v>
          </cell>
          <cell r="D3">
            <v>23.158914646956031</v>
          </cell>
          <cell r="E3">
            <v>98.200984374253366</v>
          </cell>
          <cell r="F3">
            <v>96.383444817292968</v>
          </cell>
          <cell r="G3">
            <v>0.58467532467532468</v>
          </cell>
          <cell r="H3">
            <v>71.510000000000005</v>
          </cell>
          <cell r="I3">
            <v>60.15625</v>
          </cell>
          <cell r="J3">
            <v>23.53125</v>
          </cell>
          <cell r="K3">
            <v>11.0625</v>
          </cell>
          <cell r="L3">
            <v>12.0625</v>
          </cell>
          <cell r="M3">
            <v>0</v>
          </cell>
          <cell r="N3">
            <v>12.891007564287897</v>
          </cell>
          <cell r="O3">
            <v>96.587342281204442</v>
          </cell>
          <cell r="P3">
            <v>96.419529699076293</v>
          </cell>
          <cell r="Q3">
            <v>0.59935205183585316</v>
          </cell>
          <cell r="R3">
            <v>71.190967741935481</v>
          </cell>
          <cell r="S3">
            <v>59.741935483870968</v>
          </cell>
          <cell r="T3">
            <v>20.741935483870968</v>
          </cell>
          <cell r="U3">
            <v>10.03225806451613</v>
          </cell>
          <cell r="V3">
            <v>12.35483870967742</v>
          </cell>
          <cell r="W3">
            <v>0</v>
          </cell>
          <cell r="X3">
            <v>-12.5</v>
          </cell>
        </row>
        <row r="4">
          <cell r="A4">
            <v>3</v>
          </cell>
          <cell r="B4" t="str">
            <v>Duke</v>
          </cell>
          <cell r="C4" t="str">
            <v>TCU</v>
          </cell>
          <cell r="D4">
            <v>23.054887624413109</v>
          </cell>
          <cell r="E4">
            <v>101.57301127857072</v>
          </cell>
          <cell r="F4">
            <v>99.414290660558592</v>
          </cell>
          <cell r="G4">
            <v>0.57213541666666667</v>
          </cell>
          <cell r="H4">
            <v>66.278787878787867</v>
          </cell>
          <cell r="I4">
            <v>58.18181818181818</v>
          </cell>
          <cell r="J4">
            <v>22.121212121212121</v>
          </cell>
          <cell r="K4">
            <v>12.212121212121213</v>
          </cell>
          <cell r="L4">
            <v>10.575757575757576</v>
          </cell>
          <cell r="M4">
            <v>0</v>
          </cell>
          <cell r="N4">
            <v>12.676356416890858</v>
          </cell>
          <cell r="O4">
            <v>101.27537334728432</v>
          </cell>
          <cell r="P4">
            <v>97.104848064562987</v>
          </cell>
          <cell r="Q4">
            <v>0.50900000000000001</v>
          </cell>
          <cell r="R4">
            <v>69.441212121212118</v>
          </cell>
          <cell r="S4">
            <v>60.606060606060609</v>
          </cell>
          <cell r="T4">
            <v>23.454545454545453</v>
          </cell>
          <cell r="U4">
            <v>12.424242424242424</v>
          </cell>
          <cell r="V4">
            <v>10.939393939393939</v>
          </cell>
          <cell r="W4">
            <v>0</v>
          </cell>
          <cell r="X4">
            <v>-11.5</v>
          </cell>
        </row>
        <row r="5">
          <cell r="A5">
            <v>4</v>
          </cell>
          <cell r="B5" t="str">
            <v>Illinois</v>
          </cell>
          <cell r="C5" t="str">
            <v>VCU</v>
          </cell>
          <cell r="D5">
            <v>18.826343007871433</v>
          </cell>
          <cell r="E5">
            <v>105.08780903665816</v>
          </cell>
          <cell r="F5">
            <v>108.91673393133649</v>
          </cell>
          <cell r="G5">
            <v>0.5511688311688312</v>
          </cell>
          <cell r="H5">
            <v>66.809032258064519</v>
          </cell>
          <cell r="I5">
            <v>62.096774193548384</v>
          </cell>
          <cell r="J5">
            <v>20.387096774193548</v>
          </cell>
          <cell r="K5">
            <v>13.258064516129032</v>
          </cell>
          <cell r="L5">
            <v>9</v>
          </cell>
          <cell r="M5">
            <v>0</v>
          </cell>
          <cell r="N5">
            <v>10.280535393881047</v>
          </cell>
          <cell r="O5">
            <v>99.976592216912124</v>
          </cell>
          <cell r="P5">
            <v>99.94980567668172</v>
          </cell>
          <cell r="Q5">
            <v>0.54290339989206693</v>
          </cell>
          <cell r="R5">
            <v>68.818749999999994</v>
          </cell>
          <cell r="S5">
            <v>57.90625</v>
          </cell>
          <cell r="T5">
            <v>25.9375</v>
          </cell>
          <cell r="U5">
            <v>11.3125</v>
          </cell>
          <cell r="V5">
            <v>10.8125</v>
          </cell>
          <cell r="W5">
            <v>0</v>
          </cell>
          <cell r="X5">
            <v>-11</v>
          </cell>
        </row>
        <row r="6">
          <cell r="A6">
            <v>5</v>
          </cell>
          <cell r="B6" t="str">
            <v>Nebraska</v>
          </cell>
          <cell r="C6" t="str">
            <v>Vanderbilt</v>
          </cell>
          <cell r="D6">
            <v>15.82631796216417</v>
          </cell>
          <cell r="E6">
            <v>98.25476089716463</v>
          </cell>
          <cell r="F6">
            <v>102.35159180352665</v>
          </cell>
          <cell r="G6">
            <v>0.55440552016985134</v>
          </cell>
          <cell r="H6">
            <v>66.883750000000006</v>
          </cell>
          <cell r="I6">
            <v>58.875</v>
          </cell>
          <cell r="J6">
            <v>16</v>
          </cell>
          <cell r="K6">
            <v>8.78125</v>
          </cell>
          <cell r="L6">
            <v>9.75</v>
          </cell>
          <cell r="M6">
            <v>0</v>
          </cell>
          <cell r="N6">
            <v>19.334095266215517</v>
          </cell>
          <cell r="O6">
            <v>100.88210871874095</v>
          </cell>
          <cell r="P6">
            <v>97.473801766777243</v>
          </cell>
          <cell r="Q6">
            <v>0.55371690427698572</v>
          </cell>
          <cell r="R6">
            <v>70.61</v>
          </cell>
          <cell r="S6">
            <v>61.375</v>
          </cell>
          <cell r="T6">
            <v>23.6875</v>
          </cell>
          <cell r="U6">
            <v>10.8125</v>
          </cell>
          <cell r="V6">
            <v>9.625</v>
          </cell>
          <cell r="W6">
            <v>0</v>
          </cell>
          <cell r="X6">
            <v>2</v>
          </cell>
        </row>
        <row r="7">
          <cell r="A7">
            <v>6</v>
          </cell>
          <cell r="B7" t="str">
            <v>Houston</v>
          </cell>
          <cell r="C7" t="str">
            <v>Texas A&amp;M</v>
          </cell>
          <cell r="D7">
            <v>20.901069562815731</v>
          </cell>
          <cell r="E7">
            <v>105.43571389837862</v>
          </cell>
          <cell r="F7">
            <v>97.084637989347655</v>
          </cell>
          <cell r="G7">
            <v>0.52154080081094778</v>
          </cell>
          <cell r="H7">
            <v>64.762500000000003</v>
          </cell>
          <cell r="I7">
            <v>61.65625</v>
          </cell>
          <cell r="J7">
            <v>16.71875</v>
          </cell>
          <cell r="K7">
            <v>12.78125</v>
          </cell>
          <cell r="L7">
            <v>8.53125</v>
          </cell>
          <cell r="M7">
            <v>0</v>
          </cell>
          <cell r="N7">
            <v>13.344745551152522</v>
          </cell>
          <cell r="O7">
            <v>101.09664255240216</v>
          </cell>
          <cell r="P7">
            <v>98.213295342640578</v>
          </cell>
          <cell r="Q7">
            <v>0.54188861985472159</v>
          </cell>
          <cell r="R7">
            <v>73.739999999999995</v>
          </cell>
          <cell r="S7">
            <v>64.53125</v>
          </cell>
          <cell r="T7">
            <v>24.125</v>
          </cell>
          <cell r="U7">
            <v>12.25</v>
          </cell>
          <cell r="V7">
            <v>10.84375</v>
          </cell>
          <cell r="W7">
            <v>0</v>
          </cell>
          <cell r="X7">
            <v>-10.5</v>
          </cell>
        </row>
        <row r="8">
          <cell r="A8">
            <v>7</v>
          </cell>
          <cell r="B8" t="str">
            <v>Arkansas</v>
          </cell>
          <cell r="C8" t="str">
            <v>High Point</v>
          </cell>
          <cell r="D8">
            <v>19.899076876872613</v>
          </cell>
          <cell r="E8">
            <v>101.9693472090823</v>
          </cell>
          <cell r="F8">
            <v>97.545722643013036</v>
          </cell>
          <cell r="G8">
            <v>0.56447688564476883</v>
          </cell>
          <cell r="H8">
            <v>72.41</v>
          </cell>
          <cell r="I8">
            <v>64.21875</v>
          </cell>
          <cell r="J8">
            <v>23.375</v>
          </cell>
          <cell r="K8">
            <v>11.0625</v>
          </cell>
          <cell r="L8">
            <v>8.96875</v>
          </cell>
          <cell r="M8">
            <v>0</v>
          </cell>
          <cell r="N8">
            <v>9.7914064574296606</v>
          </cell>
          <cell r="O8">
            <v>102.08135263134599</v>
          </cell>
          <cell r="P8">
            <v>95.473025683474958</v>
          </cell>
          <cell r="Q8">
            <v>0.56606463878326996</v>
          </cell>
          <cell r="R8">
            <v>71.407058823529411</v>
          </cell>
          <cell r="S8">
            <v>61.882352941176471</v>
          </cell>
          <cell r="T8">
            <v>26.794117647058822</v>
          </cell>
          <cell r="U8">
            <v>11.617647058823529</v>
          </cell>
          <cell r="V8">
            <v>9.3529411764705888</v>
          </cell>
          <cell r="W8">
            <v>0</v>
          </cell>
          <cell r="X8">
            <v>-11.5</v>
          </cell>
        </row>
        <row r="9">
          <cell r="A9">
            <v>8</v>
          </cell>
          <cell r="B9" t="str">
            <v>Gonzaga</v>
          </cell>
          <cell r="C9" t="str">
            <v>Texas</v>
          </cell>
          <cell r="D9">
            <v>20.959854873623506</v>
          </cell>
          <cell r="E9">
            <v>102.65043408841434</v>
          </cell>
          <cell r="F9">
            <v>86.043703668873505</v>
          </cell>
          <cell r="G9">
            <v>0.56074766355140182</v>
          </cell>
          <cell r="H9">
            <v>69.724999999999994</v>
          </cell>
          <cell r="I9">
            <v>63.53125</v>
          </cell>
          <cell r="J9">
            <v>19.6875</v>
          </cell>
          <cell r="K9">
            <v>12.03125</v>
          </cell>
          <cell r="L9">
            <v>9.5625</v>
          </cell>
          <cell r="M9">
            <v>0</v>
          </cell>
          <cell r="N9">
            <v>14.532052109666417</v>
          </cell>
          <cell r="O9">
            <v>100.55048907489414</v>
          </cell>
          <cell r="P9">
            <v>96.670144874968173</v>
          </cell>
          <cell r="Q9">
            <v>0.5496777658431794</v>
          </cell>
          <cell r="R9">
            <v>68.81</v>
          </cell>
          <cell r="S9">
            <v>58.1875</v>
          </cell>
          <cell r="T9">
            <v>26.34375</v>
          </cell>
          <cell r="U9">
            <v>12</v>
          </cell>
          <cell r="V9">
            <v>11.03125</v>
          </cell>
          <cell r="W9">
            <v>0</v>
          </cell>
          <cell r="X9">
            <v>-6.5</v>
          </cell>
        </row>
        <row r="10">
          <cell r="A10">
            <v>9</v>
          </cell>
          <cell r="B10" t="str">
            <v>Alabama</v>
          </cell>
          <cell r="C10" t="str">
            <v>Texas Tech</v>
          </cell>
          <cell r="D10">
            <v>19.673613604820769</v>
          </cell>
          <cell r="E10">
            <v>102.29455081001471</v>
          </cell>
          <cell r="F10">
            <v>103.71887375881523</v>
          </cell>
          <cell r="G10">
            <v>0.55384250474383301</v>
          </cell>
          <cell r="H10">
            <v>74.217500000000001</v>
          </cell>
          <cell r="I10">
            <v>65.875</v>
          </cell>
          <cell r="J10">
            <v>24.5</v>
          </cell>
          <cell r="K10">
            <v>12.21875</v>
          </cell>
          <cell r="L10">
            <v>9.78125</v>
          </cell>
          <cell r="M10">
            <v>0</v>
          </cell>
          <cell r="N10">
            <v>17.052374181699321</v>
          </cell>
          <cell r="O10">
            <v>100.51882408229335</v>
          </cell>
          <cell r="P10">
            <v>104.30065451536628</v>
          </cell>
          <cell r="Q10">
            <v>0.56166837256908908</v>
          </cell>
          <cell r="R10">
            <v>67.617500000000007</v>
          </cell>
          <cell r="S10">
            <v>61.0625</v>
          </cell>
          <cell r="T10">
            <v>16.53125</v>
          </cell>
          <cell r="U10">
            <v>11.53125</v>
          </cell>
          <cell r="V10">
            <v>10.8125</v>
          </cell>
          <cell r="W10">
            <v>0</v>
          </cell>
          <cell r="X10">
            <v>-1</v>
          </cell>
        </row>
        <row r="11">
          <cell r="A11">
            <v>10</v>
          </cell>
          <cell r="B11" t="str">
            <v>Florida</v>
          </cell>
          <cell r="C11" t="str">
            <v>Iowa</v>
          </cell>
          <cell r="D11">
            <v>22.650454216704585</v>
          </cell>
          <cell r="E11">
            <v>104.38676700269771</v>
          </cell>
          <cell r="F11">
            <v>99.448258680413886</v>
          </cell>
          <cell r="G11">
            <v>0.53652636671504594</v>
          </cell>
          <cell r="H11">
            <v>71.564999999999998</v>
          </cell>
          <cell r="I11">
            <v>64.59375</v>
          </cell>
          <cell r="J11">
            <v>25.21875</v>
          </cell>
          <cell r="K11">
            <v>15.96875</v>
          </cell>
          <cell r="L11">
            <v>11.84375</v>
          </cell>
          <cell r="M11">
            <v>0</v>
          </cell>
          <cell r="N11">
            <v>15.51511812576733</v>
          </cell>
          <cell r="O11">
            <v>98.238539943433466</v>
          </cell>
          <cell r="P11">
            <v>93.168875634820807</v>
          </cell>
          <cell r="Q11">
            <v>0.56555993247045577</v>
          </cell>
          <cell r="R11">
            <v>62.900606060606066</v>
          </cell>
          <cell r="S11">
            <v>53.848484848484851</v>
          </cell>
          <cell r="T11">
            <v>18.575757575757574</v>
          </cell>
          <cell r="U11">
            <v>8.8181818181818183</v>
          </cell>
          <cell r="V11">
            <v>9.6969696969696972</v>
          </cell>
          <cell r="W11">
            <v>0</v>
          </cell>
          <cell r="X11">
            <v>-10.5</v>
          </cell>
        </row>
        <row r="12">
          <cell r="A12">
            <v>11</v>
          </cell>
          <cell r="B12" t="str">
            <v>Uconn</v>
          </cell>
          <cell r="C12" t="str">
            <v>UCLA</v>
          </cell>
          <cell r="D12">
            <v>18.120431537245491</v>
          </cell>
          <cell r="E12">
            <v>100.0952772073922</v>
          </cell>
          <cell r="F12">
            <v>94.261774983054991</v>
          </cell>
          <cell r="G12">
            <v>0.55882352941176472</v>
          </cell>
          <cell r="H12">
            <v>66.089696969696973</v>
          </cell>
          <cell r="I12">
            <v>58.727272727272727</v>
          </cell>
          <cell r="J12">
            <v>17.696969696969695</v>
          </cell>
          <cell r="K12">
            <v>11.454545454545455</v>
          </cell>
          <cell r="L12">
            <v>11.030303030303031</v>
          </cell>
          <cell r="M12">
            <v>0</v>
          </cell>
          <cell r="N12">
            <v>15.943406980069799</v>
          </cell>
          <cell r="O12">
            <v>100.85863980873899</v>
          </cell>
          <cell r="P12">
            <v>91.898292422931632</v>
          </cell>
          <cell r="Q12">
            <v>0.54047742605085625</v>
          </cell>
          <cell r="R12">
            <v>65.963636363636368</v>
          </cell>
          <cell r="S12">
            <v>58.393939393939391</v>
          </cell>
          <cell r="T12">
            <v>19.545454545454547</v>
          </cell>
          <cell r="U12">
            <v>10</v>
          </cell>
          <cell r="V12">
            <v>8.9696969696969688</v>
          </cell>
          <cell r="W12">
            <v>0</v>
          </cell>
          <cell r="X12">
            <v>-4</v>
          </cell>
        </row>
        <row r="13">
          <cell r="A13">
            <v>12</v>
          </cell>
          <cell r="B13" t="str">
            <v>Virginia</v>
          </cell>
          <cell r="C13" t="str">
            <v>Tennessee</v>
          </cell>
          <cell r="D13">
            <v>12.898930744177012</v>
          </cell>
          <cell r="E13">
            <v>102.74660271782574</v>
          </cell>
          <cell r="F13">
            <v>105.30602921182151</v>
          </cell>
          <cell r="G13">
            <v>0.54717923115327005</v>
          </cell>
          <cell r="H13">
            <v>67.065454545454543</v>
          </cell>
          <cell r="I13">
            <v>60.696969696969695</v>
          </cell>
          <cell r="J13">
            <v>20.121212121212121</v>
          </cell>
          <cell r="K13">
            <v>13.272727272727273</v>
          </cell>
          <cell r="L13">
            <v>10.787878787878787</v>
          </cell>
          <cell r="M13">
            <v>0</v>
          </cell>
          <cell r="N13">
            <v>20.582457175121956</v>
          </cell>
          <cell r="O13">
            <v>105.02195491662999</v>
          </cell>
          <cell r="P13">
            <v>93.637950339797769</v>
          </cell>
          <cell r="Q13">
            <v>0.51561725334655428</v>
          </cell>
          <cell r="R13">
            <v>67.170909090909092</v>
          </cell>
          <cell r="S13">
            <v>61.121212121212125</v>
          </cell>
          <cell r="T13">
            <v>23.666666666666668</v>
          </cell>
          <cell r="U13">
            <v>16.030303030303031</v>
          </cell>
          <cell r="V13">
            <v>11.666666666666666</v>
          </cell>
          <cell r="W13">
            <v>0</v>
          </cell>
          <cell r="X13">
            <v>1</v>
          </cell>
        </row>
        <row r="14">
          <cell r="A14">
            <v>13</v>
          </cell>
          <cell r="B14" t="str">
            <v>Purdue</v>
          </cell>
          <cell r="C14" t="str">
            <v>Miami</v>
          </cell>
          <cell r="D14">
            <v>20.933350618351088</v>
          </cell>
          <cell r="E14">
            <v>102.749921687376</v>
          </cell>
          <cell r="F14">
            <v>101.56518525976452</v>
          </cell>
          <cell r="G14">
            <v>0.5771558245083207</v>
          </cell>
          <cell r="H14">
            <v>65.197575757575763</v>
          </cell>
          <cell r="I14">
            <v>60.090909090909093</v>
          </cell>
          <cell r="J14">
            <v>16.90909090909091</v>
          </cell>
          <cell r="K14">
            <v>11.363636363636363</v>
          </cell>
          <cell r="L14">
            <v>9.0303030303030312</v>
          </cell>
          <cell r="M14">
            <v>0</v>
          </cell>
          <cell r="N14">
            <v>12.238890418004498</v>
          </cell>
          <cell r="O14">
            <v>100.74202898550723</v>
          </cell>
          <cell r="P14">
            <v>98.35968575523485</v>
          </cell>
          <cell r="Q14">
            <v>0.55597771023302933</v>
          </cell>
          <cell r="R14">
            <v>68.654545454545456</v>
          </cell>
          <cell r="S14">
            <v>59.81818181818182</v>
          </cell>
          <cell r="T14">
            <v>22.424242424242426</v>
          </cell>
          <cell r="U14">
            <v>12.242424242424242</v>
          </cell>
          <cell r="V14">
            <v>11.212121212121213</v>
          </cell>
          <cell r="W14">
            <v>0</v>
          </cell>
          <cell r="X14">
            <v>-7.5</v>
          </cell>
        </row>
        <row r="15">
          <cell r="A15">
            <v>14</v>
          </cell>
          <cell r="B15" t="str">
            <v>Iowa State</v>
          </cell>
          <cell r="C15" t="str">
            <v>Kentucky</v>
          </cell>
          <cell r="D15">
            <v>20.641493911570723</v>
          </cell>
          <cell r="E15">
            <v>101.50134460238188</v>
          </cell>
          <cell r="F15">
            <v>96.951162965358421</v>
          </cell>
          <cell r="G15">
            <v>0.56497313141182215</v>
          </cell>
          <cell r="H15">
            <v>67.654117647058825</v>
          </cell>
          <cell r="I15">
            <v>60.205882352941174</v>
          </cell>
          <cell r="J15">
            <v>20.470588235294116</v>
          </cell>
          <cell r="K15">
            <v>11.823529411764707</v>
          </cell>
          <cell r="L15">
            <v>10.264705882352942</v>
          </cell>
          <cell r="M15">
            <v>0</v>
          </cell>
          <cell r="N15">
            <v>18.034523649586539</v>
          </cell>
          <cell r="O15">
            <v>101.2517590047062</v>
          </cell>
          <cell r="P15">
            <v>98.419793855345077</v>
          </cell>
          <cell r="Q15">
            <v>0.53111327175498302</v>
          </cell>
          <cell r="R15">
            <v>69.036470588235289</v>
          </cell>
          <cell r="S15">
            <v>60.5</v>
          </cell>
          <cell r="T15">
            <v>22.676470588235293</v>
          </cell>
          <cell r="U15">
            <v>11.941176470588236</v>
          </cell>
          <cell r="V15">
            <v>10.5</v>
          </cell>
          <cell r="W15">
            <v>0</v>
          </cell>
          <cell r="X15">
            <v>-5</v>
          </cell>
        </row>
        <row r="16">
          <cell r="A16">
            <v>15</v>
          </cell>
          <cell r="B16" t="str">
            <v>Kansas</v>
          </cell>
          <cell r="C16" t="str">
            <v>St. John's</v>
          </cell>
          <cell r="D16">
            <v>16.809475334579385</v>
          </cell>
          <cell r="E16">
            <v>98.782531105933685</v>
          </cell>
          <cell r="F16">
            <v>105.39233290147665</v>
          </cell>
          <cell r="G16">
            <v>0.51565708418891165</v>
          </cell>
          <cell r="H16">
            <v>68.042424242424246</v>
          </cell>
          <cell r="I16">
            <v>59.030303030303031</v>
          </cell>
          <cell r="J16">
            <v>19.242424242424242</v>
          </cell>
          <cell r="K16">
            <v>10.121212121212121</v>
          </cell>
          <cell r="L16">
            <v>10.666666666666666</v>
          </cell>
          <cell r="M16">
            <v>0</v>
          </cell>
          <cell r="N16">
            <v>15.123966744544841</v>
          </cell>
          <cell r="O16">
            <v>102.62076624097725</v>
          </cell>
          <cell r="P16">
            <v>99.067983608660882</v>
          </cell>
          <cell r="Q16">
            <v>0.50957290132547861</v>
          </cell>
          <cell r="R16">
            <v>70.527272727272731</v>
          </cell>
          <cell r="S16">
            <v>61.727272727272727</v>
          </cell>
          <cell r="T16">
            <v>26.060606060606062</v>
          </cell>
          <cell r="U16">
            <v>13.242424242424242</v>
          </cell>
          <cell r="V16">
            <v>10.575757575757576</v>
          </cell>
          <cell r="W16">
            <v>0</v>
          </cell>
          <cell r="X16">
            <v>3.5</v>
          </cell>
        </row>
        <row r="17">
          <cell r="A17">
            <v>16</v>
          </cell>
          <cell r="B17" t="str">
            <v>Arizona</v>
          </cell>
          <cell r="C17" t="str">
            <v>Utah State</v>
          </cell>
          <cell r="D17">
            <v>23.687310951598352</v>
          </cell>
          <cell r="E17">
            <v>101.76807841686704</v>
          </cell>
          <cell r="F17">
            <v>98.493332637771204</v>
          </cell>
          <cell r="G17">
            <v>0.55109126984126988</v>
          </cell>
          <cell r="H17">
            <v>70.587878787878793</v>
          </cell>
          <cell r="I17">
            <v>61.090909090909093</v>
          </cell>
          <cell r="J17">
            <v>26.060606060606062</v>
          </cell>
          <cell r="K17">
            <v>12.878787878787879</v>
          </cell>
          <cell r="L17">
            <v>10.909090909090908</v>
          </cell>
          <cell r="M17">
            <v>0</v>
          </cell>
          <cell r="N17">
            <v>16.287809545840613</v>
          </cell>
          <cell r="O17">
            <v>99.539689712306071</v>
          </cell>
          <cell r="P17">
            <v>89.1227776403734</v>
          </cell>
          <cell r="Q17">
            <v>0.5741935483870968</v>
          </cell>
          <cell r="R17">
            <v>67.972499999999997</v>
          </cell>
          <cell r="S17">
            <v>58.125</v>
          </cell>
          <cell r="T17">
            <v>22.59375</v>
          </cell>
          <cell r="U17">
            <v>10.65625</v>
          </cell>
          <cell r="V17">
            <v>10.5625</v>
          </cell>
          <cell r="W17">
            <v>0</v>
          </cell>
          <cell r="X17">
            <v>-11.5</v>
          </cell>
        </row>
        <row r="18">
          <cell r="A18">
            <v>17</v>
          </cell>
          <cell r="B18" t="str">
            <v>Louisville</v>
          </cell>
          <cell r="C18" t="str">
            <v>Michigan State</v>
          </cell>
          <cell r="D18">
            <v>16.631119331501349</v>
          </cell>
          <cell r="E18">
            <v>99.101896527014759</v>
          </cell>
          <cell r="F18">
            <v>98.314439245284362</v>
          </cell>
          <cell r="G18">
            <v>0.56448412698412698</v>
          </cell>
          <cell r="H18">
            <v>70.393939393939391</v>
          </cell>
          <cell r="I18">
            <v>61.090909090909093</v>
          </cell>
          <cell r="J18">
            <v>20.454545454545453</v>
          </cell>
          <cell r="K18">
            <v>11.333333333333334</v>
          </cell>
          <cell r="L18">
            <v>11.636363636363637</v>
          </cell>
          <cell r="M18">
            <v>0</v>
          </cell>
          <cell r="N18">
            <v>19.982154388171562</v>
          </cell>
          <cell r="O18">
            <v>101.32466702184337</v>
          </cell>
          <cell r="P18">
            <v>94.579391423053281</v>
          </cell>
          <cell r="Q18">
            <v>0.53589041095890411</v>
          </cell>
          <cell r="R18">
            <v>66.620645161290327</v>
          </cell>
          <cell r="S18">
            <v>58.87096774193548</v>
          </cell>
          <cell r="T18">
            <v>20.838709677419356</v>
          </cell>
          <cell r="U18">
            <v>12.774193548387096</v>
          </cell>
          <cell r="V18">
            <v>11.35483870967742</v>
          </cell>
          <cell r="W18">
            <v>0</v>
          </cell>
          <cell r="X18">
            <v>5</v>
          </cell>
        </row>
        <row r="19">
          <cell r="A19">
            <v>18</v>
          </cell>
          <cell r="B19" t="str">
            <v>Saint Louis</v>
          </cell>
          <cell r="C19" t="str">
            <v>Michigan</v>
          </cell>
          <cell r="D19">
            <v>12.891007564287897</v>
          </cell>
          <cell r="E19">
            <v>96.587342281204442</v>
          </cell>
          <cell r="F19">
            <v>96.419529699076293</v>
          </cell>
          <cell r="G19">
            <v>0.59935205183585316</v>
          </cell>
          <cell r="H19">
            <v>71.190967741935481</v>
          </cell>
          <cell r="I19">
            <v>59.741935483870968</v>
          </cell>
          <cell r="J19">
            <v>20.741935483870968</v>
          </cell>
          <cell r="K19">
            <v>10.03225806451613</v>
          </cell>
          <cell r="L19">
            <v>12.35483870967742</v>
          </cell>
          <cell r="M19">
            <v>0</v>
          </cell>
          <cell r="N19">
            <v>23.158914646956031</v>
          </cell>
          <cell r="O19">
            <v>98.200984374253366</v>
          </cell>
          <cell r="P19">
            <v>96.383444817292968</v>
          </cell>
          <cell r="Q19">
            <v>0.58467532467532468</v>
          </cell>
          <cell r="R19">
            <v>71.510000000000005</v>
          </cell>
          <cell r="S19">
            <v>60.15625</v>
          </cell>
          <cell r="T19">
            <v>23.53125</v>
          </cell>
          <cell r="U19">
            <v>11.0625</v>
          </cell>
          <cell r="V19">
            <v>12.0625</v>
          </cell>
          <cell r="W19">
            <v>0</v>
          </cell>
          <cell r="X19">
            <v>12.5</v>
          </cell>
        </row>
        <row r="20">
          <cell r="A20">
            <v>19</v>
          </cell>
          <cell r="B20" t="str">
            <v>TCU</v>
          </cell>
          <cell r="C20" t="str">
            <v>Duke</v>
          </cell>
          <cell r="D20">
            <v>12.676356416890858</v>
          </cell>
          <cell r="E20">
            <v>101.27537334728432</v>
          </cell>
          <cell r="F20">
            <v>97.104848064562987</v>
          </cell>
          <cell r="G20">
            <v>0.50900000000000001</v>
          </cell>
          <cell r="H20">
            <v>69.441212121212118</v>
          </cell>
          <cell r="I20">
            <v>60.606060606060609</v>
          </cell>
          <cell r="J20">
            <v>23.454545454545453</v>
          </cell>
          <cell r="K20">
            <v>12.424242424242424</v>
          </cell>
          <cell r="L20">
            <v>10.939393939393939</v>
          </cell>
          <cell r="M20">
            <v>0</v>
          </cell>
          <cell r="N20">
            <v>23.054887624413109</v>
          </cell>
          <cell r="O20">
            <v>101.57301127857072</v>
          </cell>
          <cell r="P20">
            <v>99.414290660558592</v>
          </cell>
          <cell r="Q20">
            <v>0.57213541666666667</v>
          </cell>
          <cell r="R20">
            <v>66.278787878787867</v>
          </cell>
          <cell r="S20">
            <v>58.18181818181818</v>
          </cell>
          <cell r="T20">
            <v>22.121212121212121</v>
          </cell>
          <cell r="U20">
            <v>12.212121212121213</v>
          </cell>
          <cell r="V20">
            <v>10.575757575757576</v>
          </cell>
          <cell r="W20">
            <v>0</v>
          </cell>
          <cell r="X20">
            <v>11.5</v>
          </cell>
        </row>
        <row r="21">
          <cell r="A21">
            <v>20</v>
          </cell>
          <cell r="B21" t="str">
            <v>VCU</v>
          </cell>
          <cell r="C21" t="str">
            <v>Illinois</v>
          </cell>
          <cell r="D21">
            <v>10.280535393881047</v>
          </cell>
          <cell r="E21">
            <v>99.976592216912124</v>
          </cell>
          <cell r="F21">
            <v>99.94980567668172</v>
          </cell>
          <cell r="G21">
            <v>0.54290339989206693</v>
          </cell>
          <cell r="H21">
            <v>68.818749999999994</v>
          </cell>
          <cell r="I21">
            <v>57.90625</v>
          </cell>
          <cell r="J21">
            <v>25.9375</v>
          </cell>
          <cell r="K21">
            <v>11.3125</v>
          </cell>
          <cell r="L21">
            <v>10.8125</v>
          </cell>
          <cell r="M21">
            <v>0</v>
          </cell>
          <cell r="N21">
            <v>18.826343007871433</v>
          </cell>
          <cell r="O21">
            <v>105.08780903665816</v>
          </cell>
          <cell r="P21">
            <v>108.91673393133649</v>
          </cell>
          <cell r="Q21">
            <v>0.5511688311688312</v>
          </cell>
          <cell r="R21">
            <v>66.809032258064519</v>
          </cell>
          <cell r="S21">
            <v>62.096774193548384</v>
          </cell>
          <cell r="T21">
            <v>20.387096774193548</v>
          </cell>
          <cell r="U21">
            <v>13.258064516129032</v>
          </cell>
          <cell r="V21">
            <v>9</v>
          </cell>
          <cell r="W21">
            <v>0</v>
          </cell>
          <cell r="X21">
            <v>11</v>
          </cell>
        </row>
        <row r="22">
          <cell r="A22">
            <v>21</v>
          </cell>
          <cell r="B22" t="str">
            <v>Vanderbilt</v>
          </cell>
          <cell r="C22" t="str">
            <v>Nebraska</v>
          </cell>
          <cell r="D22">
            <v>19.334095266215517</v>
          </cell>
          <cell r="E22">
            <v>100.88210871874095</v>
          </cell>
          <cell r="F22">
            <v>97.473801766777243</v>
          </cell>
          <cell r="G22">
            <v>0.55371690427698572</v>
          </cell>
          <cell r="H22">
            <v>70.61</v>
          </cell>
          <cell r="I22">
            <v>61.375</v>
          </cell>
          <cell r="J22">
            <v>23.6875</v>
          </cell>
          <cell r="K22">
            <v>10.8125</v>
          </cell>
          <cell r="L22">
            <v>9.625</v>
          </cell>
          <cell r="M22">
            <v>0</v>
          </cell>
          <cell r="N22">
            <v>15.82631796216417</v>
          </cell>
          <cell r="O22">
            <v>98.25476089716463</v>
          </cell>
          <cell r="P22">
            <v>102.35159180352665</v>
          </cell>
          <cell r="Q22">
            <v>0.55440552016985134</v>
          </cell>
          <cell r="R22">
            <v>66.883750000000006</v>
          </cell>
          <cell r="S22">
            <v>58.875</v>
          </cell>
          <cell r="T22">
            <v>16</v>
          </cell>
          <cell r="U22">
            <v>8.78125</v>
          </cell>
          <cell r="V22">
            <v>9.75</v>
          </cell>
          <cell r="W22">
            <v>0</v>
          </cell>
          <cell r="X22">
            <v>-2</v>
          </cell>
        </row>
        <row r="23">
          <cell r="A23">
            <v>22</v>
          </cell>
          <cell r="B23" t="str">
            <v>Texas A&amp;M</v>
          </cell>
          <cell r="C23" t="str">
            <v>Houston</v>
          </cell>
          <cell r="D23">
            <v>13.344745551152522</v>
          </cell>
          <cell r="E23">
            <v>101.09664255240216</v>
          </cell>
          <cell r="F23">
            <v>98.213295342640578</v>
          </cell>
          <cell r="G23">
            <v>0.54188861985472159</v>
          </cell>
          <cell r="H23">
            <v>73.739999999999995</v>
          </cell>
          <cell r="I23">
            <v>64.53125</v>
          </cell>
          <cell r="J23">
            <v>24.125</v>
          </cell>
          <cell r="K23">
            <v>12.25</v>
          </cell>
          <cell r="L23">
            <v>10.84375</v>
          </cell>
          <cell r="M23">
            <v>0</v>
          </cell>
          <cell r="N23">
            <v>20.901069562815731</v>
          </cell>
          <cell r="O23">
            <v>105.43571389837862</v>
          </cell>
          <cell r="P23">
            <v>97.084637989347655</v>
          </cell>
          <cell r="Q23">
            <v>0.52154080081094778</v>
          </cell>
          <cell r="R23">
            <v>64.762500000000003</v>
          </cell>
          <cell r="S23">
            <v>61.65625</v>
          </cell>
          <cell r="T23">
            <v>16.71875</v>
          </cell>
          <cell r="U23">
            <v>12.78125</v>
          </cell>
          <cell r="V23">
            <v>8.53125</v>
          </cell>
          <cell r="W23">
            <v>0</v>
          </cell>
          <cell r="X23">
            <v>10.5</v>
          </cell>
        </row>
        <row r="24">
          <cell r="A24">
            <v>23</v>
          </cell>
          <cell r="B24" t="str">
            <v>High Point</v>
          </cell>
          <cell r="C24" t="str">
            <v>Arkansas</v>
          </cell>
          <cell r="D24">
            <v>9.7914064574296606</v>
          </cell>
          <cell r="E24">
            <v>102.08135263134599</v>
          </cell>
          <cell r="F24">
            <v>95.473025683474958</v>
          </cell>
          <cell r="G24">
            <v>0.56606463878326996</v>
          </cell>
          <cell r="H24">
            <v>71.407058823529411</v>
          </cell>
          <cell r="I24">
            <v>61.882352941176471</v>
          </cell>
          <cell r="J24">
            <v>26.794117647058822</v>
          </cell>
          <cell r="K24">
            <v>11.617647058823529</v>
          </cell>
          <cell r="L24">
            <v>9.3529411764705888</v>
          </cell>
          <cell r="M24">
            <v>0</v>
          </cell>
          <cell r="N24">
            <v>19.899076876872613</v>
          </cell>
          <cell r="O24">
            <v>101.9693472090823</v>
          </cell>
          <cell r="P24">
            <v>97.545722643013036</v>
          </cell>
          <cell r="Q24">
            <v>0.56447688564476883</v>
          </cell>
          <cell r="R24">
            <v>72.41</v>
          </cell>
          <cell r="S24">
            <v>64.21875</v>
          </cell>
          <cell r="T24">
            <v>23.375</v>
          </cell>
          <cell r="U24">
            <v>11.0625</v>
          </cell>
          <cell r="V24">
            <v>8.96875</v>
          </cell>
          <cell r="W24">
            <v>0</v>
          </cell>
          <cell r="X24">
            <v>11.5</v>
          </cell>
        </row>
        <row r="25">
          <cell r="A25">
            <v>24</v>
          </cell>
          <cell r="B25" t="str">
            <v>Texas</v>
          </cell>
          <cell r="C25" t="str">
            <v>Gonzaga</v>
          </cell>
          <cell r="D25">
            <v>14.532052109666417</v>
          </cell>
          <cell r="E25">
            <v>100.55048907489414</v>
          </cell>
          <cell r="F25">
            <v>96.670144874968173</v>
          </cell>
          <cell r="G25">
            <v>0.5496777658431794</v>
          </cell>
          <cell r="H25">
            <v>68.81</v>
          </cell>
          <cell r="I25">
            <v>58.1875</v>
          </cell>
          <cell r="J25">
            <v>26.34375</v>
          </cell>
          <cell r="K25">
            <v>12</v>
          </cell>
          <cell r="L25">
            <v>11.03125</v>
          </cell>
          <cell r="M25">
            <v>0</v>
          </cell>
          <cell r="N25">
            <v>20.959854873623506</v>
          </cell>
          <cell r="O25">
            <v>102.65043408841434</v>
          </cell>
          <cell r="P25">
            <v>86.043703668873505</v>
          </cell>
          <cell r="Q25">
            <v>0.56074766355140182</v>
          </cell>
          <cell r="R25">
            <v>69.724999999999994</v>
          </cell>
          <cell r="S25">
            <v>63.53125</v>
          </cell>
          <cell r="T25">
            <v>19.6875</v>
          </cell>
          <cell r="U25">
            <v>12.03125</v>
          </cell>
          <cell r="V25">
            <v>9.5625</v>
          </cell>
          <cell r="W25">
            <v>0</v>
          </cell>
          <cell r="X25">
            <v>6.5</v>
          </cell>
        </row>
        <row r="26">
          <cell r="A26">
            <v>25</v>
          </cell>
          <cell r="B26" t="str">
            <v>Texas Tech</v>
          </cell>
          <cell r="C26" t="str">
            <v>Alabama</v>
          </cell>
          <cell r="D26">
            <v>17.052374181699321</v>
          </cell>
          <cell r="E26">
            <v>100.51882408229335</v>
          </cell>
          <cell r="F26">
            <v>104.30065451536628</v>
          </cell>
          <cell r="G26">
            <v>0.56166837256908908</v>
          </cell>
          <cell r="H26">
            <v>67.617500000000007</v>
          </cell>
          <cell r="I26">
            <v>61.0625</v>
          </cell>
          <cell r="J26">
            <v>16.53125</v>
          </cell>
          <cell r="K26">
            <v>11.53125</v>
          </cell>
          <cell r="L26">
            <v>10.8125</v>
          </cell>
          <cell r="M26">
            <v>0</v>
          </cell>
          <cell r="N26">
            <v>19.673613604820769</v>
          </cell>
          <cell r="O26">
            <v>102.29455081001471</v>
          </cell>
          <cell r="P26">
            <v>103.71887375881523</v>
          </cell>
          <cell r="Q26">
            <v>0.55384250474383301</v>
          </cell>
          <cell r="R26">
            <v>74.217500000000001</v>
          </cell>
          <cell r="S26">
            <v>65.875</v>
          </cell>
          <cell r="T26">
            <v>24.5</v>
          </cell>
          <cell r="U26">
            <v>12.21875</v>
          </cell>
          <cell r="V26">
            <v>9.78125</v>
          </cell>
          <cell r="W26">
            <v>0</v>
          </cell>
          <cell r="X26">
            <v>1</v>
          </cell>
        </row>
        <row r="27">
          <cell r="A27">
            <v>26</v>
          </cell>
          <cell r="B27" t="str">
            <v>Iowa</v>
          </cell>
          <cell r="C27" t="str">
            <v>Florida</v>
          </cell>
          <cell r="D27">
            <v>15.51511812576733</v>
          </cell>
          <cell r="E27">
            <v>98.238539943433466</v>
          </cell>
          <cell r="F27">
            <v>93.168875634820807</v>
          </cell>
          <cell r="G27">
            <v>0.56555993247045577</v>
          </cell>
          <cell r="H27">
            <v>62.900606060606066</v>
          </cell>
          <cell r="I27">
            <v>53.848484848484851</v>
          </cell>
          <cell r="J27">
            <v>18.575757575757574</v>
          </cell>
          <cell r="K27">
            <v>8.8181818181818183</v>
          </cell>
          <cell r="L27">
            <v>9.6969696969696972</v>
          </cell>
          <cell r="M27">
            <v>0</v>
          </cell>
          <cell r="N27">
            <v>22.650454216704585</v>
          </cell>
          <cell r="O27">
            <v>104.38676700269771</v>
          </cell>
          <cell r="P27">
            <v>99.448258680413886</v>
          </cell>
          <cell r="Q27">
            <v>0.53652636671504594</v>
          </cell>
          <cell r="R27">
            <v>71.564999999999998</v>
          </cell>
          <cell r="S27">
            <v>64.59375</v>
          </cell>
          <cell r="T27">
            <v>25.21875</v>
          </cell>
          <cell r="U27">
            <v>15.96875</v>
          </cell>
          <cell r="V27">
            <v>11.84375</v>
          </cell>
          <cell r="W27">
            <v>0</v>
          </cell>
          <cell r="X27">
            <v>10.5</v>
          </cell>
        </row>
        <row r="28">
          <cell r="A28">
            <v>27</v>
          </cell>
          <cell r="B28" t="str">
            <v>UCLA</v>
          </cell>
          <cell r="C28" t="str">
            <v>Uconn</v>
          </cell>
          <cell r="D28">
            <v>15.943406980069799</v>
          </cell>
          <cell r="E28">
            <v>100.85863980873899</v>
          </cell>
          <cell r="F28">
            <v>91.898292422931632</v>
          </cell>
          <cell r="G28">
            <v>0.54047742605085625</v>
          </cell>
          <cell r="H28">
            <v>65.963636363636368</v>
          </cell>
          <cell r="I28">
            <v>58.393939393939391</v>
          </cell>
          <cell r="J28">
            <v>19.545454545454547</v>
          </cell>
          <cell r="K28">
            <v>10</v>
          </cell>
          <cell r="L28">
            <v>8.9696969696969688</v>
          </cell>
          <cell r="M28">
            <v>0</v>
          </cell>
          <cell r="N28">
            <v>18.120431537245491</v>
          </cell>
          <cell r="O28">
            <v>100.0952772073922</v>
          </cell>
          <cell r="P28">
            <v>94.261774983054991</v>
          </cell>
          <cell r="Q28">
            <v>0.55882352941176472</v>
          </cell>
          <cell r="R28">
            <v>66.089696969696973</v>
          </cell>
          <cell r="S28">
            <v>58.727272727272727</v>
          </cell>
          <cell r="T28">
            <v>17.696969696969695</v>
          </cell>
          <cell r="U28">
            <v>11.454545454545455</v>
          </cell>
          <cell r="V28">
            <v>11.030303030303031</v>
          </cell>
          <cell r="W28">
            <v>0</v>
          </cell>
          <cell r="X28">
            <v>4</v>
          </cell>
        </row>
        <row r="29">
          <cell r="A29">
            <v>28</v>
          </cell>
          <cell r="B29" t="str">
            <v>Tennessee</v>
          </cell>
          <cell r="C29" t="str">
            <v>Virginia</v>
          </cell>
          <cell r="D29">
            <v>20.582457175121956</v>
          </cell>
          <cell r="E29">
            <v>105.02195491662999</v>
          </cell>
          <cell r="F29">
            <v>93.637950339797769</v>
          </cell>
          <cell r="G29">
            <v>0.51561725334655428</v>
          </cell>
          <cell r="H29">
            <v>67.170909090909092</v>
          </cell>
          <cell r="I29">
            <v>61.121212121212125</v>
          </cell>
          <cell r="J29">
            <v>23.666666666666668</v>
          </cell>
          <cell r="K29">
            <v>16.030303030303031</v>
          </cell>
          <cell r="L29">
            <v>11.666666666666666</v>
          </cell>
          <cell r="M29">
            <v>0</v>
          </cell>
          <cell r="N29">
            <v>12.898930744177012</v>
          </cell>
          <cell r="O29">
            <v>102.74660271782574</v>
          </cell>
          <cell r="P29">
            <v>105.30602921182151</v>
          </cell>
          <cell r="Q29">
            <v>0.54717923115327005</v>
          </cell>
          <cell r="R29">
            <v>67.065454545454543</v>
          </cell>
          <cell r="S29">
            <v>60.696969696969695</v>
          </cell>
          <cell r="T29">
            <v>20.121212121212121</v>
          </cell>
          <cell r="U29">
            <v>13.272727272727273</v>
          </cell>
          <cell r="V29">
            <v>10.787878787878787</v>
          </cell>
          <cell r="W29">
            <v>0</v>
          </cell>
          <cell r="X29">
            <v>-1</v>
          </cell>
        </row>
        <row r="30">
          <cell r="A30">
            <v>29</v>
          </cell>
          <cell r="B30" t="str">
            <v>Miami</v>
          </cell>
          <cell r="C30" t="str">
            <v>Purdue</v>
          </cell>
          <cell r="D30">
            <v>12.238890418004498</v>
          </cell>
          <cell r="E30">
            <v>100.74202898550723</v>
          </cell>
          <cell r="F30">
            <v>98.35968575523485</v>
          </cell>
          <cell r="G30">
            <v>0.55597771023302933</v>
          </cell>
          <cell r="H30">
            <v>68.654545454545456</v>
          </cell>
          <cell r="I30">
            <v>59.81818181818182</v>
          </cell>
          <cell r="J30">
            <v>22.424242424242426</v>
          </cell>
          <cell r="K30">
            <v>12.242424242424242</v>
          </cell>
          <cell r="L30">
            <v>11.212121212121213</v>
          </cell>
          <cell r="M30">
            <v>0</v>
          </cell>
          <cell r="N30">
            <v>20.933350618351088</v>
          </cell>
          <cell r="O30">
            <v>102.749921687376</v>
          </cell>
          <cell r="P30">
            <v>101.56518525976452</v>
          </cell>
          <cell r="Q30">
            <v>0.5771558245083207</v>
          </cell>
          <cell r="R30">
            <v>65.197575757575763</v>
          </cell>
          <cell r="S30">
            <v>60.090909090909093</v>
          </cell>
          <cell r="T30">
            <v>16.90909090909091</v>
          </cell>
          <cell r="U30">
            <v>11.363636363636363</v>
          </cell>
          <cell r="V30">
            <v>9.0303030303030312</v>
          </cell>
          <cell r="W30">
            <v>0</v>
          </cell>
          <cell r="X30">
            <v>7.5</v>
          </cell>
        </row>
        <row r="31">
          <cell r="A31">
            <v>30</v>
          </cell>
          <cell r="B31" t="str">
            <v>Kentucky</v>
          </cell>
          <cell r="C31" t="str">
            <v>Iowa State</v>
          </cell>
          <cell r="D31">
            <v>18.034523649586539</v>
          </cell>
          <cell r="E31">
            <v>101.2517590047062</v>
          </cell>
          <cell r="F31">
            <v>98.419793855345077</v>
          </cell>
          <cell r="G31">
            <v>0.53111327175498302</v>
          </cell>
          <cell r="H31">
            <v>69.036470588235289</v>
          </cell>
          <cell r="I31">
            <v>60.5</v>
          </cell>
          <cell r="J31">
            <v>22.676470588235293</v>
          </cell>
          <cell r="K31">
            <v>11.941176470588236</v>
          </cell>
          <cell r="L31">
            <v>10.5</v>
          </cell>
          <cell r="M31">
            <v>0</v>
          </cell>
          <cell r="N31">
            <v>20.641493911570723</v>
          </cell>
          <cell r="O31">
            <v>101.50134460238188</v>
          </cell>
          <cell r="P31">
            <v>96.951162965358421</v>
          </cell>
          <cell r="Q31">
            <v>0.56497313141182215</v>
          </cell>
          <cell r="R31">
            <v>67.654117647058825</v>
          </cell>
          <cell r="S31">
            <v>60.205882352941174</v>
          </cell>
          <cell r="T31">
            <v>20.470588235294116</v>
          </cell>
          <cell r="U31">
            <v>11.823529411764707</v>
          </cell>
          <cell r="V31">
            <v>10.264705882352942</v>
          </cell>
          <cell r="W31">
            <v>0</v>
          </cell>
          <cell r="X31">
            <v>5</v>
          </cell>
        </row>
        <row r="32">
          <cell r="A32">
            <v>31</v>
          </cell>
          <cell r="B32" t="str">
            <v>St. John's</v>
          </cell>
          <cell r="C32" t="str">
            <v>Kansas</v>
          </cell>
          <cell r="D32">
            <v>15.123966744544841</v>
          </cell>
          <cell r="E32">
            <v>102.62076624097725</v>
          </cell>
          <cell r="F32">
            <v>99.067983608660882</v>
          </cell>
          <cell r="G32">
            <v>0.50957290132547861</v>
          </cell>
          <cell r="H32">
            <v>70.527272727272731</v>
          </cell>
          <cell r="I32">
            <v>61.727272727272727</v>
          </cell>
          <cell r="J32">
            <v>26.060606060606062</v>
          </cell>
          <cell r="K32">
            <v>13.242424242424242</v>
          </cell>
          <cell r="L32">
            <v>10.575757575757576</v>
          </cell>
          <cell r="M32">
            <v>0</v>
          </cell>
          <cell r="N32">
            <v>16.809475334579385</v>
          </cell>
          <cell r="O32">
            <v>98.782531105933685</v>
          </cell>
          <cell r="P32">
            <v>105.39233290147665</v>
          </cell>
          <cell r="Q32">
            <v>0.51565708418891165</v>
          </cell>
          <cell r="R32">
            <v>68.042424242424246</v>
          </cell>
          <cell r="S32">
            <v>59.030303030303031</v>
          </cell>
          <cell r="T32">
            <v>19.242424242424242</v>
          </cell>
          <cell r="U32">
            <v>10.121212121212121</v>
          </cell>
          <cell r="V32">
            <v>10.666666666666666</v>
          </cell>
          <cell r="W32">
            <v>0</v>
          </cell>
          <cell r="X32">
            <v>-3.5</v>
          </cell>
        </row>
        <row r="33">
          <cell r="A33">
            <v>32</v>
          </cell>
          <cell r="B33" t="str">
            <v>Utah State</v>
          </cell>
          <cell r="C33" t="str">
            <v>Arizona</v>
          </cell>
          <cell r="D33">
            <v>16.287809545840613</v>
          </cell>
          <cell r="E33">
            <v>99.539689712306071</v>
          </cell>
          <cell r="F33">
            <v>89.1227776403734</v>
          </cell>
          <cell r="G33">
            <v>0.5741935483870968</v>
          </cell>
          <cell r="H33">
            <v>67.972499999999997</v>
          </cell>
          <cell r="I33">
            <v>58.125</v>
          </cell>
          <cell r="J33">
            <v>22.59375</v>
          </cell>
          <cell r="K33">
            <v>10.65625</v>
          </cell>
          <cell r="L33">
            <v>10.5625</v>
          </cell>
          <cell r="M33">
            <v>0</v>
          </cell>
          <cell r="N33">
            <v>23.687310951598352</v>
          </cell>
          <cell r="O33">
            <v>101.76807841686704</v>
          </cell>
          <cell r="P33">
            <v>98.493332637771204</v>
          </cell>
          <cell r="Q33">
            <v>0.55109126984126988</v>
          </cell>
          <cell r="R33">
            <v>70.587878787878793</v>
          </cell>
          <cell r="S33">
            <v>61.090909090909093</v>
          </cell>
          <cell r="T33">
            <v>26.060606060606062</v>
          </cell>
          <cell r="U33">
            <v>12.878787878787879</v>
          </cell>
          <cell r="V33">
            <v>10.909090909090908</v>
          </cell>
          <cell r="W33">
            <v>0</v>
          </cell>
          <cell r="X33">
            <v>11.5</v>
          </cell>
        </row>
        <row r="34">
          <cell r="D34"/>
          <cell r="E34"/>
          <cell r="F34"/>
          <cell r="G34"/>
          <cell r="H34"/>
          <cell r="I34"/>
          <cell r="J34"/>
          <cell r="K34"/>
          <cell r="L34"/>
          <cell r="M34"/>
          <cell r="N34"/>
          <cell r="O34"/>
          <cell r="P34"/>
          <cell r="Q34"/>
          <cell r="R34"/>
          <cell r="S34"/>
          <cell r="T34"/>
          <cell r="U34"/>
          <cell r="V34"/>
          <cell r="W34"/>
          <cell r="X34"/>
        </row>
        <row r="35">
          <cell r="D35"/>
          <cell r="E35"/>
          <cell r="F35"/>
          <cell r="G35"/>
          <cell r="H35"/>
          <cell r="I35"/>
          <cell r="J35"/>
          <cell r="K35"/>
          <cell r="L35"/>
          <cell r="M35"/>
          <cell r="N35"/>
          <cell r="O35"/>
          <cell r="P35"/>
          <cell r="Q35"/>
          <cell r="R35"/>
          <cell r="S35"/>
          <cell r="T35"/>
          <cell r="U35"/>
          <cell r="V35"/>
          <cell r="W35"/>
          <cell r="X35"/>
        </row>
        <row r="36">
          <cell r="D36"/>
          <cell r="E36"/>
          <cell r="F36"/>
          <cell r="G36"/>
          <cell r="H36"/>
          <cell r="I36"/>
          <cell r="J36"/>
          <cell r="K36"/>
          <cell r="L36"/>
          <cell r="M36"/>
          <cell r="N36"/>
          <cell r="O36"/>
          <cell r="P36"/>
          <cell r="Q36"/>
          <cell r="R36"/>
          <cell r="S36"/>
          <cell r="T36"/>
          <cell r="U36"/>
          <cell r="V36"/>
          <cell r="W36"/>
          <cell r="X36"/>
        </row>
        <row r="37">
          <cell r="D37"/>
          <cell r="E37"/>
          <cell r="F37"/>
          <cell r="G37"/>
          <cell r="H37"/>
          <cell r="I37"/>
          <cell r="J37"/>
          <cell r="K37"/>
          <cell r="L37"/>
          <cell r="M37"/>
          <cell r="N37"/>
          <cell r="O37"/>
          <cell r="P37"/>
          <cell r="Q37"/>
          <cell r="R37"/>
          <cell r="S37"/>
          <cell r="T37"/>
          <cell r="U37"/>
          <cell r="V37"/>
          <cell r="W37"/>
          <cell r="X37"/>
        </row>
        <row r="38">
          <cell r="D38"/>
          <cell r="E38"/>
          <cell r="F38"/>
          <cell r="G38"/>
          <cell r="H38"/>
          <cell r="I38"/>
          <cell r="J38"/>
          <cell r="K38"/>
          <cell r="L38"/>
          <cell r="M38"/>
          <cell r="N38"/>
          <cell r="O38"/>
          <cell r="P38"/>
          <cell r="Q38"/>
          <cell r="R38"/>
          <cell r="S38"/>
          <cell r="T38"/>
          <cell r="U38"/>
          <cell r="V38"/>
          <cell r="W38"/>
          <cell r="X38"/>
        </row>
        <row r="39">
          <cell r="D39"/>
          <cell r="E39"/>
          <cell r="F39"/>
          <cell r="G39"/>
          <cell r="H39"/>
          <cell r="I39"/>
          <cell r="J39"/>
          <cell r="K39"/>
          <cell r="L39"/>
          <cell r="M39"/>
          <cell r="N39"/>
          <cell r="O39"/>
          <cell r="P39"/>
          <cell r="Q39"/>
          <cell r="R39"/>
          <cell r="S39"/>
          <cell r="T39"/>
          <cell r="U39"/>
          <cell r="V39"/>
          <cell r="W39"/>
          <cell r="X39"/>
        </row>
        <row r="40">
          <cell r="D40"/>
          <cell r="E40"/>
          <cell r="F40"/>
          <cell r="G40"/>
          <cell r="H40"/>
          <cell r="I40"/>
          <cell r="J40"/>
          <cell r="K40"/>
          <cell r="L40"/>
          <cell r="M40"/>
          <cell r="N40"/>
          <cell r="O40"/>
          <cell r="P40"/>
          <cell r="Q40"/>
          <cell r="R40"/>
          <cell r="S40"/>
          <cell r="T40"/>
          <cell r="U40"/>
          <cell r="V40"/>
          <cell r="W40"/>
          <cell r="X40"/>
        </row>
        <row r="41">
          <cell r="D41"/>
          <cell r="E41"/>
          <cell r="F41"/>
          <cell r="G41"/>
          <cell r="H41"/>
          <cell r="I41"/>
          <cell r="J41"/>
          <cell r="K41"/>
          <cell r="L41"/>
          <cell r="M41"/>
          <cell r="N41"/>
          <cell r="O41"/>
          <cell r="P41"/>
          <cell r="Q41"/>
          <cell r="R41"/>
          <cell r="S41"/>
          <cell r="T41"/>
          <cell r="U41"/>
          <cell r="V41"/>
          <cell r="W41"/>
          <cell r="X41"/>
        </row>
        <row r="42">
          <cell r="D42"/>
          <cell r="E42"/>
          <cell r="F42"/>
          <cell r="G42"/>
          <cell r="H42"/>
          <cell r="I42"/>
          <cell r="J42"/>
          <cell r="K42"/>
          <cell r="L42"/>
          <cell r="M42"/>
          <cell r="N42"/>
          <cell r="O42"/>
          <cell r="P42"/>
          <cell r="Q42"/>
          <cell r="R42"/>
          <cell r="S42"/>
          <cell r="T42"/>
          <cell r="U42"/>
          <cell r="V42"/>
          <cell r="W42"/>
          <cell r="X42"/>
        </row>
        <row r="43">
          <cell r="D43"/>
          <cell r="E43"/>
          <cell r="F43"/>
          <cell r="G43"/>
          <cell r="H43"/>
          <cell r="I43"/>
          <cell r="J43"/>
          <cell r="K43"/>
          <cell r="L43"/>
          <cell r="M43"/>
          <cell r="N43"/>
          <cell r="O43"/>
          <cell r="P43"/>
          <cell r="Q43"/>
          <cell r="R43"/>
          <cell r="S43"/>
          <cell r="T43"/>
          <cell r="U43"/>
          <cell r="V43"/>
          <cell r="W43"/>
          <cell r="X43"/>
        </row>
        <row r="44">
          <cell r="D44"/>
          <cell r="E44"/>
          <cell r="F44"/>
          <cell r="G44"/>
          <cell r="H44"/>
          <cell r="I44"/>
          <cell r="J44"/>
          <cell r="K44"/>
          <cell r="L44"/>
          <cell r="M44"/>
          <cell r="N44"/>
          <cell r="O44"/>
          <cell r="P44"/>
          <cell r="Q44"/>
          <cell r="R44"/>
          <cell r="S44"/>
          <cell r="T44"/>
          <cell r="U44"/>
          <cell r="V44"/>
          <cell r="W44"/>
          <cell r="X44"/>
        </row>
        <row r="45">
          <cell r="D45"/>
          <cell r="E45"/>
          <cell r="F45"/>
          <cell r="G45"/>
          <cell r="H45"/>
          <cell r="I45"/>
          <cell r="J45"/>
          <cell r="K45"/>
          <cell r="L45"/>
          <cell r="M45"/>
          <cell r="N45"/>
          <cell r="O45"/>
          <cell r="P45"/>
          <cell r="Q45"/>
          <cell r="R45"/>
          <cell r="S45"/>
          <cell r="T45"/>
          <cell r="U45"/>
          <cell r="V45"/>
          <cell r="W45"/>
          <cell r="X45"/>
        </row>
        <row r="46">
          <cell r="D46"/>
          <cell r="E46"/>
          <cell r="F46"/>
          <cell r="G46"/>
          <cell r="H46"/>
          <cell r="I46"/>
          <cell r="J46"/>
          <cell r="K46"/>
          <cell r="L46"/>
          <cell r="M46"/>
          <cell r="N46"/>
          <cell r="O46"/>
          <cell r="P46"/>
          <cell r="Q46"/>
          <cell r="R46"/>
          <cell r="S46"/>
          <cell r="T46"/>
          <cell r="U46"/>
          <cell r="V46"/>
          <cell r="W46"/>
          <cell r="X46"/>
        </row>
        <row r="47">
          <cell r="D47"/>
          <cell r="E47"/>
          <cell r="F47"/>
          <cell r="G47"/>
          <cell r="H47"/>
          <cell r="I47"/>
          <cell r="J47"/>
          <cell r="K47"/>
          <cell r="L47"/>
          <cell r="M47"/>
          <cell r="N47"/>
          <cell r="O47"/>
          <cell r="P47"/>
          <cell r="Q47"/>
          <cell r="R47"/>
          <cell r="S47"/>
          <cell r="T47"/>
          <cell r="U47"/>
          <cell r="V47"/>
          <cell r="W47"/>
          <cell r="X47"/>
        </row>
        <row r="48">
          <cell r="D48"/>
          <cell r="E48"/>
          <cell r="F48"/>
          <cell r="G48"/>
          <cell r="H48"/>
          <cell r="I48"/>
          <cell r="J48"/>
          <cell r="K48"/>
          <cell r="L48"/>
          <cell r="M48"/>
          <cell r="N48"/>
          <cell r="O48"/>
          <cell r="P48"/>
          <cell r="Q48"/>
          <cell r="R48"/>
          <cell r="S48"/>
          <cell r="T48"/>
          <cell r="U48"/>
          <cell r="V48"/>
          <cell r="W48"/>
          <cell r="X48"/>
        </row>
        <row r="49">
          <cell r="D49"/>
          <cell r="E49"/>
          <cell r="F49"/>
          <cell r="G49"/>
          <cell r="H49"/>
          <cell r="I49"/>
          <cell r="J49"/>
          <cell r="K49"/>
          <cell r="L49"/>
          <cell r="M49"/>
          <cell r="N49"/>
          <cell r="O49"/>
          <cell r="P49"/>
          <cell r="Q49"/>
          <cell r="R49"/>
          <cell r="S49"/>
          <cell r="T49"/>
          <cell r="U49"/>
          <cell r="V49"/>
          <cell r="W49"/>
          <cell r="X49"/>
        </row>
        <row r="50">
          <cell r="D50"/>
          <cell r="E50"/>
          <cell r="F50"/>
          <cell r="G50"/>
          <cell r="H50"/>
          <cell r="I50"/>
          <cell r="J50"/>
          <cell r="K50"/>
          <cell r="L50"/>
          <cell r="M50"/>
          <cell r="N50"/>
          <cell r="O50"/>
          <cell r="P50"/>
          <cell r="Q50"/>
          <cell r="R50"/>
          <cell r="S50"/>
          <cell r="T50"/>
          <cell r="U50"/>
          <cell r="V50"/>
          <cell r="W50"/>
          <cell r="X50"/>
        </row>
        <row r="51">
          <cell r="D51"/>
          <cell r="E51"/>
          <cell r="F51"/>
          <cell r="G51"/>
          <cell r="H51"/>
          <cell r="I51"/>
          <cell r="J51"/>
          <cell r="K51"/>
          <cell r="L51"/>
          <cell r="M51"/>
          <cell r="N51"/>
          <cell r="O51"/>
          <cell r="P51"/>
          <cell r="Q51"/>
          <cell r="R51"/>
          <cell r="S51"/>
          <cell r="T51"/>
          <cell r="U51"/>
          <cell r="V51"/>
          <cell r="W51"/>
          <cell r="X51"/>
        </row>
        <row r="52">
          <cell r="D52"/>
          <cell r="E52"/>
          <cell r="F52"/>
          <cell r="G52"/>
          <cell r="H52"/>
          <cell r="I52"/>
          <cell r="J52"/>
          <cell r="K52"/>
          <cell r="L52"/>
          <cell r="M52"/>
          <cell r="N52"/>
          <cell r="O52"/>
          <cell r="P52"/>
          <cell r="Q52"/>
          <cell r="R52"/>
          <cell r="S52"/>
          <cell r="T52"/>
          <cell r="U52"/>
          <cell r="V52"/>
          <cell r="W52"/>
          <cell r="X52"/>
        </row>
        <row r="53">
          <cell r="D53"/>
          <cell r="E53"/>
          <cell r="F53"/>
          <cell r="G53"/>
          <cell r="H53"/>
          <cell r="I53"/>
          <cell r="J53"/>
          <cell r="K53"/>
          <cell r="L53"/>
          <cell r="M53"/>
          <cell r="N53"/>
          <cell r="O53"/>
          <cell r="P53"/>
          <cell r="Q53"/>
          <cell r="R53"/>
          <cell r="S53"/>
          <cell r="T53"/>
          <cell r="U53"/>
          <cell r="V53"/>
          <cell r="W53"/>
          <cell r="X53"/>
        </row>
        <row r="54">
          <cell r="D54"/>
          <cell r="E54"/>
          <cell r="F54"/>
          <cell r="G54"/>
          <cell r="H54"/>
          <cell r="I54"/>
          <cell r="J54"/>
          <cell r="K54"/>
          <cell r="L54"/>
          <cell r="M54"/>
          <cell r="N54"/>
          <cell r="O54"/>
          <cell r="P54"/>
          <cell r="Q54"/>
          <cell r="R54"/>
          <cell r="S54"/>
          <cell r="T54"/>
          <cell r="U54"/>
          <cell r="V54"/>
          <cell r="W54"/>
          <cell r="X54"/>
        </row>
        <row r="55">
          <cell r="D55"/>
          <cell r="E55"/>
          <cell r="F55"/>
          <cell r="G55"/>
          <cell r="H55"/>
          <cell r="I55"/>
          <cell r="J55"/>
          <cell r="K55"/>
          <cell r="L55"/>
          <cell r="M55"/>
          <cell r="N55"/>
          <cell r="O55"/>
          <cell r="P55"/>
          <cell r="Q55"/>
          <cell r="R55"/>
          <cell r="S55"/>
          <cell r="T55"/>
          <cell r="U55"/>
          <cell r="V55"/>
          <cell r="W55"/>
          <cell r="X55"/>
        </row>
        <row r="56">
          <cell r="D56"/>
          <cell r="E56"/>
          <cell r="F56"/>
          <cell r="G56"/>
          <cell r="H56"/>
          <cell r="I56"/>
          <cell r="J56"/>
          <cell r="K56"/>
          <cell r="L56"/>
          <cell r="M56"/>
          <cell r="N56"/>
          <cell r="O56"/>
          <cell r="P56"/>
          <cell r="Q56"/>
          <cell r="R56"/>
          <cell r="S56"/>
          <cell r="T56"/>
          <cell r="U56"/>
          <cell r="V56"/>
          <cell r="W56"/>
          <cell r="X56"/>
        </row>
        <row r="57">
          <cell r="D57"/>
          <cell r="E57"/>
          <cell r="F57"/>
          <cell r="G57"/>
          <cell r="H57"/>
          <cell r="I57"/>
          <cell r="J57"/>
          <cell r="K57"/>
          <cell r="L57"/>
          <cell r="M57"/>
          <cell r="N57"/>
          <cell r="O57"/>
          <cell r="P57"/>
          <cell r="Q57"/>
          <cell r="R57"/>
          <cell r="S57"/>
          <cell r="T57"/>
          <cell r="U57"/>
          <cell r="V57"/>
          <cell r="W57"/>
          <cell r="X57"/>
        </row>
        <row r="58">
          <cell r="D58"/>
          <cell r="E58"/>
          <cell r="F58"/>
          <cell r="G58"/>
          <cell r="H58"/>
          <cell r="I58"/>
          <cell r="J58"/>
          <cell r="K58"/>
          <cell r="L58"/>
          <cell r="M58"/>
          <cell r="N58"/>
          <cell r="O58"/>
          <cell r="P58"/>
          <cell r="Q58"/>
          <cell r="R58"/>
          <cell r="S58"/>
          <cell r="T58"/>
          <cell r="U58"/>
          <cell r="V58"/>
          <cell r="W58"/>
          <cell r="X58"/>
        </row>
        <row r="59">
          <cell r="D59"/>
          <cell r="E59"/>
          <cell r="F59"/>
          <cell r="G59"/>
          <cell r="H59"/>
          <cell r="I59"/>
          <cell r="J59"/>
          <cell r="K59"/>
          <cell r="L59"/>
          <cell r="M59"/>
          <cell r="N59"/>
          <cell r="O59"/>
          <cell r="P59"/>
          <cell r="Q59"/>
          <cell r="R59"/>
          <cell r="S59"/>
          <cell r="T59"/>
          <cell r="U59"/>
          <cell r="V59"/>
          <cell r="W59"/>
          <cell r="X59"/>
        </row>
        <row r="60">
          <cell r="D60"/>
          <cell r="E60"/>
          <cell r="F60"/>
          <cell r="G60"/>
          <cell r="H60"/>
          <cell r="I60"/>
          <cell r="J60"/>
          <cell r="K60"/>
          <cell r="L60"/>
          <cell r="M60"/>
          <cell r="N60"/>
          <cell r="O60"/>
          <cell r="P60"/>
          <cell r="Q60"/>
          <cell r="R60"/>
          <cell r="S60"/>
          <cell r="T60"/>
          <cell r="U60"/>
          <cell r="V60"/>
          <cell r="W60"/>
          <cell r="X60"/>
        </row>
        <row r="61">
          <cell r="D61"/>
          <cell r="E61"/>
          <cell r="F61"/>
          <cell r="G61"/>
          <cell r="H61"/>
          <cell r="I61"/>
          <cell r="J61"/>
          <cell r="K61"/>
          <cell r="L61"/>
          <cell r="M61"/>
          <cell r="N61"/>
          <cell r="O61"/>
          <cell r="P61"/>
          <cell r="Q61"/>
          <cell r="R61"/>
          <cell r="S61"/>
          <cell r="T61"/>
          <cell r="U61"/>
          <cell r="V61"/>
          <cell r="W61"/>
          <cell r="X61"/>
        </row>
        <row r="62">
          <cell r="D62"/>
          <cell r="E62"/>
          <cell r="F62"/>
          <cell r="G62"/>
          <cell r="H62"/>
          <cell r="I62"/>
          <cell r="J62"/>
          <cell r="K62"/>
          <cell r="L62"/>
          <cell r="M62"/>
          <cell r="N62"/>
          <cell r="O62"/>
          <cell r="P62"/>
          <cell r="Q62"/>
          <cell r="R62"/>
          <cell r="S62"/>
          <cell r="T62"/>
          <cell r="U62"/>
          <cell r="V62"/>
          <cell r="W62"/>
          <cell r="X62"/>
        </row>
        <row r="63">
          <cell r="D63"/>
          <cell r="E63"/>
          <cell r="F63"/>
          <cell r="G63"/>
          <cell r="H63"/>
          <cell r="I63"/>
          <cell r="J63"/>
          <cell r="K63"/>
          <cell r="L63"/>
          <cell r="M63"/>
          <cell r="N63"/>
          <cell r="O63"/>
          <cell r="P63"/>
          <cell r="Q63"/>
          <cell r="R63"/>
          <cell r="S63"/>
          <cell r="T63"/>
          <cell r="U63"/>
          <cell r="V63"/>
          <cell r="W63"/>
          <cell r="X63"/>
        </row>
        <row r="64">
          <cell r="D64"/>
          <cell r="E64"/>
          <cell r="F64"/>
          <cell r="G64"/>
          <cell r="H64"/>
          <cell r="I64"/>
          <cell r="J64"/>
          <cell r="K64"/>
          <cell r="L64"/>
          <cell r="M64"/>
          <cell r="N64"/>
          <cell r="O64"/>
          <cell r="P64"/>
          <cell r="Q64"/>
          <cell r="R64"/>
          <cell r="S64"/>
          <cell r="T64"/>
          <cell r="U64"/>
          <cell r="V64"/>
          <cell r="W64"/>
          <cell r="X64"/>
        </row>
        <row r="65">
          <cell r="D65"/>
          <cell r="E65"/>
          <cell r="F65"/>
          <cell r="G65"/>
          <cell r="H65"/>
          <cell r="I65"/>
          <cell r="J65"/>
          <cell r="K65"/>
          <cell r="L65"/>
          <cell r="M65"/>
          <cell r="N65"/>
          <cell r="O65"/>
          <cell r="P65"/>
          <cell r="Q65"/>
          <cell r="R65"/>
          <cell r="S65"/>
          <cell r="T65"/>
          <cell r="U65"/>
          <cell r="V65"/>
          <cell r="W65"/>
          <cell r="X65"/>
        </row>
        <row r="66">
          <cell r="D66"/>
          <cell r="E66"/>
          <cell r="F66"/>
          <cell r="G66"/>
          <cell r="H66"/>
          <cell r="I66"/>
          <cell r="J66"/>
          <cell r="K66"/>
          <cell r="L66"/>
          <cell r="M66"/>
          <cell r="N66"/>
          <cell r="O66"/>
          <cell r="P66"/>
          <cell r="Q66"/>
          <cell r="R66"/>
          <cell r="S66"/>
          <cell r="T66"/>
          <cell r="U66"/>
          <cell r="V66"/>
          <cell r="W66"/>
          <cell r="X66"/>
        </row>
        <row r="67">
          <cell r="D67"/>
          <cell r="E67"/>
          <cell r="F67"/>
          <cell r="G67"/>
          <cell r="H67"/>
          <cell r="I67"/>
          <cell r="J67"/>
          <cell r="K67"/>
          <cell r="L67"/>
          <cell r="M67"/>
          <cell r="N67"/>
          <cell r="O67"/>
          <cell r="P67"/>
          <cell r="Q67"/>
          <cell r="R67"/>
          <cell r="S67"/>
          <cell r="T67"/>
          <cell r="U67"/>
          <cell r="V67"/>
          <cell r="W67"/>
          <cell r="X67"/>
        </row>
        <row r="68">
          <cell r="D68"/>
          <cell r="E68"/>
          <cell r="F68"/>
          <cell r="G68"/>
          <cell r="H68"/>
          <cell r="I68"/>
          <cell r="J68"/>
          <cell r="K68"/>
          <cell r="L68"/>
          <cell r="M68"/>
          <cell r="N68"/>
          <cell r="O68"/>
          <cell r="P68"/>
          <cell r="Q68"/>
          <cell r="R68"/>
          <cell r="S68"/>
          <cell r="T68"/>
          <cell r="U68"/>
          <cell r="V68"/>
          <cell r="W68"/>
          <cell r="X68"/>
        </row>
        <row r="69">
          <cell r="D69"/>
          <cell r="E69"/>
          <cell r="F69"/>
          <cell r="G69"/>
          <cell r="H69"/>
          <cell r="I69"/>
          <cell r="J69"/>
          <cell r="K69"/>
          <cell r="L69"/>
          <cell r="M69"/>
          <cell r="N69"/>
          <cell r="O69"/>
          <cell r="P69"/>
          <cell r="Q69"/>
          <cell r="R69"/>
          <cell r="S69"/>
          <cell r="T69"/>
          <cell r="U69"/>
          <cell r="V69"/>
          <cell r="W69"/>
          <cell r="X69"/>
        </row>
        <row r="70">
          <cell r="D70"/>
          <cell r="E70"/>
          <cell r="F70"/>
          <cell r="G70"/>
          <cell r="H70"/>
          <cell r="I70"/>
          <cell r="J70"/>
          <cell r="K70"/>
          <cell r="L70"/>
          <cell r="M70"/>
          <cell r="N70"/>
          <cell r="O70"/>
          <cell r="P70"/>
          <cell r="Q70"/>
          <cell r="R70"/>
          <cell r="S70"/>
          <cell r="T70"/>
          <cell r="U70"/>
          <cell r="V70"/>
          <cell r="W70"/>
          <cell r="X70"/>
        </row>
        <row r="71">
          <cell r="D71"/>
          <cell r="E71"/>
          <cell r="F71"/>
          <cell r="G71"/>
          <cell r="H71"/>
          <cell r="I71"/>
          <cell r="J71"/>
          <cell r="K71"/>
          <cell r="L71"/>
          <cell r="M71"/>
          <cell r="N71"/>
          <cell r="O71"/>
          <cell r="P71"/>
          <cell r="Q71"/>
          <cell r="R71"/>
          <cell r="S71"/>
          <cell r="T71"/>
          <cell r="U71"/>
          <cell r="V71"/>
          <cell r="W71"/>
          <cell r="X71"/>
        </row>
        <row r="72">
          <cell r="D72"/>
          <cell r="E72"/>
          <cell r="F72"/>
          <cell r="G72"/>
          <cell r="H72"/>
          <cell r="I72"/>
          <cell r="J72"/>
          <cell r="K72"/>
          <cell r="L72"/>
          <cell r="M72"/>
          <cell r="N72"/>
          <cell r="O72"/>
          <cell r="P72"/>
          <cell r="Q72"/>
          <cell r="R72"/>
          <cell r="S72"/>
          <cell r="T72"/>
          <cell r="U72"/>
          <cell r="V72"/>
          <cell r="W72"/>
          <cell r="X72"/>
        </row>
        <row r="73">
          <cell r="D73"/>
          <cell r="E73"/>
          <cell r="F73"/>
          <cell r="G73"/>
          <cell r="H73"/>
          <cell r="I73"/>
          <cell r="J73"/>
          <cell r="K73"/>
          <cell r="L73"/>
          <cell r="M73"/>
          <cell r="N73"/>
          <cell r="O73"/>
          <cell r="P73"/>
          <cell r="Q73"/>
          <cell r="R73"/>
          <cell r="S73"/>
          <cell r="T73"/>
          <cell r="U73"/>
          <cell r="V73"/>
          <cell r="W73"/>
          <cell r="X73"/>
        </row>
        <row r="74">
          <cell r="D74"/>
          <cell r="E74"/>
          <cell r="F74"/>
          <cell r="G74"/>
          <cell r="H74"/>
          <cell r="I74"/>
          <cell r="J74"/>
          <cell r="K74"/>
          <cell r="L74"/>
          <cell r="M74"/>
          <cell r="N74"/>
          <cell r="O74"/>
          <cell r="P74"/>
          <cell r="Q74"/>
          <cell r="R74"/>
          <cell r="S74"/>
          <cell r="T74"/>
          <cell r="U74"/>
          <cell r="V74"/>
          <cell r="W74"/>
          <cell r="X74"/>
        </row>
        <row r="75">
          <cell r="D75"/>
          <cell r="E75"/>
          <cell r="F75"/>
          <cell r="G75"/>
          <cell r="H75"/>
          <cell r="I75"/>
          <cell r="J75"/>
          <cell r="K75"/>
          <cell r="L75"/>
          <cell r="M75"/>
          <cell r="N75"/>
          <cell r="O75"/>
          <cell r="P75"/>
          <cell r="Q75"/>
          <cell r="R75"/>
          <cell r="S75"/>
          <cell r="T75"/>
          <cell r="U75"/>
          <cell r="V75"/>
          <cell r="W75"/>
          <cell r="X75"/>
        </row>
        <row r="76">
          <cell r="D76"/>
          <cell r="E76"/>
          <cell r="F76"/>
          <cell r="G76"/>
          <cell r="H76"/>
          <cell r="I76"/>
          <cell r="J76"/>
          <cell r="K76"/>
          <cell r="L76"/>
          <cell r="M76"/>
          <cell r="N76"/>
          <cell r="O76"/>
          <cell r="P76"/>
          <cell r="Q76"/>
          <cell r="R76"/>
          <cell r="S76"/>
          <cell r="T76"/>
          <cell r="U76"/>
          <cell r="V76"/>
          <cell r="W76"/>
          <cell r="X76"/>
        </row>
        <row r="77">
          <cell r="D77"/>
          <cell r="E77"/>
          <cell r="F77"/>
          <cell r="G77"/>
          <cell r="H77"/>
          <cell r="I77"/>
          <cell r="J77"/>
          <cell r="K77"/>
          <cell r="L77"/>
          <cell r="M77"/>
          <cell r="N77"/>
          <cell r="O77"/>
          <cell r="P77"/>
          <cell r="Q77"/>
          <cell r="R77"/>
          <cell r="S77"/>
          <cell r="T77"/>
          <cell r="U77"/>
          <cell r="V77"/>
          <cell r="W77"/>
          <cell r="X77"/>
        </row>
        <row r="78">
          <cell r="D78"/>
          <cell r="E78"/>
          <cell r="F78"/>
          <cell r="G78"/>
          <cell r="H78"/>
          <cell r="I78"/>
          <cell r="J78"/>
          <cell r="K78"/>
          <cell r="L78"/>
          <cell r="M78"/>
          <cell r="N78"/>
          <cell r="O78"/>
          <cell r="P78"/>
          <cell r="Q78"/>
          <cell r="R78"/>
          <cell r="S78"/>
          <cell r="T78"/>
          <cell r="U78"/>
          <cell r="V78"/>
          <cell r="W78"/>
          <cell r="X78"/>
        </row>
        <row r="79">
          <cell r="D79"/>
          <cell r="E79"/>
          <cell r="F79"/>
          <cell r="G79"/>
          <cell r="H79"/>
          <cell r="I79"/>
          <cell r="J79"/>
          <cell r="K79"/>
          <cell r="L79"/>
          <cell r="M79"/>
          <cell r="N79"/>
          <cell r="O79"/>
          <cell r="P79"/>
          <cell r="Q79"/>
          <cell r="R79"/>
          <cell r="S79"/>
          <cell r="T79"/>
          <cell r="U79"/>
          <cell r="V79"/>
          <cell r="W79"/>
          <cell r="X79"/>
        </row>
        <row r="80">
          <cell r="D80"/>
          <cell r="E80"/>
          <cell r="F80"/>
          <cell r="G80"/>
          <cell r="H80"/>
          <cell r="I80"/>
          <cell r="J80"/>
          <cell r="K80"/>
          <cell r="L80"/>
          <cell r="M80"/>
          <cell r="N80"/>
          <cell r="O80"/>
          <cell r="P80"/>
          <cell r="Q80"/>
          <cell r="R80"/>
          <cell r="S80"/>
          <cell r="T80"/>
          <cell r="U80"/>
          <cell r="V80"/>
          <cell r="W80"/>
          <cell r="X80"/>
        </row>
        <row r="81">
          <cell r="D81"/>
          <cell r="E81"/>
          <cell r="F81"/>
          <cell r="G81"/>
          <cell r="H81"/>
          <cell r="I81"/>
          <cell r="J81"/>
          <cell r="K81"/>
          <cell r="L81"/>
          <cell r="M81"/>
          <cell r="N81"/>
          <cell r="O81"/>
          <cell r="P81"/>
          <cell r="Q81"/>
          <cell r="R81"/>
          <cell r="S81"/>
          <cell r="T81"/>
          <cell r="U81"/>
          <cell r="V81"/>
          <cell r="W81"/>
          <cell r="X81"/>
        </row>
        <row r="82">
          <cell r="D82"/>
          <cell r="E82"/>
          <cell r="F82"/>
          <cell r="G82"/>
          <cell r="H82"/>
          <cell r="I82"/>
          <cell r="J82"/>
          <cell r="K82"/>
          <cell r="L82"/>
          <cell r="M82"/>
          <cell r="N82"/>
          <cell r="O82"/>
          <cell r="P82"/>
          <cell r="Q82"/>
          <cell r="R82"/>
          <cell r="S82"/>
          <cell r="T82"/>
          <cell r="U82"/>
          <cell r="V82"/>
          <cell r="W82"/>
          <cell r="X82"/>
        </row>
        <row r="83">
          <cell r="D83"/>
          <cell r="E83"/>
          <cell r="F83"/>
          <cell r="G83"/>
          <cell r="H83"/>
          <cell r="I83"/>
          <cell r="J83"/>
          <cell r="K83"/>
          <cell r="L83"/>
          <cell r="M83"/>
          <cell r="N83"/>
          <cell r="O83"/>
          <cell r="P83"/>
          <cell r="Q83"/>
          <cell r="R83"/>
          <cell r="S83"/>
          <cell r="T83"/>
          <cell r="U83"/>
          <cell r="V83"/>
          <cell r="W83"/>
          <cell r="X83"/>
        </row>
        <row r="84">
          <cell r="D84"/>
          <cell r="E84"/>
          <cell r="F84"/>
          <cell r="G84"/>
          <cell r="H84"/>
          <cell r="I84"/>
          <cell r="J84"/>
          <cell r="K84"/>
          <cell r="L84"/>
          <cell r="M84"/>
          <cell r="N84"/>
          <cell r="O84"/>
          <cell r="P84"/>
          <cell r="Q84"/>
          <cell r="R84"/>
          <cell r="S84"/>
          <cell r="T84"/>
          <cell r="U84"/>
          <cell r="V84"/>
          <cell r="W84"/>
          <cell r="X84"/>
        </row>
        <row r="85">
          <cell r="D85"/>
          <cell r="E85"/>
          <cell r="F85"/>
          <cell r="G85"/>
          <cell r="H85"/>
          <cell r="I85"/>
          <cell r="J85"/>
          <cell r="K85"/>
          <cell r="L85"/>
          <cell r="M85"/>
          <cell r="N85"/>
          <cell r="O85"/>
          <cell r="P85"/>
          <cell r="Q85"/>
          <cell r="R85"/>
          <cell r="S85"/>
          <cell r="T85"/>
          <cell r="U85"/>
          <cell r="V85"/>
          <cell r="W85"/>
          <cell r="X85"/>
        </row>
        <row r="86">
          <cell r="D86"/>
          <cell r="E86"/>
          <cell r="F86"/>
          <cell r="G86"/>
          <cell r="H86"/>
          <cell r="I86"/>
          <cell r="J86"/>
          <cell r="K86"/>
          <cell r="L86"/>
          <cell r="M86"/>
          <cell r="N86"/>
          <cell r="O86"/>
          <cell r="P86"/>
          <cell r="Q86"/>
          <cell r="R86"/>
          <cell r="S86"/>
          <cell r="T86"/>
          <cell r="U86"/>
          <cell r="V86"/>
          <cell r="W86"/>
          <cell r="X86"/>
        </row>
        <row r="87">
          <cell r="D87"/>
          <cell r="E87"/>
          <cell r="F87"/>
          <cell r="G87"/>
          <cell r="H87"/>
          <cell r="I87"/>
          <cell r="J87"/>
          <cell r="K87"/>
          <cell r="L87"/>
          <cell r="M87"/>
          <cell r="N87"/>
          <cell r="O87"/>
          <cell r="P87"/>
          <cell r="Q87"/>
          <cell r="R87"/>
          <cell r="S87"/>
          <cell r="T87"/>
          <cell r="U87"/>
          <cell r="V87"/>
          <cell r="W87"/>
          <cell r="X87"/>
        </row>
        <row r="88">
          <cell r="D88"/>
          <cell r="E88"/>
          <cell r="F88"/>
          <cell r="G88"/>
          <cell r="H88"/>
          <cell r="I88"/>
          <cell r="J88"/>
          <cell r="K88"/>
          <cell r="L88"/>
          <cell r="M88"/>
          <cell r="N88"/>
          <cell r="O88"/>
          <cell r="P88"/>
          <cell r="Q88"/>
          <cell r="R88"/>
          <cell r="S88"/>
          <cell r="T88"/>
          <cell r="U88"/>
          <cell r="V88"/>
          <cell r="W88"/>
          <cell r="X88"/>
        </row>
        <row r="89">
          <cell r="D89"/>
          <cell r="E89"/>
          <cell r="F89"/>
          <cell r="G89"/>
          <cell r="H89"/>
          <cell r="I89"/>
          <cell r="J89"/>
          <cell r="K89"/>
          <cell r="L89"/>
          <cell r="M89"/>
          <cell r="N89"/>
          <cell r="O89"/>
          <cell r="P89"/>
          <cell r="Q89"/>
          <cell r="R89"/>
          <cell r="S89"/>
          <cell r="T89"/>
          <cell r="U89"/>
          <cell r="V89"/>
          <cell r="W89"/>
          <cell r="X89"/>
        </row>
        <row r="90">
          <cell r="D90"/>
          <cell r="E90"/>
          <cell r="F90"/>
          <cell r="G90"/>
          <cell r="H90"/>
          <cell r="I90"/>
          <cell r="J90"/>
          <cell r="K90"/>
          <cell r="L90"/>
          <cell r="M90"/>
          <cell r="N90"/>
          <cell r="O90"/>
          <cell r="P90"/>
          <cell r="Q90"/>
          <cell r="R90"/>
          <cell r="S90"/>
          <cell r="T90"/>
          <cell r="U90"/>
          <cell r="V90"/>
          <cell r="W90"/>
          <cell r="X90"/>
        </row>
        <row r="91">
          <cell r="D91"/>
          <cell r="E91"/>
          <cell r="F91"/>
          <cell r="G91"/>
          <cell r="H91"/>
          <cell r="I91"/>
          <cell r="J91"/>
          <cell r="K91"/>
          <cell r="L91"/>
          <cell r="M91"/>
          <cell r="N91"/>
          <cell r="O91"/>
          <cell r="P91"/>
          <cell r="Q91"/>
          <cell r="R91"/>
          <cell r="S91"/>
          <cell r="T91"/>
          <cell r="U91"/>
          <cell r="V91"/>
          <cell r="W91"/>
          <cell r="X91"/>
        </row>
        <row r="92">
          <cell r="D92"/>
          <cell r="E92"/>
          <cell r="F92"/>
          <cell r="G92"/>
          <cell r="H92"/>
          <cell r="I92"/>
          <cell r="J92"/>
          <cell r="K92"/>
          <cell r="L92"/>
          <cell r="M92"/>
          <cell r="N92"/>
          <cell r="O92"/>
          <cell r="P92"/>
          <cell r="Q92"/>
          <cell r="R92"/>
          <cell r="S92"/>
          <cell r="T92"/>
          <cell r="U92"/>
          <cell r="V92"/>
          <cell r="W92"/>
          <cell r="X92"/>
        </row>
        <row r="93">
          <cell r="D93"/>
          <cell r="E93"/>
          <cell r="F93"/>
          <cell r="G93"/>
          <cell r="H93"/>
          <cell r="I93"/>
          <cell r="J93"/>
          <cell r="K93"/>
          <cell r="L93"/>
          <cell r="M93"/>
          <cell r="N93"/>
          <cell r="O93"/>
          <cell r="P93"/>
          <cell r="Q93"/>
          <cell r="R93"/>
          <cell r="S93"/>
          <cell r="T93"/>
          <cell r="U93"/>
          <cell r="V93"/>
          <cell r="W93"/>
          <cell r="X93"/>
        </row>
        <row r="94">
          <cell r="D94"/>
          <cell r="E94"/>
          <cell r="F94"/>
          <cell r="G94"/>
          <cell r="H94"/>
          <cell r="I94"/>
          <cell r="J94"/>
          <cell r="K94"/>
          <cell r="L94"/>
          <cell r="M94"/>
          <cell r="N94"/>
          <cell r="O94"/>
          <cell r="P94"/>
          <cell r="Q94"/>
          <cell r="R94"/>
          <cell r="S94"/>
          <cell r="T94"/>
          <cell r="U94"/>
          <cell r="V94"/>
          <cell r="W94"/>
          <cell r="X94"/>
        </row>
        <row r="95">
          <cell r="D95"/>
          <cell r="E95"/>
          <cell r="F95"/>
          <cell r="G95"/>
          <cell r="H95"/>
          <cell r="I95"/>
          <cell r="J95"/>
          <cell r="K95"/>
          <cell r="L95"/>
          <cell r="M95"/>
          <cell r="N95"/>
          <cell r="O95"/>
          <cell r="P95"/>
          <cell r="Q95"/>
          <cell r="R95"/>
          <cell r="S95"/>
          <cell r="T95"/>
          <cell r="U95"/>
          <cell r="V95"/>
          <cell r="W95"/>
          <cell r="X95"/>
        </row>
        <row r="96">
          <cell r="D96"/>
          <cell r="E96"/>
          <cell r="F96"/>
          <cell r="G96"/>
          <cell r="H96"/>
          <cell r="I96"/>
          <cell r="J96"/>
          <cell r="K96"/>
          <cell r="L96"/>
          <cell r="M96"/>
          <cell r="N96"/>
          <cell r="O96"/>
          <cell r="P96"/>
          <cell r="Q96"/>
          <cell r="R96"/>
          <cell r="S96"/>
          <cell r="T96"/>
          <cell r="U96"/>
          <cell r="V96"/>
          <cell r="W96"/>
          <cell r="X96"/>
        </row>
        <row r="97">
          <cell r="D97"/>
          <cell r="E97"/>
          <cell r="F97"/>
          <cell r="G97"/>
          <cell r="H97"/>
          <cell r="I97"/>
          <cell r="J97"/>
          <cell r="K97"/>
          <cell r="L97"/>
          <cell r="M97"/>
          <cell r="N97"/>
          <cell r="O97"/>
          <cell r="P97"/>
          <cell r="Q97"/>
          <cell r="R97"/>
          <cell r="S97"/>
          <cell r="T97"/>
          <cell r="U97"/>
          <cell r="V97"/>
          <cell r="W97"/>
          <cell r="X97"/>
        </row>
        <row r="98">
          <cell r="D98"/>
          <cell r="E98"/>
          <cell r="F98"/>
          <cell r="G98"/>
          <cell r="H98"/>
          <cell r="I98"/>
          <cell r="J98"/>
          <cell r="K98"/>
          <cell r="L98"/>
          <cell r="M98"/>
          <cell r="N98"/>
          <cell r="O98"/>
          <cell r="P98"/>
          <cell r="Q98"/>
          <cell r="R98"/>
          <cell r="S98"/>
          <cell r="T98"/>
          <cell r="U98"/>
          <cell r="V98"/>
          <cell r="W98"/>
          <cell r="X98"/>
        </row>
        <row r="99">
          <cell r="D99"/>
          <cell r="E99"/>
          <cell r="F99"/>
          <cell r="G99"/>
          <cell r="H99"/>
          <cell r="I99"/>
          <cell r="J99"/>
          <cell r="K99"/>
          <cell r="L99"/>
          <cell r="M99"/>
          <cell r="N99"/>
          <cell r="O99"/>
          <cell r="P99"/>
          <cell r="Q99"/>
          <cell r="R99"/>
          <cell r="S99"/>
          <cell r="T99"/>
          <cell r="U99"/>
          <cell r="V99"/>
          <cell r="W99"/>
          <cell r="X99"/>
        </row>
        <row r="100">
          <cell r="D100"/>
          <cell r="E100"/>
          <cell r="F100"/>
          <cell r="G100"/>
          <cell r="H100"/>
          <cell r="I100"/>
          <cell r="J100"/>
          <cell r="K100"/>
          <cell r="L100"/>
          <cell r="M100"/>
          <cell r="N100"/>
          <cell r="O100"/>
          <cell r="P100"/>
          <cell r="Q100"/>
          <cell r="R100"/>
          <cell r="S100"/>
          <cell r="T100"/>
          <cell r="U100"/>
          <cell r="V100"/>
          <cell r="W100"/>
          <cell r="X100"/>
        </row>
        <row r="101">
          <cell r="D101"/>
          <cell r="E101"/>
          <cell r="F101"/>
          <cell r="G101"/>
          <cell r="H101"/>
          <cell r="I101"/>
          <cell r="J101"/>
          <cell r="K101"/>
          <cell r="L101"/>
          <cell r="M101"/>
          <cell r="N101"/>
          <cell r="O101"/>
          <cell r="P101"/>
          <cell r="Q101"/>
          <cell r="R101"/>
          <cell r="S101"/>
          <cell r="T101"/>
          <cell r="U101"/>
          <cell r="V101"/>
          <cell r="W101"/>
          <cell r="X101"/>
        </row>
        <row r="102">
          <cell r="D102"/>
          <cell r="E102"/>
          <cell r="F102"/>
          <cell r="G102"/>
          <cell r="H102"/>
          <cell r="I102"/>
          <cell r="J102"/>
          <cell r="K102"/>
          <cell r="L102"/>
          <cell r="M102"/>
          <cell r="N102"/>
          <cell r="O102"/>
          <cell r="P102"/>
          <cell r="Q102"/>
          <cell r="R102"/>
          <cell r="S102"/>
          <cell r="T102"/>
          <cell r="U102"/>
          <cell r="V102"/>
          <cell r="W102"/>
          <cell r="X102"/>
        </row>
        <row r="103">
          <cell r="D103"/>
          <cell r="E103"/>
          <cell r="F103"/>
          <cell r="G103"/>
          <cell r="H103"/>
          <cell r="I103"/>
          <cell r="J103"/>
          <cell r="K103"/>
          <cell r="L103"/>
          <cell r="M103"/>
          <cell r="N103"/>
          <cell r="O103"/>
          <cell r="P103"/>
          <cell r="Q103"/>
          <cell r="R103"/>
          <cell r="S103"/>
          <cell r="T103"/>
          <cell r="U103"/>
          <cell r="V103"/>
          <cell r="W103"/>
          <cell r="X103"/>
        </row>
        <row r="104">
          <cell r="D104"/>
          <cell r="E104"/>
          <cell r="F104"/>
          <cell r="G104"/>
          <cell r="H104"/>
          <cell r="I104"/>
          <cell r="J104"/>
          <cell r="K104"/>
          <cell r="L104"/>
          <cell r="M104"/>
          <cell r="N104"/>
          <cell r="O104"/>
          <cell r="P104"/>
          <cell r="Q104"/>
          <cell r="R104"/>
          <cell r="S104"/>
          <cell r="T104"/>
          <cell r="U104"/>
          <cell r="V104"/>
          <cell r="W104"/>
          <cell r="X104"/>
        </row>
        <row r="105">
          <cell r="D105"/>
          <cell r="E105"/>
          <cell r="F105"/>
          <cell r="G105"/>
          <cell r="H105"/>
          <cell r="I105"/>
          <cell r="J105"/>
          <cell r="K105"/>
          <cell r="L105"/>
          <cell r="M105"/>
          <cell r="N105"/>
          <cell r="O105"/>
          <cell r="P105"/>
          <cell r="Q105"/>
          <cell r="R105"/>
          <cell r="S105"/>
          <cell r="T105"/>
          <cell r="U105"/>
          <cell r="V105"/>
          <cell r="W105"/>
          <cell r="X105"/>
        </row>
        <row r="106">
          <cell r="D106"/>
          <cell r="E106"/>
          <cell r="F106"/>
          <cell r="G106"/>
          <cell r="H106"/>
          <cell r="I106"/>
          <cell r="J106"/>
          <cell r="K106"/>
          <cell r="L106"/>
          <cell r="M106"/>
          <cell r="N106"/>
          <cell r="O106"/>
          <cell r="P106"/>
          <cell r="Q106"/>
          <cell r="R106"/>
          <cell r="S106"/>
          <cell r="T106"/>
          <cell r="U106"/>
          <cell r="V106"/>
          <cell r="W106"/>
          <cell r="X106"/>
        </row>
        <row r="107">
          <cell r="D107"/>
          <cell r="E107"/>
          <cell r="F107"/>
          <cell r="G107"/>
          <cell r="H107"/>
          <cell r="I107"/>
          <cell r="J107"/>
          <cell r="K107"/>
          <cell r="L107"/>
          <cell r="M107"/>
          <cell r="N107"/>
          <cell r="O107"/>
          <cell r="P107"/>
          <cell r="Q107"/>
          <cell r="R107"/>
          <cell r="S107"/>
          <cell r="T107"/>
          <cell r="U107"/>
          <cell r="V107"/>
          <cell r="W107"/>
          <cell r="X107"/>
        </row>
        <row r="108">
          <cell r="D108"/>
          <cell r="E108"/>
          <cell r="F108"/>
          <cell r="G108"/>
          <cell r="H108"/>
          <cell r="I108"/>
          <cell r="J108"/>
          <cell r="K108"/>
          <cell r="L108"/>
          <cell r="M108"/>
          <cell r="N108"/>
          <cell r="O108"/>
          <cell r="P108"/>
          <cell r="Q108"/>
          <cell r="R108"/>
          <cell r="S108"/>
          <cell r="T108"/>
          <cell r="U108"/>
          <cell r="V108"/>
          <cell r="W108"/>
          <cell r="X108"/>
        </row>
        <row r="109">
          <cell r="D109"/>
          <cell r="E109"/>
          <cell r="F109"/>
          <cell r="G109"/>
          <cell r="H109"/>
          <cell r="I109"/>
          <cell r="J109"/>
          <cell r="K109"/>
          <cell r="L109"/>
          <cell r="M109"/>
          <cell r="N109"/>
          <cell r="O109"/>
          <cell r="P109"/>
          <cell r="Q109"/>
          <cell r="R109"/>
          <cell r="S109"/>
          <cell r="T109"/>
          <cell r="U109"/>
          <cell r="V109"/>
          <cell r="W109"/>
          <cell r="X109"/>
        </row>
        <row r="110">
          <cell r="D110"/>
          <cell r="E110"/>
          <cell r="F110"/>
          <cell r="G110"/>
          <cell r="H110"/>
          <cell r="I110"/>
          <cell r="J110"/>
          <cell r="K110"/>
          <cell r="L110"/>
          <cell r="M110"/>
          <cell r="N110"/>
          <cell r="O110"/>
          <cell r="P110"/>
          <cell r="Q110"/>
          <cell r="R110"/>
          <cell r="S110"/>
          <cell r="T110"/>
          <cell r="U110"/>
          <cell r="V110"/>
          <cell r="W110"/>
          <cell r="X110"/>
        </row>
        <row r="111">
          <cell r="D111"/>
          <cell r="E111"/>
          <cell r="F111"/>
          <cell r="G111"/>
          <cell r="H111"/>
          <cell r="I111"/>
          <cell r="J111"/>
          <cell r="K111"/>
          <cell r="L111"/>
          <cell r="M111"/>
          <cell r="N111"/>
          <cell r="O111"/>
          <cell r="P111"/>
          <cell r="Q111"/>
          <cell r="R111"/>
          <cell r="S111"/>
          <cell r="T111"/>
          <cell r="U111"/>
          <cell r="V111"/>
          <cell r="W111"/>
          <cell r="X111"/>
        </row>
        <row r="112">
          <cell r="D112"/>
          <cell r="E112"/>
          <cell r="F112"/>
          <cell r="G112"/>
          <cell r="H112"/>
          <cell r="I112"/>
          <cell r="J112"/>
          <cell r="K112"/>
          <cell r="L112"/>
          <cell r="M112"/>
          <cell r="N112"/>
          <cell r="O112"/>
          <cell r="P112"/>
          <cell r="Q112"/>
          <cell r="R112"/>
          <cell r="S112"/>
          <cell r="T112"/>
          <cell r="U112"/>
          <cell r="V112"/>
          <cell r="W112"/>
          <cell r="X112"/>
        </row>
        <row r="113">
          <cell r="D113"/>
          <cell r="E113"/>
          <cell r="F113"/>
          <cell r="G113"/>
          <cell r="H113"/>
          <cell r="I113"/>
          <cell r="J113"/>
          <cell r="K113"/>
          <cell r="L113"/>
          <cell r="M113"/>
          <cell r="N113"/>
          <cell r="O113"/>
          <cell r="P113"/>
          <cell r="Q113"/>
          <cell r="R113"/>
          <cell r="S113"/>
          <cell r="T113"/>
          <cell r="U113"/>
          <cell r="V113"/>
          <cell r="W113"/>
          <cell r="X113"/>
        </row>
        <row r="114">
          <cell r="D114"/>
          <cell r="E114"/>
          <cell r="F114"/>
          <cell r="G114"/>
          <cell r="H114"/>
          <cell r="I114"/>
          <cell r="J114"/>
          <cell r="K114"/>
          <cell r="L114"/>
          <cell r="M114"/>
          <cell r="N114"/>
          <cell r="O114"/>
          <cell r="P114"/>
          <cell r="Q114"/>
          <cell r="R114"/>
          <cell r="S114"/>
          <cell r="T114"/>
          <cell r="U114"/>
          <cell r="V114"/>
          <cell r="W114"/>
          <cell r="X114"/>
        </row>
        <row r="115">
          <cell r="D115"/>
          <cell r="E115"/>
          <cell r="F115"/>
          <cell r="G115"/>
          <cell r="H115"/>
          <cell r="I115"/>
          <cell r="J115"/>
          <cell r="K115"/>
          <cell r="L115"/>
          <cell r="M115"/>
          <cell r="N115"/>
          <cell r="O115"/>
          <cell r="P115"/>
          <cell r="Q115"/>
          <cell r="R115"/>
          <cell r="S115"/>
          <cell r="T115"/>
          <cell r="U115"/>
          <cell r="V115"/>
          <cell r="W115"/>
          <cell r="X115"/>
        </row>
        <row r="116">
          <cell r="D116"/>
          <cell r="E116"/>
          <cell r="F116"/>
          <cell r="G116"/>
          <cell r="H116"/>
          <cell r="I116"/>
          <cell r="J116"/>
          <cell r="K116"/>
          <cell r="L116"/>
          <cell r="M116"/>
          <cell r="N116"/>
          <cell r="O116"/>
          <cell r="P116"/>
          <cell r="Q116"/>
          <cell r="R116"/>
          <cell r="S116"/>
          <cell r="T116"/>
          <cell r="U116"/>
          <cell r="V116"/>
          <cell r="W116"/>
          <cell r="X116"/>
        </row>
        <row r="117">
          <cell r="D117"/>
          <cell r="E117"/>
          <cell r="F117"/>
          <cell r="G117"/>
          <cell r="H117"/>
          <cell r="I117"/>
          <cell r="J117"/>
          <cell r="K117"/>
          <cell r="L117"/>
          <cell r="M117"/>
          <cell r="N117"/>
          <cell r="O117"/>
          <cell r="P117"/>
          <cell r="Q117"/>
          <cell r="R117"/>
          <cell r="S117"/>
          <cell r="T117"/>
          <cell r="U117"/>
          <cell r="V117"/>
          <cell r="W117"/>
          <cell r="X117"/>
        </row>
        <row r="118">
          <cell r="D118"/>
          <cell r="E118"/>
          <cell r="F118"/>
          <cell r="G118"/>
          <cell r="H118"/>
          <cell r="I118"/>
          <cell r="J118"/>
          <cell r="K118"/>
          <cell r="L118"/>
          <cell r="M118"/>
          <cell r="N118"/>
          <cell r="O118"/>
          <cell r="P118"/>
          <cell r="Q118"/>
          <cell r="R118"/>
          <cell r="S118"/>
          <cell r="T118"/>
          <cell r="U118"/>
          <cell r="V118"/>
          <cell r="W118"/>
          <cell r="X118"/>
        </row>
        <row r="119">
          <cell r="D119"/>
          <cell r="E119"/>
          <cell r="F119"/>
          <cell r="G119"/>
          <cell r="H119"/>
          <cell r="I119"/>
          <cell r="J119"/>
          <cell r="K119"/>
          <cell r="L119"/>
          <cell r="M119"/>
          <cell r="N119"/>
          <cell r="O119"/>
          <cell r="P119"/>
          <cell r="Q119"/>
          <cell r="R119"/>
          <cell r="S119"/>
          <cell r="T119"/>
          <cell r="U119"/>
          <cell r="V119"/>
          <cell r="W119"/>
          <cell r="X119"/>
        </row>
        <row r="120">
          <cell r="D120"/>
          <cell r="E120"/>
          <cell r="F120"/>
          <cell r="G120"/>
          <cell r="H120"/>
          <cell r="I120"/>
          <cell r="J120"/>
          <cell r="K120"/>
          <cell r="L120"/>
          <cell r="M120"/>
          <cell r="N120"/>
          <cell r="O120"/>
          <cell r="P120"/>
          <cell r="Q120"/>
          <cell r="R120"/>
          <cell r="S120"/>
          <cell r="T120"/>
          <cell r="U120"/>
          <cell r="V120"/>
          <cell r="W120"/>
          <cell r="X120"/>
        </row>
        <row r="121">
          <cell r="D121"/>
          <cell r="E121"/>
          <cell r="F121"/>
          <cell r="G121"/>
          <cell r="H121"/>
          <cell r="I121"/>
          <cell r="J121"/>
          <cell r="K121"/>
          <cell r="L121"/>
          <cell r="M121"/>
          <cell r="N121"/>
          <cell r="O121"/>
          <cell r="P121"/>
          <cell r="Q121"/>
          <cell r="R121"/>
          <cell r="S121"/>
          <cell r="T121"/>
          <cell r="U121"/>
          <cell r="V121"/>
          <cell r="W121"/>
          <cell r="X121"/>
        </row>
        <row r="122">
          <cell r="D122"/>
          <cell r="E122"/>
          <cell r="F122"/>
          <cell r="G122"/>
          <cell r="H122"/>
          <cell r="I122"/>
          <cell r="J122"/>
          <cell r="K122"/>
          <cell r="L122"/>
          <cell r="M122"/>
          <cell r="N122"/>
          <cell r="O122"/>
          <cell r="P122"/>
          <cell r="Q122"/>
          <cell r="R122"/>
          <cell r="S122"/>
          <cell r="T122"/>
          <cell r="U122"/>
          <cell r="V122"/>
          <cell r="W122"/>
          <cell r="X122"/>
        </row>
        <row r="123">
          <cell r="D123"/>
          <cell r="E123"/>
          <cell r="F123"/>
          <cell r="G123"/>
          <cell r="H123"/>
          <cell r="I123"/>
          <cell r="J123"/>
          <cell r="K123"/>
          <cell r="L123"/>
          <cell r="M123"/>
          <cell r="N123"/>
          <cell r="O123"/>
          <cell r="P123"/>
          <cell r="Q123"/>
          <cell r="R123"/>
          <cell r="S123"/>
          <cell r="T123"/>
          <cell r="U123"/>
          <cell r="V123"/>
          <cell r="W123"/>
          <cell r="X123"/>
        </row>
        <row r="124">
          <cell r="D124"/>
          <cell r="E124"/>
          <cell r="F124"/>
          <cell r="G124"/>
          <cell r="H124"/>
          <cell r="I124"/>
          <cell r="J124"/>
          <cell r="K124"/>
          <cell r="L124"/>
          <cell r="M124"/>
          <cell r="N124"/>
          <cell r="O124"/>
          <cell r="P124"/>
          <cell r="Q124"/>
          <cell r="R124"/>
          <cell r="S124"/>
          <cell r="T124"/>
          <cell r="U124"/>
          <cell r="V124"/>
          <cell r="W124"/>
          <cell r="X124"/>
        </row>
        <row r="125">
          <cell r="D125"/>
          <cell r="E125"/>
          <cell r="F125"/>
          <cell r="G125"/>
          <cell r="H125"/>
          <cell r="I125"/>
          <cell r="J125"/>
          <cell r="K125"/>
          <cell r="L125"/>
          <cell r="M125"/>
          <cell r="N125"/>
          <cell r="O125"/>
          <cell r="P125"/>
          <cell r="Q125"/>
          <cell r="R125"/>
          <cell r="S125"/>
          <cell r="T125"/>
          <cell r="U125"/>
          <cell r="V125"/>
          <cell r="W125"/>
          <cell r="X125"/>
        </row>
        <row r="126">
          <cell r="D126"/>
          <cell r="E126"/>
          <cell r="F126"/>
          <cell r="G126"/>
          <cell r="H126"/>
          <cell r="I126"/>
          <cell r="J126"/>
          <cell r="K126"/>
          <cell r="L126"/>
          <cell r="M126"/>
          <cell r="N126"/>
          <cell r="O126"/>
          <cell r="P126"/>
          <cell r="Q126"/>
          <cell r="R126"/>
          <cell r="S126"/>
          <cell r="T126"/>
          <cell r="U126"/>
          <cell r="V126"/>
          <cell r="W126"/>
          <cell r="X126"/>
        </row>
        <row r="127">
          <cell r="D127"/>
          <cell r="E127"/>
          <cell r="F127"/>
          <cell r="G127"/>
          <cell r="H127"/>
          <cell r="I127"/>
          <cell r="J127"/>
          <cell r="K127"/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  <cell r="V127"/>
          <cell r="W127"/>
          <cell r="X127"/>
        </row>
        <row r="128">
          <cell r="D128"/>
          <cell r="E128"/>
          <cell r="F128"/>
          <cell r="G128"/>
          <cell r="H128"/>
          <cell r="I128"/>
          <cell r="J128"/>
          <cell r="K128"/>
          <cell r="L128"/>
          <cell r="M128"/>
          <cell r="N128"/>
          <cell r="O128"/>
          <cell r="P128"/>
          <cell r="Q128"/>
          <cell r="R128"/>
          <cell r="S128"/>
          <cell r="T128"/>
          <cell r="U128"/>
          <cell r="V128"/>
          <cell r="W128"/>
          <cell r="X128"/>
        </row>
        <row r="129">
          <cell r="D129"/>
          <cell r="E129"/>
          <cell r="F129"/>
          <cell r="G129"/>
          <cell r="H129"/>
          <cell r="I129"/>
          <cell r="J129"/>
          <cell r="K129"/>
          <cell r="L129"/>
          <cell r="M129"/>
          <cell r="N129"/>
          <cell r="O129"/>
          <cell r="P129"/>
          <cell r="Q129"/>
          <cell r="R129"/>
          <cell r="S129"/>
          <cell r="T129"/>
          <cell r="U129"/>
          <cell r="V129"/>
          <cell r="W129"/>
          <cell r="X129"/>
        </row>
        <row r="130">
          <cell r="D130"/>
          <cell r="E130"/>
          <cell r="F130"/>
          <cell r="G130"/>
          <cell r="H130"/>
          <cell r="I130"/>
          <cell r="J130"/>
          <cell r="K130"/>
          <cell r="L130"/>
          <cell r="M130"/>
          <cell r="N130"/>
          <cell r="O130"/>
          <cell r="P130"/>
          <cell r="Q130"/>
          <cell r="R130"/>
          <cell r="S130"/>
          <cell r="T130"/>
          <cell r="U130"/>
          <cell r="V130"/>
          <cell r="W130"/>
          <cell r="X130"/>
        </row>
        <row r="131">
          <cell r="D131"/>
          <cell r="E131"/>
          <cell r="F131"/>
          <cell r="G131"/>
          <cell r="H131"/>
          <cell r="I131"/>
          <cell r="J131"/>
          <cell r="K131"/>
          <cell r="L131"/>
          <cell r="M131"/>
          <cell r="N131"/>
          <cell r="O131"/>
          <cell r="P131"/>
          <cell r="Q131"/>
          <cell r="R131"/>
          <cell r="S131"/>
          <cell r="T131"/>
          <cell r="U131"/>
          <cell r="V131"/>
          <cell r="W131"/>
          <cell r="X131"/>
        </row>
        <row r="132">
          <cell r="D132"/>
          <cell r="E132"/>
          <cell r="F132"/>
          <cell r="G132"/>
          <cell r="H132"/>
          <cell r="I132"/>
          <cell r="J132"/>
          <cell r="K132"/>
          <cell r="L132"/>
          <cell r="M132"/>
          <cell r="N132"/>
          <cell r="O132"/>
          <cell r="P132"/>
          <cell r="Q132"/>
          <cell r="R132"/>
          <cell r="S132"/>
          <cell r="T132"/>
          <cell r="U132"/>
          <cell r="V132"/>
          <cell r="W132"/>
          <cell r="X132"/>
        </row>
        <row r="133">
          <cell r="D133"/>
          <cell r="E133"/>
          <cell r="F133"/>
          <cell r="G133"/>
          <cell r="H133"/>
          <cell r="I133"/>
          <cell r="J133"/>
          <cell r="K133"/>
          <cell r="L133"/>
          <cell r="M133"/>
          <cell r="N133"/>
          <cell r="O133"/>
          <cell r="P133"/>
          <cell r="Q133"/>
          <cell r="R133"/>
          <cell r="S133"/>
          <cell r="T133"/>
          <cell r="U133"/>
          <cell r="V133"/>
          <cell r="W133"/>
          <cell r="X133"/>
        </row>
        <row r="134">
          <cell r="D134"/>
          <cell r="E134"/>
          <cell r="F134"/>
          <cell r="G134"/>
          <cell r="H134"/>
          <cell r="I134"/>
          <cell r="J134"/>
          <cell r="K134"/>
          <cell r="L134"/>
          <cell r="M134"/>
          <cell r="N134"/>
          <cell r="O134"/>
          <cell r="P134"/>
          <cell r="Q134"/>
          <cell r="R134"/>
          <cell r="S134"/>
          <cell r="T134"/>
          <cell r="U134"/>
          <cell r="V134"/>
          <cell r="W134"/>
          <cell r="X134"/>
        </row>
        <row r="135">
          <cell r="D135"/>
          <cell r="E135"/>
          <cell r="F135"/>
          <cell r="G135"/>
          <cell r="H135"/>
          <cell r="I135"/>
          <cell r="J135"/>
          <cell r="K135"/>
          <cell r="L135"/>
          <cell r="M135"/>
          <cell r="N135"/>
          <cell r="O135"/>
          <cell r="P135"/>
          <cell r="Q135"/>
          <cell r="R135"/>
          <cell r="S135"/>
          <cell r="T135"/>
          <cell r="U135"/>
          <cell r="V135"/>
          <cell r="W135"/>
          <cell r="X135"/>
        </row>
        <row r="136">
          <cell r="D136"/>
          <cell r="E136"/>
          <cell r="F136"/>
          <cell r="G136"/>
          <cell r="H136"/>
          <cell r="I136"/>
          <cell r="J136"/>
          <cell r="K136"/>
          <cell r="L136"/>
          <cell r="M136"/>
          <cell r="N136"/>
          <cell r="O136"/>
          <cell r="P136"/>
          <cell r="Q136"/>
          <cell r="R136"/>
          <cell r="S136"/>
          <cell r="T136"/>
          <cell r="U136"/>
          <cell r="V136"/>
          <cell r="W136"/>
          <cell r="X136"/>
        </row>
        <row r="137">
          <cell r="D137"/>
          <cell r="E137"/>
          <cell r="F137"/>
          <cell r="G137"/>
          <cell r="H137"/>
          <cell r="I137"/>
          <cell r="J137"/>
          <cell r="K137"/>
          <cell r="L137"/>
          <cell r="M137"/>
          <cell r="N137"/>
          <cell r="O137"/>
          <cell r="P137"/>
          <cell r="Q137"/>
          <cell r="R137"/>
          <cell r="S137"/>
          <cell r="T137"/>
          <cell r="U137"/>
          <cell r="V137"/>
          <cell r="W137"/>
          <cell r="X137"/>
        </row>
        <row r="138">
          <cell r="D138"/>
          <cell r="E138"/>
          <cell r="F138"/>
          <cell r="G138"/>
          <cell r="H138"/>
          <cell r="I138"/>
          <cell r="J138"/>
          <cell r="K138"/>
          <cell r="L138"/>
          <cell r="M138"/>
          <cell r="N138"/>
          <cell r="O138"/>
          <cell r="P138"/>
          <cell r="Q138"/>
          <cell r="R138"/>
          <cell r="S138"/>
          <cell r="T138"/>
          <cell r="U138"/>
          <cell r="V138"/>
          <cell r="W138"/>
          <cell r="X138"/>
        </row>
        <row r="139">
          <cell r="D139"/>
          <cell r="E139"/>
          <cell r="F139"/>
          <cell r="G139"/>
          <cell r="H139"/>
          <cell r="I139"/>
          <cell r="J139"/>
          <cell r="K139"/>
          <cell r="L139"/>
          <cell r="M139"/>
          <cell r="N139"/>
          <cell r="O139"/>
          <cell r="P139"/>
          <cell r="Q139"/>
          <cell r="R139"/>
          <cell r="S139"/>
          <cell r="T139"/>
          <cell r="U139"/>
          <cell r="V139"/>
          <cell r="W139"/>
          <cell r="X139"/>
        </row>
        <row r="140">
          <cell r="D140"/>
          <cell r="E140"/>
          <cell r="F140"/>
          <cell r="G140"/>
          <cell r="H140"/>
          <cell r="I140"/>
          <cell r="J140"/>
          <cell r="K140"/>
          <cell r="L140"/>
          <cell r="M140"/>
          <cell r="N140"/>
          <cell r="O140"/>
          <cell r="P140"/>
          <cell r="Q140"/>
          <cell r="R140"/>
          <cell r="S140"/>
          <cell r="T140"/>
          <cell r="U140"/>
          <cell r="V140"/>
          <cell r="W140"/>
          <cell r="X140"/>
        </row>
        <row r="141">
          <cell r="D141"/>
          <cell r="E141"/>
          <cell r="F141"/>
          <cell r="G141"/>
          <cell r="H141"/>
          <cell r="I141"/>
          <cell r="J141"/>
          <cell r="K141"/>
          <cell r="L141"/>
          <cell r="M141"/>
          <cell r="N141"/>
          <cell r="O141"/>
          <cell r="P141"/>
          <cell r="Q141"/>
          <cell r="R141"/>
          <cell r="S141"/>
          <cell r="T141"/>
          <cell r="U141"/>
          <cell r="V141"/>
          <cell r="W141"/>
          <cell r="X141"/>
        </row>
        <row r="142">
          <cell r="D142"/>
          <cell r="E142"/>
          <cell r="F142"/>
          <cell r="G142"/>
          <cell r="H142"/>
          <cell r="I142"/>
          <cell r="J142"/>
          <cell r="K142"/>
          <cell r="L142"/>
          <cell r="M142"/>
          <cell r="N142"/>
          <cell r="O142"/>
          <cell r="P142"/>
          <cell r="Q142"/>
          <cell r="R142"/>
          <cell r="S142"/>
          <cell r="T142"/>
          <cell r="U142"/>
          <cell r="V142"/>
          <cell r="W142"/>
          <cell r="X142"/>
        </row>
        <row r="143">
          <cell r="D143"/>
          <cell r="E143"/>
          <cell r="F143"/>
          <cell r="G143"/>
          <cell r="H143"/>
          <cell r="I143"/>
          <cell r="J143"/>
          <cell r="K143"/>
          <cell r="L143"/>
          <cell r="M143"/>
          <cell r="N143"/>
          <cell r="O143"/>
          <cell r="P143"/>
          <cell r="Q143"/>
          <cell r="R143"/>
          <cell r="S143"/>
          <cell r="T143"/>
          <cell r="U143"/>
          <cell r="V143"/>
          <cell r="W143"/>
          <cell r="X143"/>
        </row>
        <row r="144">
          <cell r="D144"/>
          <cell r="E144"/>
          <cell r="F144"/>
          <cell r="G144"/>
          <cell r="H144"/>
          <cell r="I144"/>
          <cell r="J144"/>
          <cell r="K144"/>
          <cell r="L144"/>
          <cell r="M144"/>
          <cell r="N144"/>
          <cell r="O144"/>
          <cell r="P144"/>
          <cell r="Q144"/>
          <cell r="R144"/>
          <cell r="S144"/>
          <cell r="T144"/>
          <cell r="U144"/>
          <cell r="V144"/>
          <cell r="W144"/>
          <cell r="X144"/>
        </row>
        <row r="145">
          <cell r="D145"/>
          <cell r="E145"/>
          <cell r="F145"/>
          <cell r="G145"/>
          <cell r="H145"/>
          <cell r="I145"/>
          <cell r="J145"/>
          <cell r="K145"/>
          <cell r="L145"/>
          <cell r="M145"/>
          <cell r="N145"/>
          <cell r="O145"/>
          <cell r="P145"/>
          <cell r="Q145"/>
          <cell r="R145"/>
          <cell r="S145"/>
          <cell r="T145"/>
          <cell r="U145"/>
          <cell r="V145"/>
          <cell r="W145"/>
          <cell r="X145"/>
        </row>
        <row r="146">
          <cell r="D146"/>
          <cell r="E146"/>
          <cell r="F146"/>
          <cell r="G146"/>
          <cell r="H146"/>
          <cell r="I146"/>
          <cell r="J146"/>
          <cell r="K146"/>
          <cell r="L146"/>
          <cell r="M146"/>
          <cell r="N146"/>
          <cell r="O146"/>
          <cell r="P146"/>
          <cell r="Q146"/>
          <cell r="R146"/>
          <cell r="S146"/>
          <cell r="T146"/>
          <cell r="U146"/>
          <cell r="V146"/>
          <cell r="W146"/>
          <cell r="X146"/>
        </row>
        <row r="147">
          <cell r="D147"/>
          <cell r="E147"/>
          <cell r="F147"/>
          <cell r="G147"/>
          <cell r="H147"/>
          <cell r="I147"/>
          <cell r="J147"/>
          <cell r="K147"/>
          <cell r="L147"/>
          <cell r="M147"/>
          <cell r="N147"/>
          <cell r="O147"/>
          <cell r="P147"/>
          <cell r="Q147"/>
          <cell r="R147"/>
          <cell r="S147"/>
          <cell r="T147"/>
          <cell r="U147"/>
          <cell r="V147"/>
          <cell r="W147"/>
          <cell r="X147"/>
        </row>
        <row r="148">
          <cell r="D148"/>
          <cell r="E148"/>
          <cell r="F148"/>
          <cell r="G148"/>
          <cell r="H148"/>
          <cell r="I148"/>
          <cell r="J148"/>
          <cell r="K148"/>
          <cell r="L148"/>
          <cell r="M148"/>
          <cell r="N148"/>
          <cell r="O148"/>
          <cell r="P148"/>
          <cell r="Q148"/>
          <cell r="R148"/>
          <cell r="S148"/>
          <cell r="T148"/>
          <cell r="U148"/>
          <cell r="V148"/>
          <cell r="W148"/>
          <cell r="X148"/>
        </row>
        <row r="149">
          <cell r="D149"/>
          <cell r="E149"/>
          <cell r="F149"/>
          <cell r="G149"/>
          <cell r="H149"/>
          <cell r="I149"/>
          <cell r="J149"/>
          <cell r="K149"/>
          <cell r="L149"/>
          <cell r="M149"/>
          <cell r="N149"/>
          <cell r="O149"/>
          <cell r="P149"/>
          <cell r="Q149"/>
          <cell r="R149"/>
          <cell r="S149"/>
          <cell r="T149"/>
          <cell r="U149"/>
          <cell r="V149"/>
          <cell r="W149"/>
          <cell r="X149"/>
        </row>
        <row r="150">
          <cell r="D150"/>
          <cell r="E150"/>
          <cell r="F150"/>
          <cell r="G150"/>
          <cell r="H150"/>
          <cell r="I150"/>
          <cell r="J150"/>
          <cell r="K150"/>
          <cell r="L150"/>
          <cell r="M150"/>
          <cell r="N150"/>
          <cell r="O150"/>
          <cell r="P150"/>
          <cell r="Q150"/>
          <cell r="R150"/>
          <cell r="S150"/>
          <cell r="T150"/>
          <cell r="U150"/>
          <cell r="V150"/>
          <cell r="W150"/>
          <cell r="X150"/>
        </row>
        <row r="151">
          <cell r="D151"/>
          <cell r="E151"/>
          <cell r="F151"/>
          <cell r="G151"/>
          <cell r="H151"/>
          <cell r="I151"/>
          <cell r="J151"/>
          <cell r="K151"/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</row>
        <row r="152">
          <cell r="D152"/>
          <cell r="E152"/>
          <cell r="F152"/>
          <cell r="G152"/>
          <cell r="H152"/>
          <cell r="I152"/>
          <cell r="J152"/>
          <cell r="K152"/>
          <cell r="L152"/>
          <cell r="M152"/>
          <cell r="N152"/>
          <cell r="O152"/>
          <cell r="P152"/>
          <cell r="Q152"/>
          <cell r="R152"/>
          <cell r="S152"/>
          <cell r="T152"/>
          <cell r="U152"/>
          <cell r="V152"/>
          <cell r="W152"/>
          <cell r="X152"/>
        </row>
        <row r="153">
          <cell r="D153"/>
          <cell r="E153"/>
          <cell r="F153"/>
          <cell r="G153"/>
          <cell r="H153"/>
          <cell r="I153"/>
          <cell r="J153"/>
          <cell r="K153"/>
          <cell r="L153"/>
          <cell r="M153"/>
          <cell r="N153"/>
          <cell r="O153"/>
          <cell r="P153"/>
          <cell r="Q153"/>
          <cell r="R153"/>
          <cell r="S153"/>
          <cell r="T153"/>
          <cell r="U153"/>
          <cell r="V153"/>
          <cell r="W153"/>
          <cell r="X153"/>
        </row>
        <row r="154">
          <cell r="D154"/>
          <cell r="E154"/>
          <cell r="F154"/>
          <cell r="G154"/>
          <cell r="H154"/>
          <cell r="I154"/>
          <cell r="J154"/>
          <cell r="K154"/>
          <cell r="L154"/>
          <cell r="M154"/>
          <cell r="N154"/>
          <cell r="O154"/>
          <cell r="P154"/>
          <cell r="Q154"/>
          <cell r="R154"/>
          <cell r="S154"/>
          <cell r="T154"/>
          <cell r="U154"/>
          <cell r="V154"/>
          <cell r="W154"/>
          <cell r="X154"/>
        </row>
        <row r="155">
          <cell r="D155"/>
          <cell r="E155"/>
          <cell r="F155"/>
          <cell r="G155"/>
          <cell r="H155"/>
          <cell r="I155"/>
          <cell r="J155"/>
          <cell r="K155"/>
          <cell r="L155"/>
          <cell r="M155"/>
          <cell r="N155"/>
          <cell r="O155"/>
          <cell r="P155"/>
          <cell r="Q155"/>
          <cell r="R155"/>
          <cell r="S155"/>
          <cell r="T155"/>
          <cell r="U155"/>
          <cell r="V155"/>
          <cell r="W155"/>
          <cell r="X155"/>
        </row>
        <row r="156">
          <cell r="D156"/>
          <cell r="E156"/>
          <cell r="F156"/>
          <cell r="G156"/>
          <cell r="H156"/>
          <cell r="I156"/>
          <cell r="J156"/>
          <cell r="K156"/>
          <cell r="L156"/>
          <cell r="M156"/>
          <cell r="N156"/>
          <cell r="O156"/>
          <cell r="P156"/>
          <cell r="Q156"/>
          <cell r="R156"/>
          <cell r="S156"/>
          <cell r="T156"/>
          <cell r="U156"/>
          <cell r="V156"/>
          <cell r="W156"/>
          <cell r="X156"/>
        </row>
        <row r="157">
          <cell r="D157"/>
          <cell r="E157"/>
          <cell r="F157"/>
          <cell r="G157"/>
          <cell r="H157"/>
          <cell r="I157"/>
          <cell r="J157"/>
          <cell r="K157"/>
          <cell r="L157"/>
          <cell r="M157"/>
          <cell r="N157"/>
          <cell r="O157"/>
          <cell r="P157"/>
          <cell r="Q157"/>
          <cell r="R157"/>
          <cell r="S157"/>
          <cell r="T157"/>
          <cell r="U157"/>
          <cell r="V157"/>
          <cell r="W157"/>
          <cell r="X157"/>
        </row>
        <row r="158">
          <cell r="D158"/>
          <cell r="E158"/>
          <cell r="F158"/>
          <cell r="G158"/>
          <cell r="H158"/>
          <cell r="I158"/>
          <cell r="J158"/>
          <cell r="K158"/>
          <cell r="L158"/>
          <cell r="M158"/>
          <cell r="N158"/>
          <cell r="O158"/>
          <cell r="P158"/>
          <cell r="Q158"/>
          <cell r="R158"/>
          <cell r="S158"/>
          <cell r="T158"/>
          <cell r="U158"/>
          <cell r="V158"/>
          <cell r="W158"/>
          <cell r="X158"/>
        </row>
        <row r="159">
          <cell r="D159"/>
          <cell r="E159"/>
          <cell r="F159"/>
          <cell r="G159"/>
          <cell r="H159"/>
          <cell r="I159"/>
          <cell r="J159"/>
          <cell r="K159"/>
          <cell r="L159"/>
          <cell r="M159"/>
          <cell r="N159"/>
          <cell r="O159"/>
          <cell r="P159"/>
          <cell r="Q159"/>
          <cell r="R159"/>
          <cell r="S159"/>
          <cell r="T159"/>
          <cell r="U159"/>
          <cell r="V159"/>
          <cell r="W159"/>
          <cell r="X159"/>
        </row>
        <row r="160">
          <cell r="D160"/>
          <cell r="E160"/>
          <cell r="F160"/>
          <cell r="G160"/>
          <cell r="H160"/>
          <cell r="I160"/>
          <cell r="J160"/>
          <cell r="K160"/>
          <cell r="L160"/>
          <cell r="M160"/>
          <cell r="N160"/>
          <cell r="O160"/>
          <cell r="P160"/>
          <cell r="Q160"/>
          <cell r="R160"/>
          <cell r="S160"/>
          <cell r="T160"/>
          <cell r="U160"/>
          <cell r="V160"/>
          <cell r="W160"/>
          <cell r="X160"/>
        </row>
        <row r="161">
          <cell r="D161"/>
          <cell r="E161"/>
          <cell r="F161"/>
          <cell r="G161"/>
          <cell r="H161"/>
          <cell r="I161"/>
          <cell r="J161"/>
          <cell r="K161"/>
          <cell r="L161"/>
          <cell r="M161"/>
          <cell r="N161"/>
          <cell r="O161"/>
          <cell r="P161"/>
          <cell r="Q161"/>
          <cell r="R161"/>
          <cell r="S161"/>
          <cell r="T161"/>
          <cell r="U161"/>
          <cell r="V161"/>
          <cell r="W161"/>
          <cell r="X161"/>
        </row>
        <row r="162">
          <cell r="D162"/>
          <cell r="E162"/>
          <cell r="F162"/>
          <cell r="G162"/>
          <cell r="H162"/>
          <cell r="I162"/>
          <cell r="J162"/>
          <cell r="K162"/>
          <cell r="L162"/>
          <cell r="M162"/>
          <cell r="N162"/>
          <cell r="O162"/>
          <cell r="P162"/>
          <cell r="Q162"/>
          <cell r="R162"/>
          <cell r="S162"/>
          <cell r="T162"/>
          <cell r="U162"/>
          <cell r="V162"/>
          <cell r="W162"/>
          <cell r="X162"/>
        </row>
        <row r="163">
          <cell r="D163"/>
          <cell r="E163"/>
          <cell r="F163"/>
          <cell r="G163"/>
          <cell r="H163"/>
          <cell r="I163"/>
          <cell r="J163"/>
          <cell r="K163"/>
          <cell r="L163"/>
          <cell r="M163"/>
          <cell r="N163"/>
          <cell r="O163"/>
          <cell r="P163"/>
          <cell r="Q163"/>
          <cell r="R163"/>
          <cell r="S163"/>
          <cell r="T163"/>
          <cell r="U163"/>
          <cell r="V163"/>
          <cell r="W163"/>
          <cell r="X163"/>
        </row>
        <row r="164">
          <cell r="D164"/>
          <cell r="E164"/>
          <cell r="F164"/>
          <cell r="G164"/>
          <cell r="H164"/>
          <cell r="I164"/>
          <cell r="J164"/>
          <cell r="K164"/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</row>
        <row r="165">
          <cell r="D165"/>
          <cell r="E165"/>
          <cell r="F165"/>
          <cell r="G165"/>
          <cell r="H165"/>
          <cell r="I165"/>
          <cell r="J165"/>
          <cell r="K165"/>
          <cell r="L165"/>
          <cell r="M165"/>
          <cell r="N165"/>
          <cell r="O165"/>
          <cell r="P165"/>
          <cell r="Q165"/>
          <cell r="R165"/>
          <cell r="S165"/>
          <cell r="T165"/>
          <cell r="U165"/>
          <cell r="V165"/>
          <cell r="W165"/>
          <cell r="X165"/>
        </row>
        <row r="166">
          <cell r="D166"/>
          <cell r="E166"/>
          <cell r="F166"/>
          <cell r="G166"/>
          <cell r="H166"/>
          <cell r="I166"/>
          <cell r="J166"/>
          <cell r="K166"/>
          <cell r="L166"/>
          <cell r="M166"/>
          <cell r="N166"/>
          <cell r="O166"/>
          <cell r="P166"/>
          <cell r="Q166"/>
          <cell r="R166"/>
          <cell r="S166"/>
          <cell r="T166"/>
          <cell r="U166"/>
          <cell r="V166"/>
          <cell r="W166"/>
          <cell r="X166"/>
        </row>
        <row r="167">
          <cell r="D167"/>
          <cell r="E167"/>
          <cell r="F167"/>
          <cell r="G167"/>
          <cell r="H167"/>
          <cell r="I167"/>
          <cell r="J167"/>
          <cell r="K167"/>
          <cell r="L167"/>
          <cell r="M167"/>
          <cell r="N167"/>
          <cell r="O167"/>
          <cell r="P167"/>
          <cell r="Q167"/>
          <cell r="R167"/>
          <cell r="S167"/>
          <cell r="T167"/>
          <cell r="U167"/>
          <cell r="V167"/>
          <cell r="W167"/>
          <cell r="X167"/>
        </row>
        <row r="168">
          <cell r="D168"/>
          <cell r="E168"/>
          <cell r="F168"/>
          <cell r="G168"/>
          <cell r="H168"/>
          <cell r="I168"/>
          <cell r="J168"/>
          <cell r="K168"/>
          <cell r="L168"/>
          <cell r="M168"/>
          <cell r="N168"/>
          <cell r="O168"/>
          <cell r="P168"/>
          <cell r="Q168"/>
          <cell r="R168"/>
          <cell r="S168"/>
          <cell r="T168"/>
          <cell r="U168"/>
          <cell r="V168"/>
          <cell r="W168"/>
          <cell r="X168"/>
        </row>
        <row r="169">
          <cell r="D169"/>
          <cell r="E169"/>
          <cell r="F169"/>
          <cell r="G169"/>
          <cell r="H169"/>
          <cell r="I169"/>
          <cell r="J169"/>
          <cell r="K169"/>
          <cell r="L169"/>
          <cell r="M169"/>
          <cell r="N169"/>
          <cell r="O169"/>
          <cell r="P169"/>
          <cell r="Q169"/>
          <cell r="R169"/>
          <cell r="S169"/>
          <cell r="T169"/>
          <cell r="U169"/>
          <cell r="V169"/>
          <cell r="W169"/>
          <cell r="X169"/>
        </row>
        <row r="170">
          <cell r="D170"/>
          <cell r="E170"/>
          <cell r="F170"/>
          <cell r="G170"/>
          <cell r="H170"/>
          <cell r="I170"/>
          <cell r="J170"/>
          <cell r="K170"/>
          <cell r="L170"/>
          <cell r="M170"/>
          <cell r="N170"/>
          <cell r="O170"/>
          <cell r="P170"/>
          <cell r="Q170"/>
          <cell r="R170"/>
          <cell r="S170"/>
          <cell r="T170"/>
          <cell r="U170"/>
          <cell r="V170"/>
          <cell r="W170"/>
          <cell r="X170"/>
        </row>
        <row r="171">
          <cell r="D171"/>
          <cell r="E171"/>
          <cell r="F171"/>
          <cell r="G171"/>
          <cell r="H171"/>
          <cell r="I171"/>
          <cell r="J171"/>
          <cell r="K171"/>
          <cell r="L171"/>
          <cell r="M171"/>
          <cell r="N171"/>
          <cell r="O171"/>
          <cell r="P171"/>
          <cell r="Q171"/>
          <cell r="R171"/>
          <cell r="S171"/>
          <cell r="T171"/>
          <cell r="U171"/>
          <cell r="V171"/>
          <cell r="W171"/>
          <cell r="X171"/>
        </row>
        <row r="172">
          <cell r="D172"/>
          <cell r="E172"/>
          <cell r="F172"/>
          <cell r="G172"/>
          <cell r="H172"/>
          <cell r="I172"/>
          <cell r="J172"/>
          <cell r="K172"/>
          <cell r="L172"/>
          <cell r="M172"/>
          <cell r="N172"/>
          <cell r="O172"/>
          <cell r="P172"/>
          <cell r="Q172"/>
          <cell r="R172"/>
          <cell r="S172"/>
          <cell r="T172"/>
          <cell r="U172"/>
          <cell r="V172"/>
          <cell r="W172"/>
          <cell r="X172"/>
        </row>
        <row r="173">
          <cell r="D173"/>
          <cell r="E173"/>
          <cell r="F173"/>
          <cell r="G173"/>
          <cell r="H173"/>
          <cell r="I173"/>
          <cell r="J173"/>
          <cell r="K173"/>
          <cell r="L173"/>
          <cell r="M173"/>
          <cell r="N173"/>
          <cell r="O173"/>
          <cell r="P173"/>
          <cell r="Q173"/>
          <cell r="R173"/>
          <cell r="S173"/>
          <cell r="T173"/>
          <cell r="U173"/>
          <cell r="V173"/>
          <cell r="W173"/>
          <cell r="X173"/>
        </row>
        <row r="174">
          <cell r="D174"/>
          <cell r="E174"/>
          <cell r="F174"/>
          <cell r="G174"/>
          <cell r="H174"/>
          <cell r="I174"/>
          <cell r="J174"/>
          <cell r="K174"/>
          <cell r="L174"/>
          <cell r="M174"/>
          <cell r="N174"/>
          <cell r="O174"/>
          <cell r="P174"/>
          <cell r="Q174"/>
          <cell r="R174"/>
          <cell r="S174"/>
          <cell r="T174"/>
          <cell r="U174"/>
          <cell r="V174"/>
          <cell r="W174"/>
          <cell r="X174"/>
        </row>
        <row r="175">
          <cell r="D175"/>
          <cell r="E175"/>
          <cell r="F175"/>
          <cell r="G175"/>
          <cell r="H175"/>
          <cell r="I175"/>
          <cell r="J175"/>
          <cell r="K175"/>
          <cell r="L175"/>
          <cell r="M175"/>
          <cell r="N175"/>
          <cell r="O175"/>
          <cell r="P175"/>
          <cell r="Q175"/>
          <cell r="R175"/>
          <cell r="S175"/>
          <cell r="T175"/>
          <cell r="U175"/>
          <cell r="V175"/>
          <cell r="W175"/>
          <cell r="X175"/>
        </row>
        <row r="176">
          <cell r="D176"/>
          <cell r="E176"/>
          <cell r="F176"/>
          <cell r="G176"/>
          <cell r="H176"/>
          <cell r="I176"/>
          <cell r="J176"/>
          <cell r="K176"/>
          <cell r="L176"/>
          <cell r="M176"/>
          <cell r="N176"/>
          <cell r="O176"/>
          <cell r="P176"/>
          <cell r="Q176"/>
          <cell r="R176"/>
          <cell r="S176"/>
          <cell r="T176"/>
          <cell r="U176"/>
          <cell r="V176"/>
          <cell r="W176"/>
          <cell r="X176"/>
        </row>
        <row r="177">
          <cell r="D177"/>
          <cell r="E177"/>
          <cell r="F177"/>
          <cell r="G177"/>
          <cell r="H177"/>
          <cell r="I177"/>
          <cell r="J177"/>
          <cell r="K177"/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  <cell r="V177"/>
          <cell r="W177"/>
          <cell r="X177"/>
        </row>
        <row r="178">
          <cell r="D178"/>
          <cell r="E178"/>
          <cell r="F178"/>
          <cell r="G178"/>
          <cell r="H178"/>
          <cell r="I178"/>
          <cell r="J178"/>
          <cell r="K178"/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  <cell r="V178"/>
          <cell r="W178"/>
          <cell r="X178"/>
        </row>
        <row r="179">
          <cell r="D179"/>
          <cell r="E179"/>
          <cell r="F179"/>
          <cell r="G179"/>
          <cell r="H179"/>
          <cell r="I179"/>
          <cell r="J179"/>
          <cell r="K179"/>
          <cell r="L179"/>
          <cell r="M179"/>
          <cell r="N179"/>
          <cell r="O179"/>
          <cell r="P179"/>
          <cell r="Q179"/>
          <cell r="R179"/>
          <cell r="S179"/>
          <cell r="T179"/>
          <cell r="U179"/>
          <cell r="V179"/>
          <cell r="W179"/>
          <cell r="X179"/>
        </row>
        <row r="180">
          <cell r="D180"/>
          <cell r="E180"/>
          <cell r="F180"/>
          <cell r="G180"/>
          <cell r="H180"/>
          <cell r="I180"/>
          <cell r="J180"/>
          <cell r="K180"/>
          <cell r="L180"/>
          <cell r="M180"/>
          <cell r="N180"/>
          <cell r="O180"/>
          <cell r="P180"/>
          <cell r="Q180"/>
          <cell r="R180"/>
          <cell r="S180"/>
          <cell r="T180"/>
          <cell r="U180"/>
          <cell r="V180"/>
          <cell r="W180"/>
          <cell r="X180"/>
        </row>
        <row r="181">
          <cell r="D181"/>
          <cell r="E181"/>
          <cell r="F181"/>
          <cell r="G181"/>
          <cell r="H181"/>
          <cell r="I181"/>
          <cell r="J181"/>
          <cell r="K181"/>
          <cell r="L181"/>
          <cell r="M181"/>
          <cell r="N181"/>
          <cell r="O181"/>
          <cell r="P181"/>
          <cell r="Q181"/>
          <cell r="R181"/>
          <cell r="S181"/>
          <cell r="T181"/>
          <cell r="U181"/>
          <cell r="V181"/>
          <cell r="W181"/>
          <cell r="X181"/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etting Dashboard"/>
      <sheetName val="Freshmen 25-26"/>
      <sheetName val="Teams"/>
      <sheetName val="Tracking Dashboard"/>
      <sheetName val="ScheduleRaw"/>
      <sheetName val="ScheduleAdj"/>
      <sheetName val="Top100Players"/>
      <sheetName val="TeamPER"/>
      <sheetName val="TeamRtg"/>
      <sheetName val="TeamRosters"/>
      <sheetName val="PlayerRtg"/>
      <sheetName val="PlayerData"/>
      <sheetName val="TeamData"/>
      <sheetName val="HCA"/>
      <sheetName val="PythonFilter"/>
      <sheetName val="Output"/>
      <sheetName val="Defe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3">
          <cell r="A3" t="str">
            <v>Arizona</v>
          </cell>
          <cell r="B3">
            <v>23.347924269841325</v>
          </cell>
          <cell r="C3">
            <v>23.696013174207508</v>
          </cell>
          <cell r="D3">
            <v>3</v>
          </cell>
          <cell r="E3">
            <v>23.687310951598352</v>
          </cell>
          <cell r="F3">
            <v>1</v>
          </cell>
          <cell r="G3">
            <v>2.4427346831240313</v>
          </cell>
        </row>
        <row r="4">
          <cell r="A4" t="str">
            <v>Michigan</v>
          </cell>
          <cell r="B4">
            <v>22.170536690416185</v>
          </cell>
          <cell r="C4">
            <v>26.261180748405771</v>
          </cell>
          <cell r="D4">
            <v>1</v>
          </cell>
          <cell r="E4">
            <v>23.158914646956031</v>
          </cell>
          <cell r="F4">
            <v>2</v>
          </cell>
          <cell r="G4">
            <v>2.3860634248226917</v>
          </cell>
        </row>
        <row r="5">
          <cell r="A5" t="str">
            <v>Duke</v>
          </cell>
          <cell r="B5">
            <v>23.806844554428128</v>
          </cell>
          <cell r="C5">
            <v>24.009965651848621</v>
          </cell>
          <cell r="D5">
            <v>2</v>
          </cell>
          <cell r="E5">
            <v>23.054887624413109</v>
          </cell>
          <cell r="F5">
            <v>3</v>
          </cell>
          <cell r="G5">
            <v>2.374906378088915</v>
          </cell>
        </row>
        <row r="6">
          <cell r="A6" t="str">
            <v>Florida</v>
          </cell>
          <cell r="B6">
            <v>23.898506089170024</v>
          </cell>
          <cell r="C6">
            <v>22.618452886641368</v>
          </cell>
          <cell r="D6">
            <v>4</v>
          </cell>
          <cell r="E6">
            <v>22.650454216704585</v>
          </cell>
          <cell r="F6">
            <v>4</v>
          </cell>
          <cell r="G6">
            <v>2.3315303175211648</v>
          </cell>
        </row>
        <row r="7">
          <cell r="A7" t="str">
            <v>Gonzaga</v>
          </cell>
          <cell r="B7">
            <v>23.269796454268604</v>
          </cell>
          <cell r="C7">
            <v>20.900625602324915</v>
          </cell>
          <cell r="D7">
            <v>5</v>
          </cell>
          <cell r="E7">
            <v>20.959854873623506</v>
          </cell>
          <cell r="F7">
            <v>5</v>
          </cell>
          <cell r="G7">
            <v>2.1502111235486088</v>
          </cell>
        </row>
        <row r="8">
          <cell r="A8" t="str">
            <v>Purdue</v>
          </cell>
          <cell r="B8">
            <v>25.133558227306281</v>
          </cell>
          <cell r="C8">
            <v>20.825652987352235</v>
          </cell>
          <cell r="D8">
            <v>6</v>
          </cell>
          <cell r="E8">
            <v>20.933350618351088</v>
          </cell>
          <cell r="F8">
            <v>6</v>
          </cell>
          <cell r="G8">
            <v>2.1473685043186266</v>
          </cell>
        </row>
        <row r="9">
          <cell r="A9" t="str">
            <v>Houston</v>
          </cell>
          <cell r="B9">
            <v>24.989412990794982</v>
          </cell>
          <cell r="C9">
            <v>20.796240244149597</v>
          </cell>
          <cell r="D9">
            <v>7</v>
          </cell>
          <cell r="E9">
            <v>20.901069562815731</v>
          </cell>
          <cell r="F9">
            <v>7</v>
          </cell>
          <cell r="G9">
            <v>2.143906315010315</v>
          </cell>
        </row>
        <row r="10">
          <cell r="A10" t="str">
            <v>Iowa State</v>
          </cell>
          <cell r="B10">
            <v>20.841253854011949</v>
          </cell>
          <cell r="C10">
            <v>20.636371861764538</v>
          </cell>
          <cell r="D10">
            <v>8</v>
          </cell>
          <cell r="E10">
            <v>20.641493911570723</v>
          </cell>
          <cell r="F10">
            <v>8</v>
          </cell>
          <cell r="G10">
            <v>2.1160664557016808</v>
          </cell>
        </row>
        <row r="11">
          <cell r="A11" t="str">
            <v>Tennessee</v>
          </cell>
          <cell r="B11">
            <v>21.154185097948655</v>
          </cell>
          <cell r="C11">
            <v>20.567797484793068</v>
          </cell>
          <cell r="D11">
            <v>9</v>
          </cell>
          <cell r="E11">
            <v>20.582457175121956</v>
          </cell>
          <cell r="F11">
            <v>9</v>
          </cell>
          <cell r="G11">
            <v>2.109734681404317</v>
          </cell>
        </row>
        <row r="12">
          <cell r="A12" t="str">
            <v>Michigan State</v>
          </cell>
          <cell r="B12">
            <v>20.512921474156744</v>
          </cell>
          <cell r="C12">
            <v>19.968544975710401</v>
          </cell>
          <cell r="D12">
            <v>10</v>
          </cell>
          <cell r="E12">
            <v>19.982154388171562</v>
          </cell>
          <cell r="F12">
            <v>10</v>
          </cell>
          <cell r="G12">
            <v>2.0453513501822935</v>
          </cell>
        </row>
        <row r="13">
          <cell r="A13" t="str">
            <v>Arkansas</v>
          </cell>
          <cell r="B13">
            <v>19.897498939026178</v>
          </cell>
          <cell r="C13">
            <v>19.89911733681739</v>
          </cell>
          <cell r="D13">
            <v>11</v>
          </cell>
          <cell r="E13">
            <v>19.899076876872613</v>
          </cell>
          <cell r="F13">
            <v>11</v>
          </cell>
          <cell r="G13">
            <v>2.0364411684484489</v>
          </cell>
        </row>
        <row r="14">
          <cell r="A14" t="str">
            <v>Alabama</v>
          </cell>
          <cell r="B14">
            <v>19.611532443464291</v>
          </cell>
          <cell r="C14">
            <v>19.675205429470935</v>
          </cell>
          <cell r="D14">
            <v>12</v>
          </cell>
          <cell r="E14">
            <v>19.673613604820769</v>
          </cell>
          <cell r="F14">
            <v>12</v>
          </cell>
          <cell r="G14">
            <v>2.0122599105258288</v>
          </cell>
        </row>
        <row r="15">
          <cell r="A15" t="str">
            <v>Vanderbilt</v>
          </cell>
          <cell r="B15">
            <v>19.814939133924728</v>
          </cell>
          <cell r="C15">
            <v>19.321765936274257</v>
          </cell>
          <cell r="D15">
            <v>13</v>
          </cell>
          <cell r="E15">
            <v>19.334095266215517</v>
          </cell>
          <cell r="F15">
            <v>13</v>
          </cell>
          <cell r="G15">
            <v>1.9758460838277705</v>
          </cell>
        </row>
        <row r="16">
          <cell r="A16" t="str">
            <v>Illinois</v>
          </cell>
          <cell r="B16">
            <v>22.357214477641335</v>
          </cell>
          <cell r="C16">
            <v>18.735807841979899</v>
          </cell>
          <cell r="D16">
            <v>15</v>
          </cell>
          <cell r="E16">
            <v>18.826343007871433</v>
          </cell>
          <cell r="F16">
            <v>14</v>
          </cell>
          <cell r="G16">
            <v>1.9213889289746828</v>
          </cell>
        </row>
        <row r="17">
          <cell r="A17" t="str">
            <v>UConn</v>
          </cell>
          <cell r="B17">
            <v>23.8885224238179</v>
          </cell>
          <cell r="C17">
            <v>17.972531770923123</v>
          </cell>
          <cell r="D17">
            <v>16</v>
          </cell>
          <cell r="E17">
            <v>18.120431537245491</v>
          </cell>
          <cell r="F17">
            <v>15</v>
          </cell>
          <cell r="G17">
            <v>1.8456789156035616</v>
          </cell>
        </row>
        <row r="18">
          <cell r="A18" t="str">
            <v>Kentucky</v>
          </cell>
          <cell r="B18">
            <v>21.963932506439889</v>
          </cell>
          <cell r="C18">
            <v>17.933769576333887</v>
          </cell>
          <cell r="D18">
            <v>17</v>
          </cell>
          <cell r="E18">
            <v>18.034523649586539</v>
          </cell>
          <cell r="F18">
            <v>16</v>
          </cell>
          <cell r="G18">
            <v>1.8364651719629081</v>
          </cell>
        </row>
        <row r="19">
          <cell r="A19" t="str">
            <v>Texas Tech</v>
          </cell>
          <cell r="B19">
            <v>21.610552058212996</v>
          </cell>
          <cell r="C19">
            <v>18.98677987717333</v>
          </cell>
          <cell r="D19">
            <v>14</v>
          </cell>
          <cell r="E19">
            <v>17.052374181699321</v>
          </cell>
          <cell r="F19">
            <v>17</v>
          </cell>
          <cell r="G19">
            <v>1.7311282388766018</v>
          </cell>
        </row>
        <row r="20">
          <cell r="A20" t="str">
            <v>Auburn</v>
          </cell>
          <cell r="B20">
            <v>20.255824923422399</v>
          </cell>
          <cell r="C20">
            <v>16.965585277005371</v>
          </cell>
          <cell r="D20">
            <v>18</v>
          </cell>
          <cell r="E20">
            <v>17.047841268165797</v>
          </cell>
          <cell r="F20">
            <v>18</v>
          </cell>
          <cell r="G20">
            <v>1.7306420774264573</v>
          </cell>
        </row>
        <row r="21">
          <cell r="A21" t="str">
            <v>BYU</v>
          </cell>
          <cell r="B21">
            <v>22.353677530978857</v>
          </cell>
          <cell r="C21">
            <v>16.820588486343897</v>
          </cell>
          <cell r="D21">
            <v>19</v>
          </cell>
          <cell r="E21">
            <v>16.95891571245977</v>
          </cell>
          <cell r="F21">
            <v>19</v>
          </cell>
          <cell r="G21">
            <v>1.7211046845780766</v>
          </cell>
        </row>
        <row r="22">
          <cell r="A22" t="str">
            <v>Kansas</v>
          </cell>
          <cell r="B22">
            <v>19.619972109714087</v>
          </cell>
          <cell r="C22">
            <v>16.73741131470414</v>
          </cell>
          <cell r="D22">
            <v>20</v>
          </cell>
          <cell r="E22">
            <v>16.809475334579385</v>
          </cell>
          <cell r="F22">
            <v>20</v>
          </cell>
          <cell r="G22">
            <v>1.7050769906273366</v>
          </cell>
        </row>
        <row r="23">
          <cell r="A23" t="str">
            <v>Louisville</v>
          </cell>
          <cell r="B23">
            <v>21.158267596654795</v>
          </cell>
          <cell r="C23">
            <v>16.515038606753826</v>
          </cell>
          <cell r="D23">
            <v>21</v>
          </cell>
          <cell r="E23">
            <v>16.631119331501349</v>
          </cell>
          <cell r="F23">
            <v>21</v>
          </cell>
          <cell r="G23">
            <v>1.6859480545783385</v>
          </cell>
        </row>
        <row r="24">
          <cell r="A24" t="str">
            <v>Utah State</v>
          </cell>
          <cell r="B24">
            <v>17.85964083250806</v>
          </cell>
          <cell r="C24">
            <v>16.247506179515806</v>
          </cell>
          <cell r="D24">
            <v>22</v>
          </cell>
          <cell r="E24">
            <v>16.287809545840613</v>
          </cell>
          <cell r="F24">
            <v>22</v>
          </cell>
          <cell r="G24">
            <v>1.6491275897688296</v>
          </cell>
        </row>
        <row r="25">
          <cell r="A25" t="str">
            <v>Wisconsin</v>
          </cell>
          <cell r="B25">
            <v>20.84233967694907</v>
          </cell>
          <cell r="C25">
            <v>16.027700456018152</v>
          </cell>
          <cell r="D25">
            <v>23</v>
          </cell>
          <cell r="E25">
            <v>16.148066436541427</v>
          </cell>
          <cell r="F25">
            <v>23</v>
          </cell>
          <cell r="G25">
            <v>1.6341399417225639</v>
          </cell>
        </row>
        <row r="26">
          <cell r="A26" t="str">
            <v>UCLA</v>
          </cell>
          <cell r="B26">
            <v>22.200725869750766</v>
          </cell>
          <cell r="C26">
            <v>15.782962905975415</v>
          </cell>
          <cell r="D26">
            <v>25</v>
          </cell>
          <cell r="E26">
            <v>15.943406980069799</v>
          </cell>
          <cell r="F26">
            <v>24</v>
          </cell>
          <cell r="G26">
            <v>1.6121899227318626</v>
          </cell>
        </row>
        <row r="27">
          <cell r="A27" t="str">
            <v>Nebraska</v>
          </cell>
          <cell r="B27">
            <v>16.206376355863735</v>
          </cell>
          <cell r="C27">
            <v>15.816572875146232</v>
          </cell>
          <cell r="D27">
            <v>24</v>
          </cell>
          <cell r="E27">
            <v>15.82631796216417</v>
          </cell>
          <cell r="F27">
            <v>25</v>
          </cell>
          <cell r="G27">
            <v>1.5996319583409651</v>
          </cell>
        </row>
        <row r="28">
          <cell r="A28" t="str">
            <v>Santa Clara</v>
          </cell>
          <cell r="B28">
            <v>15.533209820599076</v>
          </cell>
          <cell r="C28">
            <v>15.7426176650791</v>
          </cell>
          <cell r="D28">
            <v>26</v>
          </cell>
          <cell r="E28">
            <v>15.7373824689671</v>
          </cell>
          <cell r="F28">
            <v>26</v>
          </cell>
          <cell r="G28">
            <v>1.5900934996824778</v>
          </cell>
        </row>
        <row r="29">
          <cell r="A29" t="str">
            <v>Iowa</v>
          </cell>
          <cell r="B29">
            <v>20.435850766301293</v>
          </cell>
          <cell r="C29">
            <v>15.388945493958767</v>
          </cell>
          <cell r="D29">
            <v>27</v>
          </cell>
          <cell r="E29">
            <v>15.51511812576733</v>
          </cell>
          <cell r="F29">
            <v>27</v>
          </cell>
          <cell r="G29">
            <v>1.5662553314477887</v>
          </cell>
        </row>
        <row r="30">
          <cell r="A30" t="str">
            <v>St. John's</v>
          </cell>
          <cell r="B30">
            <v>23.036885093583159</v>
          </cell>
          <cell r="C30">
            <v>14.921071402261807</v>
          </cell>
          <cell r="D30">
            <v>29</v>
          </cell>
          <cell r="E30">
            <v>15.123966744544841</v>
          </cell>
          <cell r="F30">
            <v>28</v>
          </cell>
          <cell r="G30">
            <v>1.5243037871893734</v>
          </cell>
        </row>
        <row r="31">
          <cell r="A31" t="str">
            <v>Saint Mary's</v>
          </cell>
          <cell r="B31">
            <v>18.3754884225479</v>
          </cell>
          <cell r="C31">
            <v>14.932124900991207</v>
          </cell>
          <cell r="D31">
            <v>28</v>
          </cell>
          <cell r="E31">
            <v>15.018208989030123</v>
          </cell>
          <cell r="F31">
            <v>29</v>
          </cell>
          <cell r="G31">
            <v>1.5129611168726278</v>
          </cell>
        </row>
        <row r="32">
          <cell r="A32" t="str">
            <v>Ohio State</v>
          </cell>
          <cell r="B32">
            <v>19.539372034863764</v>
          </cell>
          <cell r="C32">
            <v>14.606091511648509</v>
          </cell>
          <cell r="D32">
            <v>30</v>
          </cell>
          <cell r="E32">
            <v>14.72942352472889</v>
          </cell>
          <cell r="F32">
            <v>30</v>
          </cell>
          <cell r="G32">
            <v>1.4819884633977598</v>
          </cell>
        </row>
        <row r="33">
          <cell r="A33" t="str">
            <v>Texas</v>
          </cell>
          <cell r="B33">
            <v>16.253714630756026</v>
          </cell>
          <cell r="C33">
            <v>14.487906916817966</v>
          </cell>
          <cell r="D33">
            <v>31</v>
          </cell>
          <cell r="E33">
            <v>14.532052109666417</v>
          </cell>
          <cell r="F33">
            <v>31</v>
          </cell>
          <cell r="G33">
            <v>1.4608200972565963</v>
          </cell>
        </row>
        <row r="34">
          <cell r="A34" t="str">
            <v>San Diego State</v>
          </cell>
          <cell r="B34">
            <v>18.448153521291179</v>
          </cell>
          <cell r="C34">
            <v>14.197175445374867</v>
          </cell>
          <cell r="D34">
            <v>33</v>
          </cell>
          <cell r="E34">
            <v>14.303449897272774</v>
          </cell>
          <cell r="F34">
            <v>32</v>
          </cell>
          <cell r="G34">
            <v>1.4363021834994452</v>
          </cell>
        </row>
        <row r="35">
          <cell r="A35" t="str">
            <v>Georgia</v>
          </cell>
          <cell r="B35">
            <v>17.950699951149623</v>
          </cell>
          <cell r="C35">
            <v>14.015853762621465</v>
          </cell>
          <cell r="D35">
            <v>34</v>
          </cell>
          <cell r="E35">
            <v>14.114224917334669</v>
          </cell>
          <cell r="F35">
            <v>33</v>
          </cell>
          <cell r="G35">
            <v>1.4160075341596905</v>
          </cell>
        </row>
        <row r="36">
          <cell r="A36" t="str">
            <v>North Carolina</v>
          </cell>
          <cell r="B36">
            <v>18.770883806676974</v>
          </cell>
          <cell r="C36">
            <v>13.853553976161786</v>
          </cell>
          <cell r="D36">
            <v>35</v>
          </cell>
          <cell r="E36">
            <v>13.976487221924666</v>
          </cell>
          <cell r="F36">
            <v>34</v>
          </cell>
          <cell r="G36">
            <v>1.4012349696170687</v>
          </cell>
        </row>
        <row r="37">
          <cell r="A37" t="str">
            <v>SMU</v>
          </cell>
          <cell r="B37">
            <v>19.201852273032792</v>
          </cell>
          <cell r="C37">
            <v>13.581157768735343</v>
          </cell>
          <cell r="D37">
            <v>36</v>
          </cell>
          <cell r="E37">
            <v>13.72167513134278</v>
          </cell>
          <cell r="F37">
            <v>35</v>
          </cell>
          <cell r="G37">
            <v>1.3739060089926272</v>
          </cell>
        </row>
        <row r="38">
          <cell r="A38" t="str">
            <v>Texas A&amp;M</v>
          </cell>
          <cell r="B38">
            <v>16.014733241007438</v>
          </cell>
          <cell r="C38">
            <v>13.276284328335731</v>
          </cell>
          <cell r="D38">
            <v>37</v>
          </cell>
          <cell r="E38">
            <v>13.344745551152522</v>
          </cell>
          <cell r="F38">
            <v>36</v>
          </cell>
          <cell r="G38">
            <v>1.3334797732057642</v>
          </cell>
        </row>
        <row r="39">
          <cell r="A39" t="str">
            <v>Baylor</v>
          </cell>
          <cell r="B39">
            <v>19.16475956028432</v>
          </cell>
          <cell r="C39">
            <v>13.135369673342353</v>
          </cell>
          <cell r="D39">
            <v>38</v>
          </cell>
          <cell r="E39">
            <v>13.286104420515903</v>
          </cell>
          <cell r="F39">
            <v>37</v>
          </cell>
          <cell r="G39">
            <v>1.3271904281967373</v>
          </cell>
        </row>
        <row r="40">
          <cell r="A40" t="str">
            <v>Oklahoma</v>
          </cell>
          <cell r="B40">
            <v>18.852287045547964</v>
          </cell>
          <cell r="C40">
            <v>13.03359610262776</v>
          </cell>
          <cell r="D40">
            <v>39</v>
          </cell>
          <cell r="E40">
            <v>13.179063376200766</v>
          </cell>
          <cell r="F40">
            <v>38</v>
          </cell>
          <cell r="G40">
            <v>1.3157101233234196</v>
          </cell>
        </row>
        <row r="41">
          <cell r="A41" t="str">
            <v>Virginia</v>
          </cell>
          <cell r="B41">
            <v>17.976536937098711</v>
          </cell>
          <cell r="C41">
            <v>12.768735713589274</v>
          </cell>
          <cell r="D41">
            <v>41</v>
          </cell>
          <cell r="E41">
            <v>12.898930744177012</v>
          </cell>
          <cell r="F41">
            <v>39</v>
          </cell>
          <cell r="G41">
            <v>1.2856654984678415</v>
          </cell>
        </row>
        <row r="42">
          <cell r="A42" t="str">
            <v>Saint Louis</v>
          </cell>
          <cell r="B42">
            <v>13.200856043417884</v>
          </cell>
          <cell r="C42">
            <v>14.421524269951229</v>
          </cell>
          <cell r="D42">
            <v>32</v>
          </cell>
          <cell r="E42">
            <v>12.891007564287897</v>
          </cell>
          <cell r="F42">
            <v>40</v>
          </cell>
          <cell r="G42">
            <v>1.2848157261092557</v>
          </cell>
        </row>
        <row r="43">
          <cell r="A43" t="str">
            <v>UCF</v>
          </cell>
          <cell r="B43">
            <v>12.869455518949275</v>
          </cell>
          <cell r="C43">
            <v>12.778139143350696</v>
          </cell>
          <cell r="D43">
            <v>40</v>
          </cell>
          <cell r="E43">
            <v>12.780422052740661</v>
          </cell>
          <cell r="F43">
            <v>41</v>
          </cell>
          <cell r="G43">
            <v>1.2729552720632695</v>
          </cell>
        </row>
        <row r="44">
          <cell r="A44" t="str">
            <v>TCU</v>
          </cell>
          <cell r="B44">
            <v>15.486595932014291</v>
          </cell>
          <cell r="C44">
            <v>12.604298993426156</v>
          </cell>
          <cell r="D44">
            <v>42</v>
          </cell>
          <cell r="E44">
            <v>12.676356416890858</v>
          </cell>
          <cell r="F44">
            <v>42</v>
          </cell>
          <cell r="G44">
            <v>1.2617940839971844</v>
          </cell>
        </row>
        <row r="45">
          <cell r="A45" t="str">
            <v>Indiana</v>
          </cell>
          <cell r="B45">
            <v>18.769900205372554</v>
          </cell>
          <cell r="C45">
            <v>12.437388761565717</v>
          </cell>
          <cell r="D45">
            <v>44</v>
          </cell>
          <cell r="E45">
            <v>12.595701547660889</v>
          </cell>
          <cell r="F45">
            <v>43</v>
          </cell>
          <cell r="G45">
            <v>1.2531437340851304</v>
          </cell>
        </row>
        <row r="46">
          <cell r="A46" t="str">
            <v>New Mexico</v>
          </cell>
          <cell r="B46">
            <v>12.32632888000543</v>
          </cell>
          <cell r="C46">
            <v>12.506013487460411</v>
          </cell>
          <cell r="D46">
            <v>43</v>
          </cell>
          <cell r="E46">
            <v>12.501521372274036</v>
          </cell>
          <cell r="F46">
            <v>44</v>
          </cell>
          <cell r="G46">
            <v>1.2430427757716034</v>
          </cell>
        </row>
        <row r="47">
          <cell r="A47" t="str">
            <v>Cincinnati</v>
          </cell>
          <cell r="B47">
            <v>17.830958402823203</v>
          </cell>
          <cell r="C47">
            <v>12.25750576039918</v>
          </cell>
          <cell r="D47">
            <v>45</v>
          </cell>
          <cell r="E47">
            <v>12.39684207645978</v>
          </cell>
          <cell r="F47">
            <v>45</v>
          </cell>
          <cell r="G47">
            <v>1.231815771797933</v>
          </cell>
        </row>
        <row r="48">
          <cell r="A48" t="str">
            <v>Miami</v>
          </cell>
          <cell r="B48">
            <v>15.666562444013055</v>
          </cell>
          <cell r="C48">
            <v>12.151001391696585</v>
          </cell>
          <cell r="D48">
            <v>46</v>
          </cell>
          <cell r="E48">
            <v>12.238890418004498</v>
          </cell>
          <cell r="F48">
            <v>46</v>
          </cell>
          <cell r="G48">
            <v>1.2148752308501618</v>
          </cell>
        </row>
        <row r="49">
          <cell r="A49" t="str">
            <v>NC State</v>
          </cell>
          <cell r="B49">
            <v>18.268501706355732</v>
          </cell>
          <cell r="C49">
            <v>12.044622651519077</v>
          </cell>
          <cell r="D49">
            <v>47</v>
          </cell>
          <cell r="E49">
            <v>12.200219627889993</v>
          </cell>
          <cell r="F49">
            <v>47</v>
          </cell>
          <cell r="G49">
            <v>1.2107277333827458</v>
          </cell>
        </row>
        <row r="50">
          <cell r="A50" t="str">
            <v>Missouri</v>
          </cell>
          <cell r="B50">
            <v>20.470260700429062</v>
          </cell>
          <cell r="C50">
            <v>11.71986559177809</v>
          </cell>
          <cell r="D50">
            <v>50</v>
          </cell>
          <cell r="E50">
            <v>11.938625469494365</v>
          </cell>
          <cell r="F50">
            <v>48</v>
          </cell>
          <cell r="G50">
            <v>1.1826713862994798</v>
          </cell>
        </row>
        <row r="51">
          <cell r="A51" t="str">
            <v>LSU</v>
          </cell>
          <cell r="B51">
            <v>13.241259481143162</v>
          </cell>
          <cell r="C51">
            <v>11.816813102420255</v>
          </cell>
          <cell r="D51">
            <v>48</v>
          </cell>
          <cell r="E51">
            <v>11.852424261888327</v>
          </cell>
          <cell r="F51">
            <v>49</v>
          </cell>
          <cell r="G51">
            <v>1.1734261836755968</v>
          </cell>
        </row>
        <row r="52">
          <cell r="A52" t="str">
            <v>Villanova</v>
          </cell>
          <cell r="B52">
            <v>15.786076207910773</v>
          </cell>
          <cell r="C52">
            <v>11.739837095166488</v>
          </cell>
          <cell r="D52">
            <v>49</v>
          </cell>
          <cell r="E52">
            <v>11.840993072985095</v>
          </cell>
          <cell r="F52">
            <v>50</v>
          </cell>
          <cell r="G52">
            <v>1.1722001723402886</v>
          </cell>
        </row>
        <row r="53">
          <cell r="A53" t="str">
            <v>Washington</v>
          </cell>
          <cell r="B53">
            <v>17.70257354068773</v>
          </cell>
          <cell r="C53">
            <v>11.269755368363628</v>
          </cell>
          <cell r="D53">
            <v>51</v>
          </cell>
          <cell r="E53">
            <v>11.430575822671731</v>
          </cell>
          <cell r="F53">
            <v>51</v>
          </cell>
          <cell r="G53">
            <v>1.1281823361073529</v>
          </cell>
        </row>
        <row r="54">
          <cell r="A54" t="str">
            <v>Clemson</v>
          </cell>
          <cell r="B54">
            <v>19.851444098386473</v>
          </cell>
          <cell r="C54">
            <v>10.799251200859944</v>
          </cell>
          <cell r="D54">
            <v>52</v>
          </cell>
          <cell r="E54">
            <v>11.025556023298106</v>
          </cell>
          <cell r="F54">
            <v>52</v>
          </cell>
          <cell r="G54">
            <v>1.0847433841960661</v>
          </cell>
        </row>
        <row r="55">
          <cell r="A55" t="str">
            <v>Stanford</v>
          </cell>
          <cell r="B55">
            <v>12.773932093692459</v>
          </cell>
          <cell r="C55">
            <v>10.793747415061926</v>
          </cell>
          <cell r="D55">
            <v>54</v>
          </cell>
          <cell r="E55">
            <v>10.843252032027689</v>
          </cell>
          <cell r="F55">
            <v>53</v>
          </cell>
          <cell r="G55">
            <v>1.0651910207751212</v>
          </cell>
        </row>
        <row r="56">
          <cell r="A56" t="str">
            <v>Akron</v>
          </cell>
          <cell r="B56">
            <v>14.017497672961843</v>
          </cell>
          <cell r="C56">
            <v>10.542103107123891</v>
          </cell>
          <cell r="D56">
            <v>56</v>
          </cell>
          <cell r="E56">
            <v>10.62898797126984</v>
          </cell>
          <cell r="F56">
            <v>54</v>
          </cell>
          <cell r="G56">
            <v>1.0422108942579202</v>
          </cell>
        </row>
        <row r="57">
          <cell r="A57" t="str">
            <v>South Florida</v>
          </cell>
          <cell r="B57">
            <v>14.502100434073014</v>
          </cell>
          <cell r="C57">
            <v>10.525665933624413</v>
          </cell>
          <cell r="D57">
            <v>57</v>
          </cell>
          <cell r="E57">
            <v>10.625076796135628</v>
          </cell>
          <cell r="F57">
            <v>55</v>
          </cell>
          <cell r="G57">
            <v>1.0417914151390366</v>
          </cell>
        </row>
        <row r="58">
          <cell r="A58" t="str">
            <v>Arizona State</v>
          </cell>
          <cell r="B58">
            <v>14.405762229379153</v>
          </cell>
          <cell r="C58">
            <v>10.516815423988515</v>
          </cell>
          <cell r="D58">
            <v>58</v>
          </cell>
          <cell r="E58">
            <v>10.61403909412328</v>
          </cell>
          <cell r="F58">
            <v>56</v>
          </cell>
          <cell r="G58">
            <v>1.0406076058347336</v>
          </cell>
        </row>
        <row r="59">
          <cell r="A59" t="str">
            <v>Boise State</v>
          </cell>
          <cell r="B59">
            <v>14.656697145610531</v>
          </cell>
          <cell r="C59">
            <v>10.363717905540874</v>
          </cell>
          <cell r="D59">
            <v>59</v>
          </cell>
          <cell r="E59">
            <v>10.471042386542615</v>
          </cell>
          <cell r="F59">
            <v>57</v>
          </cell>
          <cell r="G59">
            <v>1.0252710047261573</v>
          </cell>
        </row>
        <row r="60">
          <cell r="A60" t="str">
            <v>Oklahoma State</v>
          </cell>
          <cell r="B60">
            <v>14.223680468275028</v>
          </cell>
          <cell r="C60">
            <v>10.338460044238504</v>
          </cell>
          <cell r="D60">
            <v>60</v>
          </cell>
          <cell r="E60">
            <v>10.435590554839417</v>
          </cell>
          <cell r="F60">
            <v>58</v>
          </cell>
          <cell r="G60">
            <v>1.0214687451455049</v>
          </cell>
        </row>
        <row r="61">
          <cell r="A61" t="str">
            <v>Wake Forest</v>
          </cell>
          <cell r="B61">
            <v>13.974759095963076</v>
          </cell>
          <cell r="C61">
            <v>10.269867025124697</v>
          </cell>
          <cell r="D61">
            <v>61</v>
          </cell>
          <cell r="E61">
            <v>10.362489326895655</v>
          </cell>
          <cell r="F61">
            <v>59</v>
          </cell>
          <cell r="G61">
            <v>1.0136285340491191</v>
          </cell>
        </row>
        <row r="62">
          <cell r="A62" t="str">
            <v>Northwestern</v>
          </cell>
          <cell r="B62">
            <v>14.502255506436576</v>
          </cell>
          <cell r="C62">
            <v>10.235065502504892</v>
          </cell>
          <cell r="D62">
            <v>62</v>
          </cell>
          <cell r="E62">
            <v>10.341745252603184</v>
          </cell>
          <cell r="F62">
            <v>60</v>
          </cell>
          <cell r="G62">
            <v>1.0114037024556306</v>
          </cell>
        </row>
        <row r="63">
          <cell r="A63" t="str">
            <v>VCU</v>
          </cell>
          <cell r="B63">
            <v>15.866511896233263</v>
          </cell>
          <cell r="C63">
            <v>10.137305227154068</v>
          </cell>
          <cell r="D63">
            <v>63</v>
          </cell>
          <cell r="E63">
            <v>10.280535393881047</v>
          </cell>
          <cell r="F63">
            <v>61</v>
          </cell>
          <cell r="G63">
            <v>1.0048388576909064</v>
          </cell>
        </row>
        <row r="64">
          <cell r="A64" t="str">
            <v>Ole Miss</v>
          </cell>
          <cell r="B64">
            <v>15.32419956436574</v>
          </cell>
          <cell r="C64">
            <v>9.9233812621402269</v>
          </cell>
          <cell r="D64">
            <v>64</v>
          </cell>
          <cell r="E64">
            <v>10.058401719695865</v>
          </cell>
          <cell r="F64">
            <v>62</v>
          </cell>
          <cell r="G64">
            <v>0.98101470389464662</v>
          </cell>
        </row>
        <row r="65">
          <cell r="A65" t="str">
            <v>High Point</v>
          </cell>
          <cell r="B65">
            <v>13.396471442361008</v>
          </cell>
          <cell r="C65">
            <v>9.6989688937134719</v>
          </cell>
          <cell r="D65">
            <v>66</v>
          </cell>
          <cell r="E65">
            <v>9.7914064574296606</v>
          </cell>
          <cell r="F65">
            <v>63</v>
          </cell>
          <cell r="G65">
            <v>0.95237908070768207</v>
          </cell>
        </row>
        <row r="66">
          <cell r="A66" t="str">
            <v>Southern California</v>
          </cell>
          <cell r="B66">
            <v>19.752289936695011</v>
          </cell>
          <cell r="C66">
            <v>9.4006704550654892</v>
          </cell>
          <cell r="D66">
            <v>68</v>
          </cell>
          <cell r="E66">
            <v>9.659460942106227</v>
          </cell>
          <cell r="F66">
            <v>64</v>
          </cell>
          <cell r="G66">
            <v>0.93822773575143892</v>
          </cell>
        </row>
        <row r="67">
          <cell r="A67" t="str">
            <v>Seton Hall</v>
          </cell>
          <cell r="B67">
            <v>8.1076286972262395</v>
          </cell>
          <cell r="C67">
            <v>9.6838812740066782</v>
          </cell>
          <cell r="D67">
            <v>67</v>
          </cell>
          <cell r="E67">
            <v>9.6444749595871677</v>
          </cell>
          <cell r="F67">
            <v>65</v>
          </cell>
          <cell r="G67">
            <v>0.9366204677240596</v>
          </cell>
        </row>
        <row r="68">
          <cell r="A68" t="str">
            <v>Colorado</v>
          </cell>
          <cell r="B68">
            <v>10.835928700083171</v>
          </cell>
          <cell r="C68">
            <v>9.3335183123512984</v>
          </cell>
          <cell r="D68">
            <v>69</v>
          </cell>
          <cell r="E68">
            <v>9.3710785720445955</v>
          </cell>
          <cell r="F68">
            <v>66</v>
          </cell>
          <cell r="G68">
            <v>0.90729831470944655</v>
          </cell>
        </row>
        <row r="69">
          <cell r="A69" t="str">
            <v>Nevada</v>
          </cell>
          <cell r="B69">
            <v>14.187958711646898</v>
          </cell>
          <cell r="C69">
            <v>9.0405283836275849</v>
          </cell>
          <cell r="D69">
            <v>72</v>
          </cell>
          <cell r="E69">
            <v>9.1692141418280677</v>
          </cell>
          <cell r="F69">
            <v>67</v>
          </cell>
          <cell r="G69">
            <v>0.88564806627631754</v>
          </cell>
        </row>
        <row r="70">
          <cell r="A70" t="str">
            <v>California</v>
          </cell>
          <cell r="B70">
            <v>11.900594442090167</v>
          </cell>
          <cell r="C70">
            <v>9.0644580599510896</v>
          </cell>
          <cell r="D70">
            <v>71</v>
          </cell>
          <cell r="E70">
            <v>9.1353614695045664</v>
          </cell>
          <cell r="F70">
            <v>68</v>
          </cell>
          <cell r="G70">
            <v>0.88201731882297485</v>
          </cell>
        </row>
        <row r="71">
          <cell r="A71" t="str">
            <v>Florida State</v>
          </cell>
          <cell r="B71">
            <v>14.489621953834808</v>
          </cell>
          <cell r="C71">
            <v>8.9492466493800187</v>
          </cell>
          <cell r="D71">
            <v>74</v>
          </cell>
          <cell r="E71">
            <v>9.0877560319913879</v>
          </cell>
          <cell r="F71">
            <v>69</v>
          </cell>
          <cell r="G71">
            <v>0.87691156766204681</v>
          </cell>
        </row>
        <row r="72">
          <cell r="A72" t="str">
            <v>Northern Iowa</v>
          </cell>
          <cell r="B72">
            <v>13.377766522114587</v>
          </cell>
          <cell r="C72">
            <v>8.9336886651723937</v>
          </cell>
          <cell r="D72">
            <v>75</v>
          </cell>
          <cell r="E72">
            <v>9.044790611595948</v>
          </cell>
          <cell r="F72">
            <v>70</v>
          </cell>
          <cell r="G72">
            <v>0.87230346496363032</v>
          </cell>
        </row>
        <row r="73">
          <cell r="A73" t="str">
            <v>Grand Canyon</v>
          </cell>
          <cell r="B73">
            <v>10.857794571237998</v>
          </cell>
          <cell r="C73">
            <v>8.9973499003918196</v>
          </cell>
          <cell r="D73">
            <v>73</v>
          </cell>
          <cell r="E73">
            <v>9.043861017162973</v>
          </cell>
          <cell r="F73">
            <v>71</v>
          </cell>
          <cell r="G73">
            <v>0.87220376463309468</v>
          </cell>
        </row>
        <row r="74">
          <cell r="A74" t="str">
            <v>Sam Houston</v>
          </cell>
          <cell r="B74">
            <v>2.8248760712375889</v>
          </cell>
          <cell r="C74">
            <v>9.1549167465064087</v>
          </cell>
          <cell r="D74">
            <v>70</v>
          </cell>
          <cell r="E74">
            <v>8.9966657296246897</v>
          </cell>
          <cell r="F74">
            <v>72</v>
          </cell>
          <cell r="G74">
            <v>0.86714200264272934</v>
          </cell>
        </row>
        <row r="75">
          <cell r="A75" t="str">
            <v>Belmont</v>
          </cell>
          <cell r="B75">
            <v>11.38734507771372</v>
          </cell>
          <cell r="C75">
            <v>8.8078459300927054</v>
          </cell>
          <cell r="D75">
            <v>76</v>
          </cell>
          <cell r="E75">
            <v>8.8723334087832306</v>
          </cell>
          <cell r="F75">
            <v>73</v>
          </cell>
          <cell r="G75">
            <v>0.85380718366745101</v>
          </cell>
        </row>
        <row r="76">
          <cell r="A76" t="str">
            <v>West Virginia</v>
          </cell>
          <cell r="B76">
            <v>15.314260744597942</v>
          </cell>
          <cell r="C76">
            <v>8.6903865056319098</v>
          </cell>
          <cell r="D76">
            <v>77</v>
          </cell>
          <cell r="E76">
            <v>8.8559833616060608</v>
          </cell>
          <cell r="F76">
            <v>74</v>
          </cell>
          <cell r="G76">
            <v>0.85205361775740229</v>
          </cell>
        </row>
        <row r="77">
          <cell r="A77" t="str">
            <v>Oregon</v>
          </cell>
          <cell r="B77">
            <v>18.28693102974616</v>
          </cell>
          <cell r="C77">
            <v>8.1750580052259298</v>
          </cell>
          <cell r="D77">
            <v>80</v>
          </cell>
          <cell r="E77">
            <v>8.4278548308389354</v>
          </cell>
          <cell r="F77">
            <v>75</v>
          </cell>
          <cell r="G77">
            <v>0.80613622140145991</v>
          </cell>
        </row>
        <row r="78">
          <cell r="A78" t="str">
            <v>Colorado State</v>
          </cell>
          <cell r="B78">
            <v>14.00215292190866</v>
          </cell>
          <cell r="C78">
            <v>8.2648288355168908</v>
          </cell>
          <cell r="D78">
            <v>78</v>
          </cell>
          <cell r="E78">
            <v>8.4082619376766843</v>
          </cell>
          <cell r="F78">
            <v>76</v>
          </cell>
          <cell r="G78">
            <v>0.80403485562824517</v>
          </cell>
        </row>
        <row r="79">
          <cell r="A79" t="str">
            <v>Kansas State</v>
          </cell>
          <cell r="B79">
            <v>15.543271889111036</v>
          </cell>
          <cell r="C79">
            <v>8.15241474672459</v>
          </cell>
          <cell r="D79">
            <v>81</v>
          </cell>
          <cell r="E79">
            <v>8.337186175284252</v>
          </cell>
          <cell r="F79">
            <v>77</v>
          </cell>
          <cell r="G79">
            <v>0.79641187860490525</v>
          </cell>
        </row>
        <row r="80">
          <cell r="A80" t="str">
            <v>George Washington</v>
          </cell>
          <cell r="B80">
            <v>12.609131256265183</v>
          </cell>
          <cell r="C80">
            <v>8.0747840459303877</v>
          </cell>
          <cell r="D80">
            <v>82</v>
          </cell>
          <cell r="E80">
            <v>8.188142726188758</v>
          </cell>
          <cell r="F80">
            <v>78</v>
          </cell>
          <cell r="G80">
            <v>0.78042675583321808</v>
          </cell>
        </row>
        <row r="81">
          <cell r="A81" t="str">
            <v>Virginia Tech</v>
          </cell>
          <cell r="B81">
            <v>13.845209155066584</v>
          </cell>
          <cell r="C81">
            <v>7.6278232434120543</v>
          </cell>
          <cell r="D81">
            <v>84</v>
          </cell>
          <cell r="E81">
            <v>7.7832578912034176</v>
          </cell>
          <cell r="F81">
            <v>79</v>
          </cell>
          <cell r="G81">
            <v>0.737002279045324</v>
          </cell>
        </row>
        <row r="82">
          <cell r="A82" t="str">
            <v>Miami (OH)</v>
          </cell>
          <cell r="B82">
            <v>13.525882252433213</v>
          </cell>
          <cell r="C82">
            <v>7.5851882330290934</v>
          </cell>
          <cell r="D82">
            <v>86</v>
          </cell>
          <cell r="E82">
            <v>7.7337055835141966</v>
          </cell>
          <cell r="F82">
            <v>80</v>
          </cell>
          <cell r="G82">
            <v>0.73168772327759546</v>
          </cell>
        </row>
        <row r="83">
          <cell r="A83" t="str">
            <v>Wichita State</v>
          </cell>
          <cell r="B83">
            <v>9.0210071949947395</v>
          </cell>
          <cell r="C83">
            <v>7.6730421282376211</v>
          </cell>
          <cell r="D83">
            <v>83</v>
          </cell>
          <cell r="E83">
            <v>7.7067412549065493</v>
          </cell>
          <cell r="F83">
            <v>81</v>
          </cell>
          <cell r="G83">
            <v>0.72879576052535677</v>
          </cell>
        </row>
        <row r="84">
          <cell r="A84" t="str">
            <v>UNLV</v>
          </cell>
          <cell r="B84">
            <v>11.192165782512511</v>
          </cell>
          <cell r="C84">
            <v>7.6155536621519833</v>
          </cell>
          <cell r="D84">
            <v>85</v>
          </cell>
          <cell r="E84">
            <v>7.7049689651609965</v>
          </cell>
          <cell r="F84">
            <v>82</v>
          </cell>
          <cell r="G84">
            <v>0.72860567991905312</v>
          </cell>
        </row>
        <row r="85">
          <cell r="A85" t="str">
            <v>Yale</v>
          </cell>
          <cell r="B85">
            <v>14.953359680962022</v>
          </cell>
          <cell r="C85">
            <v>7.3764927981408999</v>
          </cell>
          <cell r="D85">
            <v>87</v>
          </cell>
          <cell r="E85">
            <v>7.5659144702114283</v>
          </cell>
          <cell r="F85">
            <v>83</v>
          </cell>
          <cell r="G85">
            <v>0.71369188674522754</v>
          </cell>
        </row>
        <row r="86">
          <cell r="A86" t="str">
            <v>Notre Dame</v>
          </cell>
          <cell r="B86">
            <v>16.090956511961046</v>
          </cell>
          <cell r="C86">
            <v>7.2432539366016329</v>
          </cell>
          <cell r="D86">
            <v>88</v>
          </cell>
          <cell r="E86">
            <v>7.4644465009856189</v>
          </cell>
          <cell r="F86">
            <v>84</v>
          </cell>
          <cell r="G86">
            <v>0.70280930213441972</v>
          </cell>
        </row>
        <row r="87">
          <cell r="A87" t="str">
            <v>Providence</v>
          </cell>
          <cell r="B87">
            <v>15.934601567729755</v>
          </cell>
          <cell r="C87">
            <v>7.1812142203275879</v>
          </cell>
          <cell r="D87">
            <v>89</v>
          </cell>
          <cell r="E87">
            <v>7.4000489040126425</v>
          </cell>
          <cell r="F87">
            <v>85</v>
          </cell>
          <cell r="G87">
            <v>0.69590256788972915</v>
          </cell>
        </row>
        <row r="88">
          <cell r="A88" t="str">
            <v>McNeese</v>
          </cell>
          <cell r="B88">
            <v>12.435400478194667</v>
          </cell>
          <cell r="C88">
            <v>10.797271157732835</v>
          </cell>
          <cell r="D88">
            <v>53</v>
          </cell>
          <cell r="E88">
            <v>7.3382243907443794</v>
          </cell>
          <cell r="F88">
            <v>86</v>
          </cell>
          <cell r="G88">
            <v>0.6892718005471149</v>
          </cell>
        </row>
        <row r="89">
          <cell r="A89" t="str">
            <v>Dayton</v>
          </cell>
          <cell r="B89">
            <v>13.449405350407183</v>
          </cell>
          <cell r="C89">
            <v>7.1280071995648147</v>
          </cell>
          <cell r="D89">
            <v>90</v>
          </cell>
          <cell r="E89">
            <v>7.2860421533358739</v>
          </cell>
          <cell r="F89">
            <v>87</v>
          </cell>
          <cell r="G89">
            <v>0.68367518106106262</v>
          </cell>
        </row>
        <row r="90">
          <cell r="A90" t="str">
            <v>Minnesota</v>
          </cell>
          <cell r="B90">
            <v>15.757484874618889</v>
          </cell>
          <cell r="C90">
            <v>6.8359537958688277</v>
          </cell>
          <cell r="D90">
            <v>92</v>
          </cell>
          <cell r="E90">
            <v>7.0589920728375795</v>
          </cell>
          <cell r="F90">
            <v>88</v>
          </cell>
          <cell r="G90">
            <v>0.65932373566636249</v>
          </cell>
        </row>
        <row r="91">
          <cell r="A91" t="str">
            <v>Kennesaw State</v>
          </cell>
          <cell r="B91">
            <v>5.8133777351374993</v>
          </cell>
          <cell r="C91">
            <v>6.9860305414861017</v>
          </cell>
          <cell r="D91">
            <v>91</v>
          </cell>
          <cell r="E91">
            <v>6.9567142213273874</v>
          </cell>
          <cell r="F91">
            <v>89</v>
          </cell>
          <cell r="G91">
            <v>0.64835429002392242</v>
          </cell>
        </row>
        <row r="92">
          <cell r="A92" t="str">
            <v>Middle Tennessee</v>
          </cell>
          <cell r="B92">
            <v>8.0494590269813031</v>
          </cell>
          <cell r="C92">
            <v>6.7820851166282008</v>
          </cell>
          <cell r="D92">
            <v>93</v>
          </cell>
          <cell r="E92">
            <v>6.8137694643870281</v>
          </cell>
          <cell r="F92">
            <v>90</v>
          </cell>
          <cell r="G92">
            <v>0.63302326069571224</v>
          </cell>
        </row>
        <row r="93">
          <cell r="A93" t="str">
            <v>Utah Valley</v>
          </cell>
          <cell r="B93">
            <v>10.000620853136329</v>
          </cell>
          <cell r="C93">
            <v>10.773505000955783</v>
          </cell>
          <cell r="D93">
            <v>55</v>
          </cell>
          <cell r="E93">
            <v>6.7541828972602982</v>
          </cell>
          <cell r="F93">
            <v>91</v>
          </cell>
          <cell r="G93">
            <v>0.62663251627289718</v>
          </cell>
        </row>
        <row r="94">
          <cell r="A94" t="str">
            <v>Butler</v>
          </cell>
          <cell r="B94">
            <v>14.983715750485825</v>
          </cell>
          <cell r="C94">
            <v>6.5151167208883454</v>
          </cell>
          <cell r="D94">
            <v>94</v>
          </cell>
          <cell r="E94">
            <v>6.7268316966282828</v>
          </cell>
          <cell r="F94">
            <v>92</v>
          </cell>
          <cell r="G94">
            <v>0.62369906094353422</v>
          </cell>
        </row>
        <row r="95">
          <cell r="A95" t="str">
            <v>Utah</v>
          </cell>
          <cell r="B95">
            <v>14.027042917165174</v>
          </cell>
          <cell r="C95">
            <v>6.5087328204622921</v>
          </cell>
          <cell r="D95">
            <v>95</v>
          </cell>
          <cell r="E95">
            <v>6.6966905728798638</v>
          </cell>
          <cell r="F95">
            <v>93</v>
          </cell>
          <cell r="G95">
            <v>0.62046638237551222</v>
          </cell>
        </row>
        <row r="96">
          <cell r="A96" t="str">
            <v>Creighton</v>
          </cell>
          <cell r="B96">
            <v>18.850264705579271</v>
          </cell>
          <cell r="C96">
            <v>5.9623477178782869</v>
          </cell>
          <cell r="D96">
            <v>99</v>
          </cell>
          <cell r="E96">
            <v>6.2845456425708113</v>
          </cell>
          <cell r="F96">
            <v>94</v>
          </cell>
          <cell r="G96">
            <v>0.57626324999565492</v>
          </cell>
        </row>
        <row r="97">
          <cell r="A97" t="str">
            <v>South Carolina</v>
          </cell>
          <cell r="B97">
            <v>13.624333765068965</v>
          </cell>
          <cell r="C97">
            <v>6.0283292556854029</v>
          </cell>
          <cell r="D97">
            <v>96</v>
          </cell>
          <cell r="E97">
            <v>6.2182293684199914</v>
          </cell>
          <cell r="F97">
            <v>95</v>
          </cell>
          <cell r="G97">
            <v>0.56915073488348444</v>
          </cell>
        </row>
        <row r="98">
          <cell r="A98" t="str">
            <v>Illinois State</v>
          </cell>
          <cell r="B98">
            <v>13.317375704818167</v>
          </cell>
          <cell r="C98">
            <v>6.0239249869375522</v>
          </cell>
          <cell r="D98">
            <v>97</v>
          </cell>
          <cell r="E98">
            <v>6.2062612548845673</v>
          </cell>
          <cell r="F98">
            <v>96</v>
          </cell>
          <cell r="G98">
            <v>0.56786713761456542</v>
          </cell>
        </row>
        <row r="99">
          <cell r="A99" t="str">
            <v>Liberty</v>
          </cell>
          <cell r="B99">
            <v>12.531227606445631</v>
          </cell>
          <cell r="C99">
            <v>6.0177582815225659</v>
          </cell>
          <cell r="D99">
            <v>98</v>
          </cell>
          <cell r="E99">
            <v>6.1805950146456432</v>
          </cell>
          <cell r="F99">
            <v>97</v>
          </cell>
          <cell r="G99">
            <v>0.56511439669373531</v>
          </cell>
        </row>
        <row r="100">
          <cell r="A100" t="str">
            <v>Bradley</v>
          </cell>
          <cell r="B100">
            <v>14.741901139432152</v>
          </cell>
          <cell r="C100">
            <v>5.8079328470442064</v>
          </cell>
          <cell r="D100">
            <v>101</v>
          </cell>
          <cell r="E100">
            <v>6.0312820543539054</v>
          </cell>
          <cell r="F100">
            <v>98</v>
          </cell>
          <cell r="G100">
            <v>0.54910036846134902</v>
          </cell>
        </row>
        <row r="101">
          <cell r="A101" t="str">
            <v>Xavier</v>
          </cell>
          <cell r="B101">
            <v>15.270434470611017</v>
          </cell>
          <cell r="C101">
            <v>5.7320935055467839</v>
          </cell>
          <cell r="D101">
            <v>102</v>
          </cell>
          <cell r="E101">
            <v>5.9705520296733905</v>
          </cell>
          <cell r="F101">
            <v>99</v>
          </cell>
          <cell r="G101">
            <v>0.5425869865828632</v>
          </cell>
        </row>
        <row r="102">
          <cell r="A102" t="str">
            <v>Davidson</v>
          </cell>
          <cell r="B102">
            <v>9.0242862806618511</v>
          </cell>
          <cell r="C102">
            <v>5.8612248479407185</v>
          </cell>
          <cell r="D102">
            <v>100</v>
          </cell>
          <cell r="E102">
            <v>5.9403013837587473</v>
          </cell>
          <cell r="F102">
            <v>100</v>
          </cell>
          <cell r="G102">
            <v>0.53934256160609961</v>
          </cell>
        </row>
        <row r="103">
          <cell r="A103" t="str">
            <v>Mississippi State</v>
          </cell>
          <cell r="B103">
            <v>18.518577700746054</v>
          </cell>
          <cell r="C103">
            <v>5.5412271993795068</v>
          </cell>
          <cell r="D103">
            <v>109</v>
          </cell>
          <cell r="E103">
            <v>5.8656609619136706</v>
          </cell>
          <cell r="F103">
            <v>101</v>
          </cell>
          <cell r="G103">
            <v>0.53133726976560003</v>
          </cell>
        </row>
        <row r="104">
          <cell r="A104" t="str">
            <v>Murray State</v>
          </cell>
          <cell r="B104">
            <v>10.972565370614436</v>
          </cell>
          <cell r="C104">
            <v>5.7290841585978196</v>
          </cell>
          <cell r="D104">
            <v>103</v>
          </cell>
          <cell r="E104">
            <v>5.8601711888982351</v>
          </cell>
          <cell r="F104">
            <v>102</v>
          </cell>
          <cell r="G104">
            <v>0.53074848376948291</v>
          </cell>
        </row>
        <row r="105">
          <cell r="A105" t="str">
            <v>Syracuse</v>
          </cell>
          <cell r="B105">
            <v>13.526154656844779</v>
          </cell>
          <cell r="C105">
            <v>5.6566837494751692</v>
          </cell>
          <cell r="D105">
            <v>106</v>
          </cell>
          <cell r="E105">
            <v>5.8534205221594098</v>
          </cell>
          <cell r="F105">
            <v>103</v>
          </cell>
          <cell r="G105">
            <v>0.53002446512078849</v>
          </cell>
        </row>
        <row r="106">
          <cell r="A106" t="str">
            <v>Duquesne</v>
          </cell>
          <cell r="B106">
            <v>12.10720888603219</v>
          </cell>
          <cell r="C106">
            <v>5.6713367169684856</v>
          </cell>
          <cell r="D106">
            <v>104</v>
          </cell>
          <cell r="E106">
            <v>5.8322335211950787</v>
          </cell>
          <cell r="F106">
            <v>104</v>
          </cell>
          <cell r="G106">
            <v>0.52775212900917789</v>
          </cell>
        </row>
        <row r="107">
          <cell r="A107" t="str">
            <v>Marquette</v>
          </cell>
          <cell r="B107">
            <v>19.034473302508317</v>
          </cell>
          <cell r="C107">
            <v>5.394689150682705</v>
          </cell>
          <cell r="D107">
            <v>113</v>
          </cell>
          <cell r="E107">
            <v>5.7356837544783463</v>
          </cell>
          <cell r="F107">
            <v>105</v>
          </cell>
          <cell r="G107">
            <v>0.5173970286413927</v>
          </cell>
        </row>
        <row r="108">
          <cell r="A108" t="str">
            <v>Seattle</v>
          </cell>
          <cell r="B108">
            <v>8.0547252401815363</v>
          </cell>
          <cell r="C108">
            <v>5.5717715283960487</v>
          </cell>
          <cell r="D108">
            <v>107</v>
          </cell>
          <cell r="E108">
            <v>5.6338453711906853</v>
          </cell>
          <cell r="F108">
            <v>106</v>
          </cell>
          <cell r="G108">
            <v>0.50647471659344501</v>
          </cell>
        </row>
        <row r="109">
          <cell r="A109" t="str">
            <v>Western Kentucky</v>
          </cell>
          <cell r="B109">
            <v>4.0080511882242069</v>
          </cell>
          <cell r="C109">
            <v>5.6659700885511253</v>
          </cell>
          <cell r="D109">
            <v>105</v>
          </cell>
          <cell r="E109">
            <v>5.6245221160429528</v>
          </cell>
          <cell r="F109">
            <v>107</v>
          </cell>
          <cell r="G109">
            <v>0.50547478416385683</v>
          </cell>
        </row>
        <row r="110">
          <cell r="A110" t="str">
            <v>UIC</v>
          </cell>
          <cell r="B110">
            <v>8.1779835340698366</v>
          </cell>
          <cell r="C110">
            <v>5.4987604840564623</v>
          </cell>
          <cell r="D110">
            <v>110</v>
          </cell>
          <cell r="E110">
            <v>5.5657410603067969</v>
          </cell>
          <cell r="F110">
            <v>108</v>
          </cell>
          <cell r="G110">
            <v>0.49917043198807076</v>
          </cell>
        </row>
        <row r="111">
          <cell r="A111" t="str">
            <v>Washington State</v>
          </cell>
          <cell r="B111">
            <v>13.573021075172218</v>
          </cell>
          <cell r="C111">
            <v>5.2804686058220192</v>
          </cell>
          <cell r="D111">
            <v>114</v>
          </cell>
          <cell r="E111">
            <v>5.487782417555775</v>
          </cell>
          <cell r="F111">
            <v>109</v>
          </cell>
          <cell r="G111">
            <v>0.49080925621649601</v>
          </cell>
        </row>
        <row r="112">
          <cell r="A112" t="str">
            <v>UT Rio Grande Valley</v>
          </cell>
          <cell r="B112">
            <v>2.1309102215605353</v>
          </cell>
          <cell r="C112">
            <v>5.5663994385265809</v>
          </cell>
          <cell r="D112">
            <v>108</v>
          </cell>
          <cell r="E112">
            <v>5.4805122081024296</v>
          </cell>
          <cell r="F112">
            <v>110</v>
          </cell>
          <cell r="G112">
            <v>0.49002951586968513</v>
          </cell>
        </row>
        <row r="113">
          <cell r="A113" t="str">
            <v>Maryland</v>
          </cell>
          <cell r="B113">
            <v>19.085855817119466</v>
          </cell>
          <cell r="C113">
            <v>5.1307654861111667</v>
          </cell>
          <cell r="D113">
            <v>118</v>
          </cell>
          <cell r="E113">
            <v>5.4796427443863749</v>
          </cell>
          <cell r="F113">
            <v>111</v>
          </cell>
          <cell r="G113">
            <v>0.48993626464441487</v>
          </cell>
        </row>
        <row r="114">
          <cell r="A114" t="str">
            <v>Georgetown</v>
          </cell>
          <cell r="B114">
            <v>13.480335110241374</v>
          </cell>
          <cell r="C114">
            <v>5.2692726616992758</v>
          </cell>
          <cell r="D114">
            <v>117</v>
          </cell>
          <cell r="E114">
            <v>5.4745492229128283</v>
          </cell>
          <cell r="F114">
            <v>112</v>
          </cell>
          <cell r="G114">
            <v>0.48938997719207139</v>
          </cell>
        </row>
        <row r="115">
          <cell r="A115" t="str">
            <v>Bowling Green</v>
          </cell>
          <cell r="B115">
            <v>5.4136655374198615</v>
          </cell>
          <cell r="C115">
            <v>5.4146315687641788</v>
          </cell>
          <cell r="D115">
            <v>111</v>
          </cell>
          <cell r="E115">
            <v>5.4146074179805712</v>
          </cell>
          <cell r="F115">
            <v>113</v>
          </cell>
          <cell r="G115">
            <v>0.48296113300728111</v>
          </cell>
        </row>
        <row r="116">
          <cell r="A116" t="str">
            <v>New Mexico State</v>
          </cell>
          <cell r="B116">
            <v>5.4820861231191262</v>
          </cell>
          <cell r="C116">
            <v>5.4028651187052796</v>
          </cell>
          <cell r="D116">
            <v>112</v>
          </cell>
          <cell r="E116">
            <v>5.4048456438156256</v>
          </cell>
          <cell r="F116">
            <v>114</v>
          </cell>
          <cell r="G116">
            <v>0.48191416878682641</v>
          </cell>
        </row>
        <row r="117">
          <cell r="A117" t="str">
            <v>UC Irvine</v>
          </cell>
          <cell r="B117">
            <v>9.7110414694150613</v>
          </cell>
          <cell r="C117">
            <v>5.2709039303035512</v>
          </cell>
          <cell r="D117">
            <v>116</v>
          </cell>
          <cell r="E117">
            <v>5.3819073687813388</v>
          </cell>
          <cell r="F117">
            <v>115</v>
          </cell>
          <cell r="G117">
            <v>0.47945400603013344</v>
          </cell>
        </row>
        <row r="118">
          <cell r="A118" t="str">
            <v>Montana State</v>
          </cell>
          <cell r="B118">
            <v>5.7522786722706289</v>
          </cell>
          <cell r="C118">
            <v>5.275284493097435</v>
          </cell>
          <cell r="D118">
            <v>115</v>
          </cell>
          <cell r="E118">
            <v>5.2872093475767645</v>
          </cell>
          <cell r="F118">
            <v>116</v>
          </cell>
          <cell r="G118">
            <v>0.46929750801309505</v>
          </cell>
        </row>
        <row r="119">
          <cell r="A119" t="str">
            <v>San Francisco</v>
          </cell>
          <cell r="B119">
            <v>15.972807869851753</v>
          </cell>
          <cell r="C119">
            <v>4.9546362737760683</v>
          </cell>
          <cell r="D119">
            <v>121</v>
          </cell>
          <cell r="E119">
            <v>5.2300905636779609</v>
          </cell>
          <cell r="F119">
            <v>117</v>
          </cell>
          <cell r="G119">
            <v>0.46317143686583623</v>
          </cell>
        </row>
        <row r="120">
          <cell r="A120" t="str">
            <v>Tulsa</v>
          </cell>
          <cell r="B120">
            <v>6.910260899305193</v>
          </cell>
          <cell r="C120">
            <v>9.7035413170069535</v>
          </cell>
          <cell r="D120">
            <v>65</v>
          </cell>
          <cell r="E120">
            <v>5.133709306564409</v>
          </cell>
          <cell r="F120">
            <v>118</v>
          </cell>
          <cell r="G120">
            <v>0.45283440939364894</v>
          </cell>
        </row>
        <row r="121">
          <cell r="A121" t="str">
            <v>Kent State</v>
          </cell>
          <cell r="B121">
            <v>8.6774133528160959</v>
          </cell>
          <cell r="C121">
            <v>5.0326554432598556</v>
          </cell>
          <cell r="D121">
            <v>119</v>
          </cell>
          <cell r="E121">
            <v>5.1237743909987614</v>
          </cell>
          <cell r="F121">
            <v>119</v>
          </cell>
          <cell r="G121">
            <v>0.45176887551069733</v>
          </cell>
        </row>
        <row r="122">
          <cell r="A122" t="str">
            <v>Winthrop</v>
          </cell>
          <cell r="B122">
            <v>9.6122619299645855</v>
          </cell>
          <cell r="C122">
            <v>4.9820652382467845</v>
          </cell>
          <cell r="D122">
            <v>120</v>
          </cell>
          <cell r="E122">
            <v>5.09782015553973</v>
          </cell>
          <cell r="F122">
            <v>120</v>
          </cell>
          <cell r="G122">
            <v>0.44898524669121082</v>
          </cell>
        </row>
        <row r="123">
          <cell r="A123" t="str">
            <v>Pittsburgh</v>
          </cell>
          <cell r="B123">
            <v>15.627088080075735</v>
          </cell>
          <cell r="C123">
            <v>4.7683926972072062</v>
          </cell>
          <cell r="D123">
            <v>124</v>
          </cell>
          <cell r="E123">
            <v>5.0398600817789196</v>
          </cell>
          <cell r="F123">
            <v>121</v>
          </cell>
          <cell r="G123">
            <v>0.4427689460047648</v>
          </cell>
        </row>
        <row r="124">
          <cell r="A124" t="str">
            <v>George Mason</v>
          </cell>
          <cell r="B124">
            <v>12.882788610671113</v>
          </cell>
          <cell r="C124">
            <v>4.8288016253740462</v>
          </cell>
          <cell r="D124">
            <v>123</v>
          </cell>
          <cell r="E124">
            <v>5.030151300006473</v>
          </cell>
          <cell r="F124">
            <v>122</v>
          </cell>
          <cell r="G124">
            <v>0.44172766529408669</v>
          </cell>
        </row>
        <row r="125">
          <cell r="A125" t="str">
            <v>Southern Illinois</v>
          </cell>
          <cell r="B125">
            <v>4.9268342073308489</v>
          </cell>
          <cell r="C125">
            <v>4.8957861403137262</v>
          </cell>
          <cell r="D125">
            <v>122</v>
          </cell>
          <cell r="E125">
            <v>4.8965623419891546</v>
          </cell>
          <cell r="F125">
            <v>123</v>
          </cell>
          <cell r="G125">
            <v>0.42740005876184384</v>
          </cell>
        </row>
        <row r="126">
          <cell r="A126" t="str">
            <v>Toledo</v>
          </cell>
          <cell r="B126">
            <v>7.0650703430890545</v>
          </cell>
          <cell r="C126">
            <v>4.6798050150318815</v>
          </cell>
          <cell r="D126">
            <v>125</v>
          </cell>
          <cell r="E126">
            <v>4.739436648233311</v>
          </cell>
          <cell r="F126">
            <v>124</v>
          </cell>
          <cell r="G126">
            <v>0.41054810370768774</v>
          </cell>
        </row>
        <row r="127">
          <cell r="A127" t="str">
            <v>Memphis</v>
          </cell>
          <cell r="B127">
            <v>15.968957252141987</v>
          </cell>
          <cell r="C127">
            <v>4.4160419758079685</v>
          </cell>
          <cell r="D127">
            <v>128</v>
          </cell>
          <cell r="E127">
            <v>4.704864857716319</v>
          </cell>
          <cell r="F127">
            <v>125</v>
          </cell>
          <cell r="G127">
            <v>0.40684022980108558</v>
          </cell>
        </row>
        <row r="128">
          <cell r="A128" t="str">
            <v>California Baptist</v>
          </cell>
          <cell r="B128">
            <v>8.4002017292656532</v>
          </cell>
          <cell r="C128">
            <v>4.5898536666543679</v>
          </cell>
          <cell r="D128">
            <v>127</v>
          </cell>
          <cell r="E128">
            <v>4.6851123682196496</v>
          </cell>
          <cell r="F128">
            <v>126</v>
          </cell>
          <cell r="G128">
            <v>0.40472174709307729</v>
          </cell>
        </row>
        <row r="129">
          <cell r="A129" t="str">
            <v>Stephen F. Austin</v>
          </cell>
          <cell r="B129">
            <v>4.4708840344629214E-2</v>
          </cell>
          <cell r="C129">
            <v>4.5997041251441688</v>
          </cell>
          <cell r="D129">
            <v>126</v>
          </cell>
          <cell r="E129">
            <v>4.4858292430241802</v>
          </cell>
          <cell r="F129">
            <v>127</v>
          </cell>
          <cell r="G129">
            <v>0.38334834730994394</v>
          </cell>
        </row>
        <row r="130">
          <cell r="A130" t="str">
            <v>Florida Atlantic</v>
          </cell>
          <cell r="B130">
            <v>9.6848517837220296</v>
          </cell>
          <cell r="C130">
            <v>4.3423379086463409</v>
          </cell>
          <cell r="D130">
            <v>131</v>
          </cell>
          <cell r="E130">
            <v>4.4759007555232335</v>
          </cell>
          <cell r="F130">
            <v>128</v>
          </cell>
          <cell r="G130">
            <v>0.38228350284611173</v>
          </cell>
        </row>
        <row r="131">
          <cell r="A131" t="str">
            <v>Jacksonville State</v>
          </cell>
          <cell r="B131">
            <v>5.2401185217502464</v>
          </cell>
          <cell r="C131">
            <v>4.3944956393912431</v>
          </cell>
          <cell r="D131">
            <v>130</v>
          </cell>
          <cell r="E131">
            <v>4.4156362114502183</v>
          </cell>
          <cell r="F131">
            <v>129</v>
          </cell>
          <cell r="G131">
            <v>0.37582004442755573</v>
          </cell>
        </row>
        <row r="132">
          <cell r="A132" t="str">
            <v>Pacific</v>
          </cell>
          <cell r="B132">
            <v>3.5350309061542493</v>
          </cell>
          <cell r="C132">
            <v>4.3946312940094305</v>
          </cell>
          <cell r="D132">
            <v>129</v>
          </cell>
          <cell r="E132">
            <v>4.3731412843130508</v>
          </cell>
          <cell r="F132">
            <v>130</v>
          </cell>
          <cell r="G132">
            <v>0.37126240280302319</v>
          </cell>
        </row>
        <row r="133">
          <cell r="A133" t="str">
            <v>DePaul</v>
          </cell>
          <cell r="B133">
            <v>13.592775810899269</v>
          </cell>
          <cell r="C133">
            <v>4.1017216329502277</v>
          </cell>
          <cell r="D133">
            <v>132</v>
          </cell>
          <cell r="E133">
            <v>4.3389979873989537</v>
          </cell>
          <cell r="F133">
            <v>131</v>
          </cell>
          <cell r="G133">
            <v>0.36760048544728408</v>
          </cell>
        </row>
        <row r="134">
          <cell r="A134" t="str">
            <v>North Texas</v>
          </cell>
          <cell r="B134">
            <v>11.526309182378027</v>
          </cell>
          <cell r="C134">
            <v>3.8733259004993945</v>
          </cell>
          <cell r="D134">
            <v>134</v>
          </cell>
          <cell r="E134">
            <v>4.0646504825463605</v>
          </cell>
          <cell r="F134">
            <v>132</v>
          </cell>
          <cell r="G134">
            <v>0.33817632374283435</v>
          </cell>
        </row>
        <row r="135">
          <cell r="A135" t="str">
            <v>St. Bonaventure</v>
          </cell>
          <cell r="B135">
            <v>10.149747374958512</v>
          </cell>
          <cell r="C135">
            <v>3.8551740646790491</v>
          </cell>
          <cell r="D135">
            <v>136</v>
          </cell>
          <cell r="E135">
            <v>4.0125383974360362</v>
          </cell>
          <cell r="F135">
            <v>133</v>
          </cell>
          <cell r="G135">
            <v>0.33258722819094994</v>
          </cell>
        </row>
        <row r="136">
          <cell r="A136" t="str">
            <v>Florida International</v>
          </cell>
          <cell r="B136">
            <v>2.7413022335596025</v>
          </cell>
          <cell r="C136">
            <v>4.0176914580016181</v>
          </cell>
          <cell r="D136">
            <v>133</v>
          </cell>
          <cell r="E136">
            <v>3.9857817273905676</v>
          </cell>
          <cell r="F136">
            <v>134</v>
          </cell>
          <cell r="G136">
            <v>0.32971753711607216</v>
          </cell>
        </row>
        <row r="137">
          <cell r="A137" t="str">
            <v>Cornell</v>
          </cell>
          <cell r="B137">
            <v>12.240510571584281</v>
          </cell>
          <cell r="C137">
            <v>3.7331516462878711</v>
          </cell>
          <cell r="D137">
            <v>138</v>
          </cell>
          <cell r="E137">
            <v>3.9458356194202815</v>
          </cell>
          <cell r="F137">
            <v>135</v>
          </cell>
          <cell r="G137">
            <v>0.32543325998728018</v>
          </cell>
        </row>
        <row r="138">
          <cell r="A138" t="str">
            <v>Idaho</v>
          </cell>
          <cell r="B138">
            <v>6.7522602313339091</v>
          </cell>
          <cell r="C138">
            <v>3.8559038044410152</v>
          </cell>
          <cell r="D138">
            <v>135</v>
          </cell>
          <cell r="E138">
            <v>3.9283127151133375</v>
          </cell>
          <cell r="F138">
            <v>136</v>
          </cell>
          <cell r="G138">
            <v>0.32355390347504892</v>
          </cell>
        </row>
        <row r="139">
          <cell r="A139" t="str">
            <v>Rutgers</v>
          </cell>
          <cell r="B139">
            <v>12.398819364854372</v>
          </cell>
          <cell r="C139">
            <v>3.6937546478753518</v>
          </cell>
          <cell r="D139">
            <v>140</v>
          </cell>
          <cell r="E139">
            <v>3.9113812657998275</v>
          </cell>
          <cell r="F139">
            <v>137</v>
          </cell>
          <cell r="G139">
            <v>0.3217379813555491</v>
          </cell>
        </row>
        <row r="140">
          <cell r="A140" t="str">
            <v>North Dakota State</v>
          </cell>
          <cell r="B140">
            <v>6.6499404773091211</v>
          </cell>
          <cell r="C140">
            <v>3.7842937666039704</v>
          </cell>
          <cell r="D140">
            <v>137</v>
          </cell>
          <cell r="E140">
            <v>3.8559349343715992</v>
          </cell>
          <cell r="F140">
            <v>138</v>
          </cell>
          <cell r="G140">
            <v>0.31579128312427018</v>
          </cell>
        </row>
        <row r="141">
          <cell r="A141" t="str">
            <v>St. Thomas - Minnesota</v>
          </cell>
          <cell r="B141">
            <v>9.9550098974439436</v>
          </cell>
          <cell r="C141">
            <v>3.6679884768218587</v>
          </cell>
          <cell r="D141">
            <v>142</v>
          </cell>
          <cell r="E141">
            <v>3.8251640123374107</v>
          </cell>
          <cell r="F141">
            <v>139</v>
          </cell>
          <cell r="G141">
            <v>0.31249105779065378</v>
          </cell>
        </row>
        <row r="142">
          <cell r="A142" t="str">
            <v>Missouri State</v>
          </cell>
          <cell r="B142">
            <v>5.8362417833099247</v>
          </cell>
          <cell r="C142">
            <v>3.6718621664320361</v>
          </cell>
          <cell r="D142">
            <v>141</v>
          </cell>
          <cell r="E142">
            <v>3.7259716568539836</v>
          </cell>
          <cell r="F142">
            <v>140</v>
          </cell>
          <cell r="G142">
            <v>0.3018525360036311</v>
          </cell>
        </row>
        <row r="143">
          <cell r="A143" t="str">
            <v>Portland State</v>
          </cell>
          <cell r="B143">
            <v>4.0411677395733916</v>
          </cell>
          <cell r="C143">
            <v>3.693821137609246</v>
          </cell>
          <cell r="D143">
            <v>139</v>
          </cell>
          <cell r="E143">
            <v>3.7025048026583498</v>
          </cell>
          <cell r="F143">
            <v>141</v>
          </cell>
          <cell r="G143">
            <v>0.29933568237699409</v>
          </cell>
        </row>
        <row r="144">
          <cell r="A144" t="str">
            <v>Fresno State</v>
          </cell>
          <cell r="B144">
            <v>4.3610610087658825</v>
          </cell>
          <cell r="C144">
            <v>3.6045892845813357</v>
          </cell>
          <cell r="D144">
            <v>143</v>
          </cell>
          <cell r="E144">
            <v>3.6235010776859493</v>
          </cell>
          <cell r="F144">
            <v>142</v>
          </cell>
          <cell r="G144">
            <v>0.29086242004464374</v>
          </cell>
        </row>
        <row r="145">
          <cell r="A145" t="str">
            <v>UT Arlington</v>
          </cell>
          <cell r="B145">
            <v>6.1401425942335406</v>
          </cell>
          <cell r="C145">
            <v>3.3757390548340114</v>
          </cell>
          <cell r="D145">
            <v>145</v>
          </cell>
          <cell r="E145">
            <v>3.4448491433189998</v>
          </cell>
          <cell r="F145">
            <v>143</v>
          </cell>
          <cell r="G145">
            <v>0.27170174494227578</v>
          </cell>
        </row>
        <row r="146">
          <cell r="A146" t="str">
            <v>Northern Colorado</v>
          </cell>
          <cell r="B146">
            <v>5.2861079713044568</v>
          </cell>
          <cell r="C146">
            <v>3.3903498996349413</v>
          </cell>
          <cell r="D146">
            <v>144</v>
          </cell>
          <cell r="E146">
            <v>3.4377438514266792</v>
          </cell>
          <cell r="F146">
            <v>144</v>
          </cell>
          <cell r="G146">
            <v>0.27093969223941161</v>
          </cell>
        </row>
        <row r="147">
          <cell r="A147" t="str">
            <v>Wyoming</v>
          </cell>
          <cell r="B147">
            <v>9.2936311138903847</v>
          </cell>
          <cell r="C147">
            <v>8.2394776228395745</v>
          </cell>
          <cell r="D147">
            <v>79</v>
          </cell>
          <cell r="E147">
            <v>3.2658314601158445</v>
          </cell>
          <cell r="F147">
            <v>145</v>
          </cell>
          <cell r="G147">
            <v>0.25250184275488102</v>
          </cell>
        </row>
        <row r="148">
          <cell r="A148" t="str">
            <v>Louisiana Tech</v>
          </cell>
          <cell r="B148">
            <v>5.8923615444656878</v>
          </cell>
          <cell r="C148">
            <v>3.1132449953245098</v>
          </cell>
          <cell r="D148">
            <v>146</v>
          </cell>
          <cell r="E148">
            <v>3.1827229090530391</v>
          </cell>
          <cell r="F148">
            <v>146</v>
          </cell>
          <cell r="G148">
            <v>0.24358833196203306</v>
          </cell>
        </row>
        <row r="149">
          <cell r="A149" t="str">
            <v>Loyola Marymount</v>
          </cell>
          <cell r="B149">
            <v>7.9556497051635517</v>
          </cell>
          <cell r="C149">
            <v>3.0589826690059589</v>
          </cell>
          <cell r="D149">
            <v>147</v>
          </cell>
          <cell r="E149">
            <v>3.1813993449098987</v>
          </cell>
          <cell r="F149">
            <v>147</v>
          </cell>
          <cell r="G149">
            <v>0.24344637781743497</v>
          </cell>
        </row>
        <row r="150">
          <cell r="A150" t="str">
            <v>Penn State</v>
          </cell>
          <cell r="B150">
            <v>13.199945506304053</v>
          </cell>
          <cell r="C150">
            <v>2.9191674653815389</v>
          </cell>
          <cell r="D150">
            <v>151</v>
          </cell>
          <cell r="E150">
            <v>3.1761869164046019</v>
          </cell>
          <cell r="F150">
            <v>148</v>
          </cell>
          <cell r="G150">
            <v>0.24288733741611931</v>
          </cell>
        </row>
        <row r="151">
          <cell r="A151" t="str">
            <v>UNC Wilmington</v>
          </cell>
          <cell r="B151">
            <v>11.452044273918382</v>
          </cell>
          <cell r="C151">
            <v>2.9063613994417636</v>
          </cell>
          <cell r="D151">
            <v>152</v>
          </cell>
          <cell r="E151">
            <v>3.1200034713036793</v>
          </cell>
          <cell r="F151">
            <v>149</v>
          </cell>
          <cell r="G151">
            <v>0.23686158269073607</v>
          </cell>
        </row>
        <row r="152">
          <cell r="A152" t="str">
            <v>Wright State</v>
          </cell>
          <cell r="B152">
            <v>8.2226290065142429</v>
          </cell>
          <cell r="C152">
            <v>2.9489169679379699</v>
          </cell>
          <cell r="D152">
            <v>150</v>
          </cell>
          <cell r="E152">
            <v>3.0807597689023769</v>
          </cell>
          <cell r="F152">
            <v>150</v>
          </cell>
          <cell r="G152">
            <v>0.23265263956235716</v>
          </cell>
        </row>
        <row r="153">
          <cell r="A153" t="str">
            <v>Richmond</v>
          </cell>
          <cell r="B153">
            <v>4.7143576609582825</v>
          </cell>
          <cell r="C153">
            <v>2.9707942998664101</v>
          </cell>
          <cell r="D153">
            <v>149</v>
          </cell>
          <cell r="E153">
            <v>3.0143833838937066</v>
          </cell>
          <cell r="F153">
            <v>151</v>
          </cell>
          <cell r="G153">
            <v>0.22553367747483496</v>
          </cell>
        </row>
        <row r="154">
          <cell r="A154" t="str">
            <v>Tarleton</v>
          </cell>
          <cell r="B154">
            <v>1.756369952207554</v>
          </cell>
          <cell r="C154">
            <v>3.0080486206721715</v>
          </cell>
          <cell r="D154">
            <v>148</v>
          </cell>
          <cell r="E154">
            <v>2.9767566539605563</v>
          </cell>
          <cell r="F154">
            <v>152</v>
          </cell>
          <cell r="G154">
            <v>0.22149815695294234</v>
          </cell>
        </row>
        <row r="155">
          <cell r="A155" t="str">
            <v>Rhode Island</v>
          </cell>
          <cell r="B155">
            <v>10.26520529831047</v>
          </cell>
          <cell r="C155">
            <v>2.449998890866989</v>
          </cell>
          <cell r="D155">
            <v>157</v>
          </cell>
          <cell r="E155">
            <v>2.6453790510530761</v>
          </cell>
          <cell r="F155">
            <v>153</v>
          </cell>
          <cell r="G155">
            <v>0.18595743578465049</v>
          </cell>
        </row>
        <row r="156">
          <cell r="A156" t="str">
            <v>UC Santa Barbara</v>
          </cell>
          <cell r="B156">
            <v>10.200974139185588</v>
          </cell>
          <cell r="C156">
            <v>2.450056503147612</v>
          </cell>
          <cell r="D156">
            <v>156</v>
          </cell>
          <cell r="E156">
            <v>2.6438294440485617</v>
          </cell>
          <cell r="F156">
            <v>154</v>
          </cell>
          <cell r="G156">
            <v>0.18579123822034721</v>
          </cell>
        </row>
        <row r="157">
          <cell r="A157" t="str">
            <v>Hawaii</v>
          </cell>
          <cell r="B157">
            <v>6.6079361622356876</v>
          </cell>
          <cell r="C157">
            <v>2.492480114196304</v>
          </cell>
          <cell r="D157">
            <v>154</v>
          </cell>
          <cell r="E157">
            <v>2.5953665153972887</v>
          </cell>
          <cell r="F157">
            <v>155</v>
          </cell>
          <cell r="G157">
            <v>0.18059351991023373</v>
          </cell>
        </row>
        <row r="158">
          <cell r="A158" t="str">
            <v>Texas A&amp;M-CC</v>
          </cell>
          <cell r="B158">
            <v>5.2676380276133958</v>
          </cell>
          <cell r="C158">
            <v>2.4672236033877679</v>
          </cell>
          <cell r="D158">
            <v>155</v>
          </cell>
          <cell r="E158">
            <v>2.5372339639934087</v>
          </cell>
          <cell r="F158">
            <v>156</v>
          </cell>
          <cell r="G158">
            <v>0.17435872075024483</v>
          </cell>
        </row>
        <row r="159">
          <cell r="A159" t="str">
            <v>Oregon State</v>
          </cell>
          <cell r="B159">
            <v>14.211715497060888</v>
          </cell>
          <cell r="C159">
            <v>2.2359708473078732</v>
          </cell>
          <cell r="D159">
            <v>160</v>
          </cell>
          <cell r="E159">
            <v>2.5353644635516988</v>
          </cell>
          <cell r="F159">
            <v>157</v>
          </cell>
          <cell r="G159">
            <v>0.17415821415794699</v>
          </cell>
        </row>
        <row r="160">
          <cell r="A160" t="str">
            <v>UMass</v>
          </cell>
          <cell r="B160">
            <v>3.4899893142971776</v>
          </cell>
          <cell r="C160">
            <v>2.4964280216049426</v>
          </cell>
          <cell r="D160">
            <v>153</v>
          </cell>
          <cell r="E160">
            <v>2.5212670539222484</v>
          </cell>
          <cell r="F160">
            <v>158</v>
          </cell>
          <cell r="G160">
            <v>0.1726462468419924</v>
          </cell>
        </row>
        <row r="161">
          <cell r="A161" t="str">
            <v>East Tennessee State</v>
          </cell>
          <cell r="B161">
            <v>10.948431749931771</v>
          </cell>
          <cell r="C161">
            <v>2.2627158736792992</v>
          </cell>
          <cell r="D161">
            <v>159</v>
          </cell>
          <cell r="E161">
            <v>2.479858770585611</v>
          </cell>
          <cell r="F161">
            <v>159</v>
          </cell>
          <cell r="G161">
            <v>0.16820514931695554</v>
          </cell>
        </row>
        <row r="162">
          <cell r="A162" t="str">
            <v>William &amp; Mary</v>
          </cell>
          <cell r="B162">
            <v>8.8460788154082941</v>
          </cell>
          <cell r="C162">
            <v>2.2116463768175167</v>
          </cell>
          <cell r="D162">
            <v>161</v>
          </cell>
          <cell r="E162">
            <v>2.3775071877822862</v>
          </cell>
          <cell r="F162">
            <v>160</v>
          </cell>
          <cell r="G162">
            <v>0.15722779588802774</v>
          </cell>
        </row>
        <row r="163">
          <cell r="A163" t="str">
            <v>Weber State</v>
          </cell>
          <cell r="B163">
            <v>1.9611137486645602</v>
          </cell>
          <cell r="C163">
            <v>2.2723311708029224</v>
          </cell>
          <cell r="D163">
            <v>158</v>
          </cell>
          <cell r="E163">
            <v>2.2645507352494634</v>
          </cell>
          <cell r="F163">
            <v>161</v>
          </cell>
          <cell r="G163">
            <v>0.14511305503528124</v>
          </cell>
        </row>
        <row r="164">
          <cell r="A164" t="str">
            <v>Abilene Christian</v>
          </cell>
          <cell r="B164">
            <v>4.6587729498792365</v>
          </cell>
          <cell r="C164">
            <v>2.1878771523872138</v>
          </cell>
          <cell r="D164">
            <v>162</v>
          </cell>
          <cell r="E164">
            <v>2.2496495473245144</v>
          </cell>
          <cell r="F164">
            <v>162</v>
          </cell>
          <cell r="G164">
            <v>0.14351488134921958</v>
          </cell>
        </row>
        <row r="165">
          <cell r="A165" t="str">
            <v>Montana</v>
          </cell>
          <cell r="B165">
            <v>7.2388141003298552</v>
          </cell>
          <cell r="C165">
            <v>2.0945759077732538</v>
          </cell>
          <cell r="D165">
            <v>163</v>
          </cell>
          <cell r="E165">
            <v>2.2231818625871687</v>
          </cell>
          <cell r="F165">
            <v>163</v>
          </cell>
          <cell r="G165">
            <v>0.14067618436135196</v>
          </cell>
        </row>
        <row r="166">
          <cell r="A166" t="str">
            <v>Hofstra</v>
          </cell>
          <cell r="B166">
            <v>4.9840939446210539</v>
          </cell>
          <cell r="C166">
            <v>2.062561974949221</v>
          </cell>
          <cell r="D166">
            <v>164</v>
          </cell>
          <cell r="E166">
            <v>2.1356002741910172</v>
          </cell>
          <cell r="F166">
            <v>164</v>
          </cell>
          <cell r="G166">
            <v>0.13128293392634055</v>
          </cell>
        </row>
        <row r="167">
          <cell r="A167" t="str">
            <v>UC San Diego</v>
          </cell>
          <cell r="B167">
            <v>13.658747039986601</v>
          </cell>
          <cell r="C167">
            <v>1.7738631074212148</v>
          </cell>
          <cell r="D167">
            <v>166</v>
          </cell>
          <cell r="E167">
            <v>2.0709852057353495</v>
          </cell>
          <cell r="F167">
            <v>165</v>
          </cell>
          <cell r="G167">
            <v>0.12435287555454966</v>
          </cell>
        </row>
        <row r="168">
          <cell r="A168" t="str">
            <v>Drake</v>
          </cell>
          <cell r="B168">
            <v>11.638031355552167</v>
          </cell>
          <cell r="C168">
            <v>1.7325277535719832</v>
          </cell>
          <cell r="D168">
            <v>167</v>
          </cell>
          <cell r="E168">
            <v>1.9801653436214879</v>
          </cell>
          <cell r="F168">
            <v>166</v>
          </cell>
          <cell r="G168">
            <v>0.11461231563857774</v>
          </cell>
        </row>
        <row r="169">
          <cell r="A169" t="str">
            <v>San Diego</v>
          </cell>
          <cell r="B169">
            <v>3.3518950872348374</v>
          </cell>
          <cell r="C169">
            <v>1.7881043663405869</v>
          </cell>
          <cell r="D169">
            <v>165</v>
          </cell>
          <cell r="E169">
            <v>1.8271991343629432</v>
          </cell>
          <cell r="F169">
            <v>167</v>
          </cell>
          <cell r="G169">
            <v>9.8206471237118925E-2</v>
          </cell>
        </row>
        <row r="170">
          <cell r="A170" t="str">
            <v>San Jose State</v>
          </cell>
          <cell r="B170">
            <v>6.9683420651099723</v>
          </cell>
          <cell r="C170">
            <v>1.5838244292059387</v>
          </cell>
          <cell r="D170">
            <v>170</v>
          </cell>
          <cell r="E170">
            <v>1.7184373701035396</v>
          </cell>
          <cell r="F170">
            <v>168</v>
          </cell>
          <cell r="G170">
            <v>8.65416166923349E-2</v>
          </cell>
        </row>
        <row r="171">
          <cell r="A171" t="str">
            <v>Columbia</v>
          </cell>
          <cell r="B171">
            <v>6.0613304816433882</v>
          </cell>
          <cell r="C171">
            <v>1.5671652129473508</v>
          </cell>
          <cell r="D171">
            <v>171</v>
          </cell>
          <cell r="E171">
            <v>1.6795193446647518</v>
          </cell>
          <cell r="F171">
            <v>169</v>
          </cell>
          <cell r="G171">
            <v>8.2367602883300778E-2</v>
          </cell>
        </row>
        <row r="172">
          <cell r="A172" t="str">
            <v>Utah Tech</v>
          </cell>
          <cell r="B172">
            <v>2.6815136307772209</v>
          </cell>
          <cell r="C172">
            <v>1.6422323526413751</v>
          </cell>
          <cell r="D172">
            <v>169</v>
          </cell>
          <cell r="E172">
            <v>1.6682143845947712</v>
          </cell>
          <cell r="F172">
            <v>170</v>
          </cell>
          <cell r="G172">
            <v>8.11551297706323E-2</v>
          </cell>
        </row>
        <row r="173">
          <cell r="A173" t="str">
            <v>Eastern Washington</v>
          </cell>
          <cell r="B173">
            <v>4.5611014700271113</v>
          </cell>
          <cell r="C173">
            <v>1.5470412528056978</v>
          </cell>
          <cell r="D173">
            <v>172</v>
          </cell>
          <cell r="E173">
            <v>1.6223927582362332</v>
          </cell>
          <cell r="F173">
            <v>171</v>
          </cell>
          <cell r="G173">
            <v>7.624069490358687E-2</v>
          </cell>
        </row>
        <row r="174">
          <cell r="A174" t="str">
            <v>Temple</v>
          </cell>
          <cell r="B174">
            <v>7.8504390694144872</v>
          </cell>
          <cell r="C174">
            <v>1.4125697215739741</v>
          </cell>
          <cell r="D174">
            <v>174</v>
          </cell>
          <cell r="E174">
            <v>1.5735164552699872</v>
          </cell>
          <cell r="F174">
            <v>172</v>
          </cell>
          <cell r="G174">
            <v>7.0998641607832605E-2</v>
          </cell>
        </row>
        <row r="175">
          <cell r="A175" t="str">
            <v>CSU Fullerton</v>
          </cell>
          <cell r="B175">
            <v>-7.2289295991476736</v>
          </cell>
          <cell r="C175">
            <v>1.7206022891336858</v>
          </cell>
          <cell r="D175">
            <v>168</v>
          </cell>
          <cell r="E175">
            <v>1.4968639919266518</v>
          </cell>
          <cell r="F175">
            <v>173</v>
          </cell>
          <cell r="G175">
            <v>6.2777555443150515E-2</v>
          </cell>
        </row>
        <row r="176">
          <cell r="A176" t="str">
            <v>Mercer</v>
          </cell>
          <cell r="B176">
            <v>4.2261109018042715</v>
          </cell>
          <cell r="C176">
            <v>1.3892134457868854</v>
          </cell>
          <cell r="D176">
            <v>175</v>
          </cell>
          <cell r="E176">
            <v>1.46013588218732</v>
          </cell>
          <cell r="F176">
            <v>174</v>
          </cell>
          <cell r="G176">
            <v>5.8838413220408142E-2</v>
          </cell>
        </row>
        <row r="177">
          <cell r="A177" t="str">
            <v>UTEP</v>
          </cell>
          <cell r="B177">
            <v>3.2977056297508884</v>
          </cell>
          <cell r="C177">
            <v>1.369194611748807</v>
          </cell>
          <cell r="D177">
            <v>176</v>
          </cell>
          <cell r="E177">
            <v>1.4174073871988591</v>
          </cell>
          <cell r="F177">
            <v>175</v>
          </cell>
          <cell r="G177">
            <v>5.4255721110254763E-2</v>
          </cell>
        </row>
        <row r="178">
          <cell r="A178" t="str">
            <v>Northern Kentucky</v>
          </cell>
          <cell r="B178">
            <v>1.5128202582854133</v>
          </cell>
          <cell r="C178">
            <v>1.4133015957259283</v>
          </cell>
          <cell r="D178">
            <v>173</v>
          </cell>
          <cell r="E178">
            <v>1.4157895622899153</v>
          </cell>
          <cell r="F178">
            <v>176</v>
          </cell>
          <cell r="G178">
            <v>5.4082207078276136E-2</v>
          </cell>
        </row>
        <row r="179">
          <cell r="A179" t="str">
            <v>Troy</v>
          </cell>
          <cell r="B179">
            <v>8.6787585448606048</v>
          </cell>
          <cell r="C179">
            <v>1.1251003146709206</v>
          </cell>
          <cell r="D179">
            <v>177</v>
          </cell>
          <cell r="E179">
            <v>1.3139417704256628</v>
          </cell>
          <cell r="F179">
            <v>177</v>
          </cell>
          <cell r="G179">
            <v>4.3158885947052181E-2</v>
          </cell>
        </row>
        <row r="180">
          <cell r="A180" t="str">
            <v>UAB</v>
          </cell>
          <cell r="B180">
            <v>11.893851724735462</v>
          </cell>
          <cell r="C180">
            <v>0.91112386997574057</v>
          </cell>
          <cell r="D180">
            <v>179</v>
          </cell>
          <cell r="E180">
            <v>1.1856920663447339</v>
          </cell>
          <cell r="F180">
            <v>178</v>
          </cell>
          <cell r="G180">
            <v>2.9403922024735296E-2</v>
          </cell>
        </row>
        <row r="181">
          <cell r="A181" t="str">
            <v>Tennessee State</v>
          </cell>
          <cell r="B181">
            <v>4.6695105181924941</v>
          </cell>
          <cell r="C181">
            <v>0.97148551144818673</v>
          </cell>
          <cell r="D181">
            <v>178</v>
          </cell>
          <cell r="E181">
            <v>1.0639361366167945</v>
          </cell>
          <cell r="F181">
            <v>179</v>
          </cell>
          <cell r="G181">
            <v>1.6345424675851396E-2</v>
          </cell>
        </row>
        <row r="182">
          <cell r="A182" t="str">
            <v>St. Joseph's</v>
          </cell>
          <cell r="B182">
            <v>13.717931283626486</v>
          </cell>
          <cell r="C182">
            <v>0.69451717520154532</v>
          </cell>
          <cell r="D182">
            <v>186</v>
          </cell>
          <cell r="E182">
            <v>1.0201025279121692</v>
          </cell>
          <cell r="F182">
            <v>180</v>
          </cell>
          <cell r="G182">
            <v>1.1644207541372763E-2</v>
          </cell>
        </row>
        <row r="183">
          <cell r="A183" t="str">
            <v>Fordham</v>
          </cell>
          <cell r="B183">
            <v>6.7577083276114465</v>
          </cell>
          <cell r="C183">
            <v>0.81841103849176555</v>
          </cell>
          <cell r="D183">
            <v>181</v>
          </cell>
          <cell r="E183">
            <v>0.96689347071975773</v>
          </cell>
          <cell r="F183">
            <v>181</v>
          </cell>
          <cell r="G183">
            <v>5.937460167045305E-3</v>
          </cell>
        </row>
        <row r="184">
          <cell r="A184" t="str">
            <v>Ohio</v>
          </cell>
          <cell r="B184">
            <v>10.971514953340339</v>
          </cell>
          <cell r="C184">
            <v>0.69546637947521706</v>
          </cell>
          <cell r="D184">
            <v>185</v>
          </cell>
          <cell r="E184">
            <v>0.95236759382184533</v>
          </cell>
          <cell r="F184">
            <v>182</v>
          </cell>
          <cell r="G184">
            <v>4.3795391246332274E-3</v>
          </cell>
        </row>
        <row r="185">
          <cell r="A185" t="str">
            <v>Oakland</v>
          </cell>
          <cell r="B185">
            <v>6.4695957108994113</v>
          </cell>
          <cell r="C185">
            <v>0.77591009214428908</v>
          </cell>
          <cell r="D185">
            <v>182</v>
          </cell>
          <cell r="E185">
            <v>0.91825223261316724</v>
          </cell>
          <cell r="F185">
            <v>183</v>
          </cell>
          <cell r="G185">
            <v>7.206179131966432E-4</v>
          </cell>
        </row>
        <row r="186">
          <cell r="A186" t="str">
            <v>Portland</v>
          </cell>
          <cell r="B186">
            <v>3.6753800784627519</v>
          </cell>
          <cell r="C186">
            <v>0.83340499867049245</v>
          </cell>
          <cell r="D186">
            <v>180</v>
          </cell>
          <cell r="E186">
            <v>0.90445437566529896</v>
          </cell>
          <cell r="F186">
            <v>184</v>
          </cell>
          <cell r="G186">
            <v>-7.5922194985251947E-4</v>
          </cell>
        </row>
        <row r="187">
          <cell r="A187" t="str">
            <v>Valparaiso</v>
          </cell>
          <cell r="B187">
            <v>4.1024395871147687</v>
          </cell>
          <cell r="C187">
            <v>0.77023449221584828</v>
          </cell>
          <cell r="D187">
            <v>183</v>
          </cell>
          <cell r="E187">
            <v>0.85353961958832136</v>
          </cell>
          <cell r="F187">
            <v>185</v>
          </cell>
          <cell r="G187">
            <v>-6.2199022529467393E-3</v>
          </cell>
        </row>
        <row r="188">
          <cell r="A188" t="str">
            <v>Campbell</v>
          </cell>
          <cell r="B188">
            <v>7.7316653144052143</v>
          </cell>
          <cell r="C188">
            <v>0.65498676193719507</v>
          </cell>
          <cell r="D188">
            <v>187</v>
          </cell>
          <cell r="E188">
            <v>0.83190372574889571</v>
          </cell>
          <cell r="F188">
            <v>186</v>
          </cell>
          <cell r="G188">
            <v>-8.5403827664969605E-3</v>
          </cell>
        </row>
        <row r="189">
          <cell r="A189" t="str">
            <v>Idaho State</v>
          </cell>
          <cell r="B189">
            <v>5.3521542826006785</v>
          </cell>
          <cell r="C189">
            <v>0.7120032530646192</v>
          </cell>
          <cell r="D189">
            <v>184</v>
          </cell>
          <cell r="E189">
            <v>0.82800702880302079</v>
          </cell>
          <cell r="F189">
            <v>187</v>
          </cell>
          <cell r="G189">
            <v>-8.9583090790043909E-3</v>
          </cell>
        </row>
        <row r="190">
          <cell r="A190" t="str">
            <v>Robert Morris</v>
          </cell>
          <cell r="B190">
            <v>9.3468193830940063</v>
          </cell>
          <cell r="C190">
            <v>0.58594562038117493</v>
          </cell>
          <cell r="D190">
            <v>188</v>
          </cell>
          <cell r="E190">
            <v>0.80496746444899592</v>
          </cell>
          <cell r="F190">
            <v>188</v>
          </cell>
          <cell r="G190">
            <v>-1.1429335259895481E-2</v>
          </cell>
        </row>
        <row r="191">
          <cell r="A191" t="str">
            <v>Arkansas State</v>
          </cell>
          <cell r="B191">
            <v>10.32698899515729</v>
          </cell>
          <cell r="C191">
            <v>0.24647016691779861</v>
          </cell>
          <cell r="D191">
            <v>191</v>
          </cell>
          <cell r="E191">
            <v>0.49848313762378615</v>
          </cell>
          <cell r="F191">
            <v>189</v>
          </cell>
          <cell r="G191">
            <v>-4.4300217017066087E-2</v>
          </cell>
        </row>
        <row r="192">
          <cell r="A192" t="str">
            <v>Western Carolina</v>
          </cell>
          <cell r="B192">
            <v>-2.0856588670615377</v>
          </cell>
          <cell r="C192">
            <v>0.53640613780530044</v>
          </cell>
          <cell r="D192">
            <v>189</v>
          </cell>
          <cell r="E192">
            <v>0.47085451268362943</v>
          </cell>
          <cell r="F192">
            <v>190</v>
          </cell>
          <cell r="G192">
            <v>-4.7263426499680343E-2</v>
          </cell>
        </row>
        <row r="193">
          <cell r="A193" t="str">
            <v>Boston College</v>
          </cell>
          <cell r="B193">
            <v>10.806740653842446</v>
          </cell>
          <cell r="C193">
            <v>0.1869130291001154</v>
          </cell>
          <cell r="D193">
            <v>194</v>
          </cell>
          <cell r="E193">
            <v>0.45240871971867391</v>
          </cell>
          <cell r="F193">
            <v>191</v>
          </cell>
          <cell r="G193">
            <v>-4.9241764138505492E-2</v>
          </cell>
        </row>
        <row r="194">
          <cell r="A194" t="str">
            <v>South Dakota State</v>
          </cell>
          <cell r="B194">
            <v>7.2431333970691121</v>
          </cell>
          <cell r="C194">
            <v>0.18172560543187471</v>
          </cell>
          <cell r="D194">
            <v>195</v>
          </cell>
          <cell r="E194">
            <v>0.35826080022280582</v>
          </cell>
          <cell r="F194">
            <v>192</v>
          </cell>
          <cell r="G194">
            <v>-5.9339262961658173E-2</v>
          </cell>
        </row>
        <row r="195">
          <cell r="A195" t="str">
            <v>Austin Peay</v>
          </cell>
          <cell r="B195">
            <v>4.0889739876354199</v>
          </cell>
          <cell r="C195">
            <v>0.26195205112287334</v>
          </cell>
          <cell r="D195">
            <v>190</v>
          </cell>
          <cell r="E195">
            <v>0.35762759953568712</v>
          </cell>
          <cell r="F195">
            <v>193</v>
          </cell>
          <cell r="G195">
            <v>-5.9407174639656342E-2</v>
          </cell>
        </row>
        <row r="196">
          <cell r="A196" t="str">
            <v>CSU Northridge</v>
          </cell>
          <cell r="B196">
            <v>6.6453279658500097</v>
          </cell>
          <cell r="C196">
            <v>0.19099361099014489</v>
          </cell>
          <cell r="D196">
            <v>192</v>
          </cell>
          <cell r="E196">
            <v>0.35235196986164163</v>
          </cell>
          <cell r="F196">
            <v>194</v>
          </cell>
          <cell r="G196">
            <v>-5.9972993456580935E-2</v>
          </cell>
        </row>
        <row r="197">
          <cell r="A197" t="str">
            <v>UC Davis</v>
          </cell>
          <cell r="B197">
            <v>1.6068695599259029</v>
          </cell>
          <cell r="C197">
            <v>0.18805621924422641</v>
          </cell>
          <cell r="D197">
            <v>193</v>
          </cell>
          <cell r="E197">
            <v>0.22352655276126834</v>
          </cell>
          <cell r="F197">
            <v>195</v>
          </cell>
          <cell r="G197">
            <v>-7.3789703422436972E-2</v>
          </cell>
        </row>
        <row r="198">
          <cell r="A198" t="str">
            <v>Furman</v>
          </cell>
          <cell r="B198">
            <v>9.7417903789513538</v>
          </cell>
          <cell r="C198">
            <v>-5.1242924810589674E-2</v>
          </cell>
          <cell r="D198">
            <v>196</v>
          </cell>
          <cell r="E198">
            <v>0.19358290778345913</v>
          </cell>
          <cell r="F198">
            <v>196</v>
          </cell>
          <cell r="G198">
            <v>-7.7001202110282108E-2</v>
          </cell>
        </row>
        <row r="199">
          <cell r="A199" t="str">
            <v>Southern Utah</v>
          </cell>
          <cell r="B199">
            <v>-0.85868020363852504</v>
          </cell>
          <cell r="C199">
            <v>-6.961378280181485E-2</v>
          </cell>
          <cell r="D199">
            <v>197</v>
          </cell>
          <cell r="E199">
            <v>-8.934044332273261E-2</v>
          </cell>
          <cell r="F199">
            <v>197</v>
          </cell>
          <cell r="G199">
            <v>-0.1073451355730132</v>
          </cell>
        </row>
        <row r="200">
          <cell r="A200" t="str">
            <v>Youngstown State</v>
          </cell>
          <cell r="B200">
            <v>7.074926011375049</v>
          </cell>
          <cell r="C200">
            <v>-0.31247384735645822</v>
          </cell>
          <cell r="D200">
            <v>200</v>
          </cell>
          <cell r="E200">
            <v>-0.12778885088817038</v>
          </cell>
          <cell r="F200">
            <v>198</v>
          </cell>
          <cell r="G200">
            <v>-0.11146878219444642</v>
          </cell>
        </row>
        <row r="201">
          <cell r="A201" t="str">
            <v>Radford</v>
          </cell>
          <cell r="B201">
            <v>11.500175544773906</v>
          </cell>
          <cell r="C201">
            <v>-0.56696409631028832</v>
          </cell>
          <cell r="D201">
            <v>203</v>
          </cell>
          <cell r="E201">
            <v>-0.26528560528318323</v>
          </cell>
          <cell r="F201">
            <v>199</v>
          </cell>
          <cell r="G201">
            <v>-0.12621550546911089</v>
          </cell>
        </row>
        <row r="202">
          <cell r="A202" t="str">
            <v>Lamar</v>
          </cell>
          <cell r="B202">
            <v>3.7898435317739021</v>
          </cell>
          <cell r="C202">
            <v>-0.428898047589583</v>
          </cell>
          <cell r="D202">
            <v>201</v>
          </cell>
          <cell r="E202">
            <v>-0.32342950810549576</v>
          </cell>
          <cell r="F202">
            <v>200</v>
          </cell>
          <cell r="G202">
            <v>-0.13245152208493818</v>
          </cell>
        </row>
        <row r="203">
          <cell r="A203" t="str">
            <v>Buffalo</v>
          </cell>
          <cell r="B203">
            <v>-1.3203775832630009</v>
          </cell>
          <cell r="C203">
            <v>-0.29897678242048753</v>
          </cell>
          <cell r="D203">
            <v>198</v>
          </cell>
          <cell r="E203">
            <v>-0.32451180244155037</v>
          </cell>
          <cell r="F203">
            <v>201</v>
          </cell>
          <cell r="G203">
            <v>-0.13256759969815721</v>
          </cell>
        </row>
        <row r="204">
          <cell r="A204" t="str">
            <v>Pennsylvania</v>
          </cell>
          <cell r="B204">
            <v>5.1621152313096248</v>
          </cell>
          <cell r="C204">
            <v>-0.48829187985559058</v>
          </cell>
          <cell r="D204">
            <v>202</v>
          </cell>
          <cell r="E204">
            <v>-0.34703170207646006</v>
          </cell>
          <cell r="F204">
            <v>202</v>
          </cell>
          <cell r="G204">
            <v>-0.13498289109576475</v>
          </cell>
        </row>
        <row r="205">
          <cell r="A205" t="str">
            <v>Central Arkansas</v>
          </cell>
          <cell r="B205">
            <v>-2.8044829720709332</v>
          </cell>
          <cell r="C205">
            <v>-0.30650488027773848</v>
          </cell>
          <cell r="D205">
            <v>199</v>
          </cell>
          <cell r="E205">
            <v>-0.36895433257256843</v>
          </cell>
          <cell r="F205">
            <v>203</v>
          </cell>
          <cell r="G205">
            <v>-0.13733412452524674</v>
          </cell>
        </row>
        <row r="206">
          <cell r="A206" t="str">
            <v>Incarnate Word</v>
          </cell>
          <cell r="B206">
            <v>3.4851643994280979</v>
          </cell>
          <cell r="C206">
            <v>-0.58221746143845066</v>
          </cell>
          <cell r="D206">
            <v>204</v>
          </cell>
          <cell r="E206">
            <v>-0.48053291491678685</v>
          </cell>
          <cell r="F206">
            <v>204</v>
          </cell>
          <cell r="G206">
            <v>-0.14930108683246202</v>
          </cell>
        </row>
        <row r="207">
          <cell r="A207" t="str">
            <v>Charlotte</v>
          </cell>
          <cell r="B207">
            <v>5.1348821179057866</v>
          </cell>
          <cell r="C207">
            <v>-0.79596348199888112</v>
          </cell>
          <cell r="D207">
            <v>205</v>
          </cell>
          <cell r="E207">
            <v>-0.64769234200126435</v>
          </cell>
          <cell r="F207">
            <v>205</v>
          </cell>
          <cell r="G207">
            <v>-0.16722917411577651</v>
          </cell>
        </row>
        <row r="208">
          <cell r="A208" t="str">
            <v>Southeast Missouri State</v>
          </cell>
          <cell r="B208">
            <v>5.4277423396745084</v>
          </cell>
          <cell r="C208">
            <v>-0.80827365313734612</v>
          </cell>
          <cell r="D208">
            <v>206</v>
          </cell>
          <cell r="E208">
            <v>-0.65237325331704965</v>
          </cell>
          <cell r="F208">
            <v>206</v>
          </cell>
          <cell r="G208">
            <v>-0.16773120853943146</v>
          </cell>
        </row>
        <row r="209">
          <cell r="A209" t="str">
            <v>Sacramento State</v>
          </cell>
          <cell r="B209">
            <v>3.894048967658652</v>
          </cell>
          <cell r="C209">
            <v>-0.81564496205483894</v>
          </cell>
          <cell r="D209">
            <v>207</v>
          </cell>
          <cell r="E209">
            <v>-0.69790261381200158</v>
          </cell>
          <cell r="F209">
            <v>207</v>
          </cell>
          <cell r="G209">
            <v>-0.17261429747520821</v>
          </cell>
        </row>
        <row r="210">
          <cell r="A210" t="str">
            <v>Detroit</v>
          </cell>
          <cell r="B210">
            <v>3.0738830602115068</v>
          </cell>
          <cell r="C210">
            <v>-0.82897425569765559</v>
          </cell>
          <cell r="D210">
            <v>208</v>
          </cell>
          <cell r="E210">
            <v>-0.73140282279992641</v>
          </cell>
          <cell r="F210">
            <v>208</v>
          </cell>
          <cell r="G210">
            <v>-0.17620724273244021</v>
          </cell>
        </row>
        <row r="211">
          <cell r="A211" t="str">
            <v>UNC Asheville</v>
          </cell>
          <cell r="B211">
            <v>4.2597310343300681</v>
          </cell>
          <cell r="C211">
            <v>-0.88989015526983317</v>
          </cell>
          <cell r="D211">
            <v>209</v>
          </cell>
          <cell r="E211">
            <v>-0.76114962552983556</v>
          </cell>
          <cell r="F211">
            <v>209</v>
          </cell>
          <cell r="G211">
            <v>-0.17939762980807808</v>
          </cell>
        </row>
        <row r="212">
          <cell r="A212" t="str">
            <v>Indiana State</v>
          </cell>
          <cell r="B212">
            <v>8.8774779405919997</v>
          </cell>
          <cell r="C212">
            <v>-1.0551936529182531</v>
          </cell>
          <cell r="D212">
            <v>210</v>
          </cell>
          <cell r="E212">
            <v>-0.80687686308049655</v>
          </cell>
          <cell r="F212">
            <v>210</v>
          </cell>
          <cell r="G212">
            <v>-0.18430194134067743</v>
          </cell>
        </row>
        <row r="213">
          <cell r="A213" t="str">
            <v>Charleston</v>
          </cell>
          <cell r="B213">
            <v>10.158178405440189</v>
          </cell>
          <cell r="C213">
            <v>-1.3092845732921576</v>
          </cell>
          <cell r="D213">
            <v>214</v>
          </cell>
          <cell r="E213">
            <v>-1.0225979988238487</v>
          </cell>
          <cell r="F213">
            <v>211</v>
          </cell>
          <cell r="G213">
            <v>-0.2074383412309932</v>
          </cell>
        </row>
        <row r="214">
          <cell r="A214" t="str">
            <v>Marshall</v>
          </cell>
          <cell r="B214">
            <v>2.7500123349197647</v>
          </cell>
          <cell r="C214">
            <v>-1.1448036382395415</v>
          </cell>
          <cell r="D214">
            <v>211</v>
          </cell>
          <cell r="E214">
            <v>-1.0474332389105587</v>
          </cell>
          <cell r="F214">
            <v>212</v>
          </cell>
          <cell r="G214">
            <v>-0.21010195619870659</v>
          </cell>
        </row>
        <row r="215">
          <cell r="A215" t="str">
            <v>Rice</v>
          </cell>
          <cell r="B215">
            <v>5.2635459972994534</v>
          </cell>
          <cell r="C215">
            <v>-1.2137483178876955</v>
          </cell>
          <cell r="D215">
            <v>212</v>
          </cell>
          <cell r="E215">
            <v>-1.0518159600080166</v>
          </cell>
          <cell r="F215">
            <v>213</v>
          </cell>
          <cell r="G215">
            <v>-0.210572009295586</v>
          </cell>
        </row>
        <row r="216">
          <cell r="A216" t="str">
            <v>Samford</v>
          </cell>
          <cell r="B216">
            <v>11.451234349297978</v>
          </cell>
          <cell r="C216">
            <v>-1.4763686899983941</v>
          </cell>
          <cell r="D216">
            <v>216</v>
          </cell>
          <cell r="E216">
            <v>-1.1531786140159845</v>
          </cell>
          <cell r="F216">
            <v>214</v>
          </cell>
          <cell r="G216">
            <v>-0.22144329869887447</v>
          </cell>
        </row>
        <row r="217">
          <cell r="A217" t="str">
            <v>Nicholls</v>
          </cell>
          <cell r="B217">
            <v>1.0226165627622905</v>
          </cell>
          <cell r="C217">
            <v>-1.2767457013346633</v>
          </cell>
          <cell r="D217">
            <v>213</v>
          </cell>
          <cell r="E217">
            <v>-1.2192616447322393</v>
          </cell>
          <cell r="F217">
            <v>215</v>
          </cell>
          <cell r="G217">
            <v>-0.22853079811958157</v>
          </cell>
        </row>
        <row r="218">
          <cell r="A218" t="str">
            <v>Purdue Fort Wayne</v>
          </cell>
          <cell r="B218">
            <v>7.7812777392935741</v>
          </cell>
          <cell r="C218">
            <v>-1.5334811811640381</v>
          </cell>
          <cell r="D218">
            <v>217</v>
          </cell>
          <cell r="E218">
            <v>-1.3006122081525975</v>
          </cell>
          <cell r="F218">
            <v>216</v>
          </cell>
          <cell r="G218">
            <v>-0.23725576222710951</v>
          </cell>
        </row>
        <row r="219">
          <cell r="A219" t="str">
            <v>Cal Poly</v>
          </cell>
          <cell r="B219">
            <v>7.8024418664198771</v>
          </cell>
          <cell r="C219">
            <v>-1.5970332594017198</v>
          </cell>
          <cell r="D219">
            <v>219</v>
          </cell>
          <cell r="E219">
            <v>-1.3620463812561796</v>
          </cell>
          <cell r="F219">
            <v>217</v>
          </cell>
          <cell r="G219">
            <v>-0.2438446650295979</v>
          </cell>
        </row>
        <row r="220">
          <cell r="A220" t="str">
            <v>New Orleans</v>
          </cell>
          <cell r="B220">
            <v>1.348849061961795</v>
          </cell>
          <cell r="C220">
            <v>-1.4461633097367232</v>
          </cell>
          <cell r="D220">
            <v>215</v>
          </cell>
          <cell r="E220">
            <v>-1.3762880004442601</v>
          </cell>
          <cell r="F220">
            <v>218</v>
          </cell>
          <cell r="G220">
            <v>-0.24537209902666823</v>
          </cell>
        </row>
        <row r="221">
          <cell r="A221" t="str">
            <v>Pepperdine</v>
          </cell>
          <cell r="B221">
            <v>4.5307464261683457</v>
          </cell>
          <cell r="C221">
            <v>-1.5577301512678337</v>
          </cell>
          <cell r="D221">
            <v>218</v>
          </cell>
          <cell r="E221">
            <v>-1.405518236831929</v>
          </cell>
          <cell r="F221">
            <v>219</v>
          </cell>
          <cell r="G221">
            <v>-0.24850708362436735</v>
          </cell>
        </row>
        <row r="222">
          <cell r="A222" t="str">
            <v>Lipscomb</v>
          </cell>
          <cell r="B222">
            <v>9.3932974825499684</v>
          </cell>
          <cell r="C222">
            <v>-1.696443465075572</v>
          </cell>
          <cell r="D222">
            <v>221</v>
          </cell>
          <cell r="E222">
            <v>-1.4191999413849332</v>
          </cell>
          <cell r="F222">
            <v>220</v>
          </cell>
          <cell r="G222">
            <v>-0.24997446597718445</v>
          </cell>
        </row>
        <row r="223">
          <cell r="A223" t="str">
            <v>Georgia Tech</v>
          </cell>
          <cell r="B223">
            <v>14.526399974517997</v>
          </cell>
          <cell r="C223">
            <v>-1.9111225288809137</v>
          </cell>
          <cell r="D223">
            <v>229</v>
          </cell>
          <cell r="E223">
            <v>-1.5001844662959407</v>
          </cell>
          <cell r="F223">
            <v>221</v>
          </cell>
          <cell r="G223">
            <v>-0.25866017193182711</v>
          </cell>
        </row>
        <row r="224">
          <cell r="A224" t="str">
            <v>Towson</v>
          </cell>
          <cell r="B224">
            <v>9.9522452346244599</v>
          </cell>
          <cell r="C224">
            <v>-1.8665921995789034</v>
          </cell>
          <cell r="D224">
            <v>228</v>
          </cell>
          <cell r="E224">
            <v>-1.571121263723819</v>
          </cell>
          <cell r="F224">
            <v>222</v>
          </cell>
          <cell r="G224">
            <v>-0.26626824476425603</v>
          </cell>
        </row>
        <row r="225">
          <cell r="A225" t="str">
            <v>Northern Arizona</v>
          </cell>
          <cell r="B225">
            <v>4.0594954007386894</v>
          </cell>
          <cell r="C225">
            <v>-1.7212479865166244</v>
          </cell>
          <cell r="D225">
            <v>222</v>
          </cell>
          <cell r="E225">
            <v>-1.5767294018352414</v>
          </cell>
          <cell r="F225">
            <v>223</v>
          </cell>
          <cell r="G225">
            <v>-0.26686972558596078</v>
          </cell>
        </row>
        <row r="226">
          <cell r="A226" t="str">
            <v>Elon</v>
          </cell>
          <cell r="B226">
            <v>6.6277636094692962</v>
          </cell>
          <cell r="C226">
            <v>-1.7933865739982771</v>
          </cell>
          <cell r="D226">
            <v>226</v>
          </cell>
          <cell r="E226">
            <v>-1.5828578194115877</v>
          </cell>
          <cell r="F226">
            <v>224</v>
          </cell>
          <cell r="G226">
            <v>-0.26752700712331501</v>
          </cell>
        </row>
        <row r="227">
          <cell r="A227" t="str">
            <v>North Dakota</v>
          </cell>
          <cell r="B227">
            <v>3.4690131796803656</v>
          </cell>
          <cell r="C227">
            <v>-1.7212657155205497</v>
          </cell>
          <cell r="D227">
            <v>223</v>
          </cell>
          <cell r="E227">
            <v>-1.5915087431405268</v>
          </cell>
          <cell r="F227">
            <v>225</v>
          </cell>
          <cell r="G227">
            <v>-0.26845483104804846</v>
          </cell>
        </row>
        <row r="228">
          <cell r="A228" t="str">
            <v>UT Martin</v>
          </cell>
          <cell r="B228">
            <v>1.4009433721796851</v>
          </cell>
          <cell r="C228">
            <v>-1.6718883883488782</v>
          </cell>
          <cell r="D228">
            <v>220</v>
          </cell>
          <cell r="E228">
            <v>-1.595067594335664</v>
          </cell>
          <cell r="F228">
            <v>226</v>
          </cell>
          <cell r="G228">
            <v>-0.26883652292129534</v>
          </cell>
        </row>
        <row r="229">
          <cell r="A229" t="str">
            <v>Eastern Michigan</v>
          </cell>
          <cell r="B229">
            <v>3.6803978199142771</v>
          </cell>
          <cell r="C229">
            <v>-1.7697074839116715</v>
          </cell>
          <cell r="D229">
            <v>225</v>
          </cell>
          <cell r="E229">
            <v>-1.6334548513160227</v>
          </cell>
          <cell r="F229">
            <v>227</v>
          </cell>
          <cell r="G229">
            <v>-0.27295361105514665</v>
          </cell>
        </row>
        <row r="230">
          <cell r="A230" t="str">
            <v>Denver</v>
          </cell>
          <cell r="B230">
            <v>0.36918564567312445</v>
          </cell>
          <cell r="C230">
            <v>-1.7557122498707152</v>
          </cell>
          <cell r="D230">
            <v>224</v>
          </cell>
          <cell r="E230">
            <v>-1.7025898024821191</v>
          </cell>
          <cell r="F230">
            <v>228</v>
          </cell>
          <cell r="G230">
            <v>-0.28036843330269529</v>
          </cell>
        </row>
        <row r="231">
          <cell r="A231" t="str">
            <v>Long Beach State</v>
          </cell>
          <cell r="B231">
            <v>1.2208684660189704</v>
          </cell>
          <cell r="C231">
            <v>-1.8115656855693225</v>
          </cell>
          <cell r="D231">
            <v>227</v>
          </cell>
          <cell r="E231">
            <v>-1.735754831779615</v>
          </cell>
          <cell r="F231">
            <v>229</v>
          </cell>
          <cell r="G231">
            <v>-0.28392543005944237</v>
          </cell>
        </row>
        <row r="232">
          <cell r="A232" t="str">
            <v>La Salle</v>
          </cell>
          <cell r="B232">
            <v>4.492068858636137</v>
          </cell>
          <cell r="C232">
            <v>-2.1587495569001547</v>
          </cell>
          <cell r="D232">
            <v>230</v>
          </cell>
          <cell r="E232">
            <v>-1.9924790965117474</v>
          </cell>
          <cell r="F232">
            <v>230</v>
          </cell>
          <cell r="G232">
            <v>-0.31145947409236668</v>
          </cell>
        </row>
        <row r="233">
          <cell r="A233" t="str">
            <v>Monmouth</v>
          </cell>
          <cell r="B233">
            <v>6.6832992405279015</v>
          </cell>
          <cell r="C233">
            <v>-2.3493348496364468</v>
          </cell>
          <cell r="D233">
            <v>231</v>
          </cell>
          <cell r="E233">
            <v>-2.1235189973823378</v>
          </cell>
          <cell r="F233">
            <v>231</v>
          </cell>
          <cell r="G233">
            <v>-0.32551369060519042</v>
          </cell>
        </row>
        <row r="234">
          <cell r="A234" t="str">
            <v>Queens University</v>
          </cell>
          <cell r="B234">
            <v>6.4572474756565583</v>
          </cell>
          <cell r="C234">
            <v>-2.6667983832278397</v>
          </cell>
          <cell r="D234">
            <v>233</v>
          </cell>
          <cell r="E234">
            <v>-2.4386972367557296</v>
          </cell>
          <cell r="F234">
            <v>232</v>
          </cell>
          <cell r="G234">
            <v>-0.3593170068993527</v>
          </cell>
        </row>
        <row r="235">
          <cell r="A235" t="str">
            <v>Evansville</v>
          </cell>
          <cell r="B235">
            <v>4.3691824347942907</v>
          </cell>
          <cell r="C235">
            <v>-2.6435662216445328</v>
          </cell>
          <cell r="D235">
            <v>232</v>
          </cell>
          <cell r="E235">
            <v>-2.4682475052335624</v>
          </cell>
          <cell r="F235">
            <v>233</v>
          </cell>
          <cell r="G235">
            <v>-0.3624863153957753</v>
          </cell>
        </row>
        <row r="236">
          <cell r="A236" t="str">
            <v>Wofford</v>
          </cell>
          <cell r="B236">
            <v>8.0631803230915775</v>
          </cell>
          <cell r="C236">
            <v>-2.8178066292595791</v>
          </cell>
          <cell r="D236">
            <v>235</v>
          </cell>
          <cell r="E236">
            <v>-2.5457819554507997</v>
          </cell>
          <cell r="F236">
            <v>234</v>
          </cell>
          <cell r="G236">
            <v>-0.37080199591229168</v>
          </cell>
        </row>
        <row r="237">
          <cell r="A237" t="str">
            <v>Green Bay</v>
          </cell>
          <cell r="B237">
            <v>2.6830598195711364</v>
          </cell>
          <cell r="C237">
            <v>-2.7336168367013847</v>
          </cell>
          <cell r="D237">
            <v>234</v>
          </cell>
          <cell r="E237">
            <v>-2.5981999202945714</v>
          </cell>
          <cell r="F237">
            <v>235</v>
          </cell>
          <cell r="G237">
            <v>-0.3764238975024301</v>
          </cell>
        </row>
        <row r="238">
          <cell r="A238" t="str">
            <v>Brown</v>
          </cell>
          <cell r="B238">
            <v>9.5482789765623082</v>
          </cell>
          <cell r="C238">
            <v>-2.96206576077397</v>
          </cell>
          <cell r="D238">
            <v>238</v>
          </cell>
          <cell r="E238">
            <v>-2.6493071423405627</v>
          </cell>
          <cell r="F238">
            <v>236</v>
          </cell>
          <cell r="G238">
            <v>-0.38190522005557104</v>
          </cell>
        </row>
        <row r="239">
          <cell r="A239" t="str">
            <v>Harvard</v>
          </cell>
          <cell r="B239">
            <v>5.4378845535956453</v>
          </cell>
          <cell r="C239">
            <v>-2.8827901439190819</v>
          </cell>
          <cell r="D239">
            <v>236</v>
          </cell>
          <cell r="E239">
            <v>-2.6747732764812135</v>
          </cell>
          <cell r="F239">
            <v>237</v>
          </cell>
          <cell r="G239">
            <v>-0.38463649931158006</v>
          </cell>
        </row>
        <row r="240">
          <cell r="A240" t="str">
            <v>Omaha</v>
          </cell>
          <cell r="B240">
            <v>9.0740641308806893</v>
          </cell>
          <cell r="C240">
            <v>-3.0143909341164248</v>
          </cell>
          <cell r="D240">
            <v>239</v>
          </cell>
          <cell r="E240">
            <v>-2.7121795574914964</v>
          </cell>
          <cell r="F240">
            <v>238</v>
          </cell>
          <cell r="G240">
            <v>-0.38864837637166127</v>
          </cell>
        </row>
        <row r="241">
          <cell r="A241" t="str">
            <v>Milwaukee</v>
          </cell>
          <cell r="B241">
            <v>6.5120857155422751</v>
          </cell>
          <cell r="C241">
            <v>-3.0965302185417065</v>
          </cell>
          <cell r="D241">
            <v>240</v>
          </cell>
          <cell r="E241">
            <v>-2.8563148201896067</v>
          </cell>
          <cell r="F241">
            <v>239</v>
          </cell>
          <cell r="G241">
            <v>-0.4041070891426094</v>
          </cell>
        </row>
        <row r="242">
          <cell r="A242" t="str">
            <v>Tulane</v>
          </cell>
          <cell r="B242">
            <v>9.7375892223179346</v>
          </cell>
          <cell r="C242">
            <v>-3.2079611122651128</v>
          </cell>
          <cell r="D242">
            <v>241</v>
          </cell>
          <cell r="E242">
            <v>-2.884322353900536</v>
          </cell>
          <cell r="F242">
            <v>240</v>
          </cell>
          <cell r="G242">
            <v>-0.40711093713202706</v>
          </cell>
        </row>
        <row r="243">
          <cell r="A243" t="str">
            <v>Lindenwood</v>
          </cell>
          <cell r="B243">
            <v>-1.2050091767509699</v>
          </cell>
          <cell r="C243">
            <v>-2.9426712703927587</v>
          </cell>
          <cell r="D243">
            <v>237</v>
          </cell>
          <cell r="E243">
            <v>-2.8992297180517137</v>
          </cell>
          <cell r="F243">
            <v>241</v>
          </cell>
          <cell r="G243">
            <v>-0.40870977322717233</v>
          </cell>
        </row>
        <row r="244">
          <cell r="A244" t="str">
            <v>Presbyterian</v>
          </cell>
          <cell r="B244">
            <v>6.7546360380526451</v>
          </cell>
          <cell r="C244">
            <v>-3.2567733652066453</v>
          </cell>
          <cell r="D244">
            <v>242</v>
          </cell>
          <cell r="E244">
            <v>-3.0064881301251627</v>
          </cell>
          <cell r="F244">
            <v>242</v>
          </cell>
          <cell r="G244">
            <v>-0.42021339110300238</v>
          </cell>
        </row>
        <row r="245">
          <cell r="A245" t="str">
            <v>Dartmouth</v>
          </cell>
          <cell r="B245">
            <v>8.6555887772307827</v>
          </cell>
          <cell r="C245">
            <v>-3.3594663114876724</v>
          </cell>
          <cell r="D245">
            <v>243</v>
          </cell>
          <cell r="E245">
            <v>-3.0590899342697111</v>
          </cell>
          <cell r="F245">
            <v>243</v>
          </cell>
          <cell r="G245">
            <v>-0.42585500972069895</v>
          </cell>
        </row>
        <row r="246">
          <cell r="A246" t="str">
            <v>Chattanooga</v>
          </cell>
          <cell r="B246">
            <v>11.016449731589821</v>
          </cell>
          <cell r="C246">
            <v>-3.4969558038219142</v>
          </cell>
          <cell r="D246">
            <v>245</v>
          </cell>
          <cell r="E246">
            <v>-3.1341206654366207</v>
          </cell>
          <cell r="F246">
            <v>244</v>
          </cell>
          <cell r="G246">
            <v>-0.43390216279338473</v>
          </cell>
        </row>
        <row r="247">
          <cell r="A247" t="str">
            <v>Georgia Southern</v>
          </cell>
          <cell r="B247">
            <v>6.2416733937474866</v>
          </cell>
          <cell r="C247">
            <v>-3.4934173969236419</v>
          </cell>
          <cell r="D247">
            <v>244</v>
          </cell>
          <cell r="E247">
            <v>-3.2500401271568635</v>
          </cell>
          <cell r="F247">
            <v>245</v>
          </cell>
          <cell r="G247">
            <v>-0.44633469061309949</v>
          </cell>
        </row>
        <row r="248">
          <cell r="A248" t="str">
            <v>Western Michigan</v>
          </cell>
          <cell r="B248">
            <v>2.3269731455630396</v>
          </cell>
          <cell r="C248">
            <v>-3.5666678458183001</v>
          </cell>
          <cell r="D248">
            <v>246</v>
          </cell>
          <cell r="E248">
            <v>-3.4193268210337662</v>
          </cell>
          <cell r="F248">
            <v>246</v>
          </cell>
          <cell r="G248">
            <v>-0.46449093029795469</v>
          </cell>
        </row>
        <row r="249">
          <cell r="A249" t="str">
            <v>Central Michigan</v>
          </cell>
          <cell r="B249">
            <v>2.7315809547352998</v>
          </cell>
          <cell r="C249">
            <v>-3.620409688625204</v>
          </cell>
          <cell r="D249">
            <v>247</v>
          </cell>
          <cell r="E249">
            <v>-3.4616099225411912</v>
          </cell>
          <cell r="F249">
            <v>247</v>
          </cell>
          <cell r="G249">
            <v>-0.46902585332117885</v>
          </cell>
        </row>
        <row r="250">
          <cell r="A250" t="str">
            <v>UC Riverside</v>
          </cell>
          <cell r="B250">
            <v>4.4307067015422144</v>
          </cell>
          <cell r="C250">
            <v>-3.6779026717843193</v>
          </cell>
          <cell r="D250">
            <v>249</v>
          </cell>
          <cell r="E250">
            <v>-3.4751874374511558</v>
          </cell>
          <cell r="F250">
            <v>248</v>
          </cell>
          <cell r="G250">
            <v>-0.47048206118598174</v>
          </cell>
        </row>
        <row r="251">
          <cell r="A251" t="str">
            <v>Stony Brook</v>
          </cell>
          <cell r="B251">
            <v>2.9610672296415865</v>
          </cell>
          <cell r="C251">
            <v>-3.6568762081326711</v>
          </cell>
          <cell r="D251">
            <v>248</v>
          </cell>
          <cell r="E251">
            <v>-3.4914276221883145</v>
          </cell>
          <cell r="F251">
            <v>249</v>
          </cell>
          <cell r="G251">
            <v>-0.47222384419243935</v>
          </cell>
        </row>
        <row r="252">
          <cell r="A252" t="str">
            <v>South Alabama</v>
          </cell>
          <cell r="B252">
            <v>6.7567986142480976</v>
          </cell>
          <cell r="C252">
            <v>-3.7859764257675304</v>
          </cell>
          <cell r="D252">
            <v>251</v>
          </cell>
          <cell r="E252">
            <v>-3.5224070497671391</v>
          </cell>
          <cell r="F252">
            <v>250</v>
          </cell>
          <cell r="G252">
            <v>-0.47554643204349484</v>
          </cell>
        </row>
        <row r="253">
          <cell r="A253" t="str">
            <v>South Carolina Upstate</v>
          </cell>
          <cell r="B253">
            <v>0.78178503883038497</v>
          </cell>
          <cell r="C253">
            <v>-3.6996646148171046</v>
          </cell>
          <cell r="D253">
            <v>250</v>
          </cell>
          <cell r="E253">
            <v>-3.5876283734759173</v>
          </cell>
          <cell r="F253">
            <v>251</v>
          </cell>
          <cell r="G253">
            <v>-0.48254151215700442</v>
          </cell>
        </row>
        <row r="254">
          <cell r="A254" t="str">
            <v>Appalachian State</v>
          </cell>
          <cell r="B254">
            <v>4.5618817241180807</v>
          </cell>
          <cell r="C254">
            <v>-3.8153943623500686</v>
          </cell>
          <cell r="D254">
            <v>252</v>
          </cell>
          <cell r="E254">
            <v>-3.6059624601883646</v>
          </cell>
          <cell r="F254">
            <v>252</v>
          </cell>
          <cell r="G254">
            <v>-0.48450786914071492</v>
          </cell>
        </row>
        <row r="255">
          <cell r="A255" t="str">
            <v>Florida Gulf Coast</v>
          </cell>
          <cell r="B255">
            <v>9.6741628903046966</v>
          </cell>
          <cell r="C255">
            <v>-3.9529246167204115</v>
          </cell>
          <cell r="D255">
            <v>255</v>
          </cell>
          <cell r="E255">
            <v>-3.6122474290447832</v>
          </cell>
          <cell r="F255">
            <v>253</v>
          </cell>
          <cell r="G255">
            <v>-0.48518194102643541</v>
          </cell>
        </row>
        <row r="256">
          <cell r="A256" t="str">
            <v>Charleston Southern</v>
          </cell>
          <cell r="B256">
            <v>4.1236566887513826</v>
          </cell>
          <cell r="C256">
            <v>-3.896586246208114</v>
          </cell>
          <cell r="D256">
            <v>253</v>
          </cell>
          <cell r="E256">
            <v>-3.6960801728341268</v>
          </cell>
          <cell r="F256">
            <v>254</v>
          </cell>
          <cell r="G256">
            <v>-0.49417312252345941</v>
          </cell>
        </row>
        <row r="257">
          <cell r="A257" t="str">
            <v>Longwood</v>
          </cell>
          <cell r="B257">
            <v>5.3803672043579747</v>
          </cell>
          <cell r="C257">
            <v>-3.9908951960383199</v>
          </cell>
          <cell r="D257">
            <v>256</v>
          </cell>
          <cell r="E257">
            <v>-3.7566136360284124</v>
          </cell>
          <cell r="F257">
            <v>255</v>
          </cell>
          <cell r="G257">
            <v>-0.50066542290182825</v>
          </cell>
        </row>
        <row r="258">
          <cell r="A258" t="str">
            <v>Loyola Chicago</v>
          </cell>
          <cell r="B258">
            <v>15.024806730033681</v>
          </cell>
          <cell r="C258">
            <v>-4.3447321029925297</v>
          </cell>
          <cell r="D258">
            <v>260</v>
          </cell>
          <cell r="E258">
            <v>-3.8604936321668744</v>
          </cell>
          <cell r="F258">
            <v>256</v>
          </cell>
          <cell r="G258">
            <v>-0.51180670084375079</v>
          </cell>
        </row>
        <row r="259">
          <cell r="A259" t="str">
            <v>Oral Roberts</v>
          </cell>
          <cell r="B259">
            <v>-2.1033887741303108</v>
          </cell>
          <cell r="C259">
            <v>-3.9070085855560164</v>
          </cell>
          <cell r="D259">
            <v>254</v>
          </cell>
          <cell r="E259">
            <v>-3.8619180902703736</v>
          </cell>
          <cell r="F259">
            <v>257</v>
          </cell>
          <cell r="G259">
            <v>-0.51195947600968894</v>
          </cell>
        </row>
        <row r="260">
          <cell r="A260" t="str">
            <v>UNC Greensboro</v>
          </cell>
          <cell r="B260">
            <v>4.4980816898088696</v>
          </cell>
          <cell r="C260">
            <v>-4.2859892981864895</v>
          </cell>
          <cell r="D260">
            <v>259</v>
          </cell>
          <cell r="E260">
            <v>-4.0663875234866058</v>
          </cell>
          <cell r="F260">
            <v>258</v>
          </cell>
          <cell r="G260">
            <v>-0.53388911473486778</v>
          </cell>
        </row>
        <row r="261">
          <cell r="A261" t="str">
            <v>Southern Miss</v>
          </cell>
          <cell r="B261">
            <v>-4.4342206108279685</v>
          </cell>
          <cell r="C261">
            <v>-4.091183383429426</v>
          </cell>
          <cell r="D261">
            <v>257</v>
          </cell>
          <cell r="E261">
            <v>-4.0997593141143893</v>
          </cell>
          <cell r="F261">
            <v>259</v>
          </cell>
          <cell r="G261">
            <v>-0.53746828693957405</v>
          </cell>
        </row>
        <row r="262">
          <cell r="A262" t="str">
            <v>Morehead State</v>
          </cell>
          <cell r="B262">
            <v>-3.065989073727394</v>
          </cell>
          <cell r="C262">
            <v>-4.1713987804354486</v>
          </cell>
          <cell r="D262">
            <v>258</v>
          </cell>
          <cell r="E262">
            <v>-4.1437635377677466</v>
          </cell>
          <cell r="F262">
            <v>260</v>
          </cell>
          <cell r="G262">
            <v>-0.54218780277096768</v>
          </cell>
        </row>
        <row r="263">
          <cell r="A263" t="str">
            <v>SIU Edwardsville</v>
          </cell>
          <cell r="B263">
            <v>4.7016091695836062</v>
          </cell>
          <cell r="C263">
            <v>-4.3794286905290232</v>
          </cell>
          <cell r="D263">
            <v>261</v>
          </cell>
          <cell r="E263">
            <v>-4.1524027440262072</v>
          </cell>
          <cell r="F263">
            <v>261</v>
          </cell>
          <cell r="G263">
            <v>-0.54311436998025808</v>
          </cell>
        </row>
        <row r="264">
          <cell r="A264" t="str">
            <v>Ball State</v>
          </cell>
          <cell r="B264">
            <v>3.6347613551576479</v>
          </cell>
          <cell r="C264">
            <v>-4.5536495942740558</v>
          </cell>
          <cell r="D264">
            <v>262</v>
          </cell>
          <cell r="E264">
            <v>-4.3489393205382632</v>
          </cell>
          <cell r="F264">
            <v>262</v>
          </cell>
          <cell r="G264">
            <v>-0.56419319849461558</v>
          </cell>
        </row>
        <row r="265">
          <cell r="A265" t="str">
            <v>Princeton</v>
          </cell>
          <cell r="B265">
            <v>8.2694461687289547</v>
          </cell>
          <cell r="C265">
            <v>-4.6897201253130758</v>
          </cell>
          <cell r="D265">
            <v>263</v>
          </cell>
          <cell r="E265">
            <v>-4.3657409679620249</v>
          </cell>
          <cell r="F265">
            <v>263</v>
          </cell>
          <cell r="G265">
            <v>-0.56599519917606356</v>
          </cell>
        </row>
        <row r="266">
          <cell r="A266" t="str">
            <v>James Madison</v>
          </cell>
          <cell r="B266">
            <v>8.8451157148218069</v>
          </cell>
          <cell r="C266">
            <v>-4.8077538558455437</v>
          </cell>
          <cell r="D266">
            <v>264</v>
          </cell>
          <cell r="E266">
            <v>-4.4664321165788596</v>
          </cell>
          <cell r="F266">
            <v>264</v>
          </cell>
          <cell r="G266">
            <v>-0.57679446866714346</v>
          </cell>
        </row>
        <row r="267">
          <cell r="A267" t="str">
            <v>East Texas A&amp;M</v>
          </cell>
          <cell r="B267">
            <v>4.8856332906904045</v>
          </cell>
          <cell r="C267">
            <v>-4.810406328897721</v>
          </cell>
          <cell r="D267">
            <v>265</v>
          </cell>
          <cell r="E267">
            <v>-4.5680053384080175</v>
          </cell>
          <cell r="F267">
            <v>265</v>
          </cell>
          <cell r="G267">
            <v>-0.58768834176997675</v>
          </cell>
        </row>
        <row r="268">
          <cell r="A268" t="str">
            <v>Eastern Kentucky</v>
          </cell>
          <cell r="B268">
            <v>6.5461546417398955</v>
          </cell>
          <cell r="C268">
            <v>-4.956027974635548</v>
          </cell>
          <cell r="D268">
            <v>267</v>
          </cell>
          <cell r="E268">
            <v>-4.6684734092261619</v>
          </cell>
          <cell r="F268">
            <v>266</v>
          </cell>
          <cell r="G268">
            <v>-0.59846368584855891</v>
          </cell>
        </row>
        <row r="269">
          <cell r="A269" t="str">
            <v>East Carolina</v>
          </cell>
          <cell r="B269">
            <v>6.4240099894635714</v>
          </cell>
          <cell r="C269">
            <v>-4.9984024943155791</v>
          </cell>
          <cell r="D269">
            <v>269</v>
          </cell>
          <cell r="E269">
            <v>-4.7128421822211006</v>
          </cell>
          <cell r="F269">
            <v>267</v>
          </cell>
          <cell r="G269">
            <v>-0.6032223001174678</v>
          </cell>
        </row>
        <row r="270">
          <cell r="A270" t="str">
            <v>Hampton</v>
          </cell>
          <cell r="B270">
            <v>5.2323842532796263</v>
          </cell>
          <cell r="C270">
            <v>-4.9889093862371912</v>
          </cell>
          <cell r="D270">
            <v>268</v>
          </cell>
          <cell r="E270">
            <v>-4.7333770452492701</v>
          </cell>
          <cell r="F270">
            <v>268</v>
          </cell>
          <cell r="G270">
            <v>-0.60542469350407513</v>
          </cell>
        </row>
        <row r="271">
          <cell r="A271" t="str">
            <v>IU Indianapolis</v>
          </cell>
          <cell r="B271">
            <v>-0.74560873374708347</v>
          </cell>
          <cell r="C271">
            <v>-4.882742446618507</v>
          </cell>
          <cell r="D271">
            <v>266</v>
          </cell>
          <cell r="E271">
            <v>-4.7793141037967208</v>
          </cell>
          <cell r="F271">
            <v>269</v>
          </cell>
          <cell r="G271">
            <v>-0.61035150863823584</v>
          </cell>
        </row>
        <row r="272">
          <cell r="A272" t="str">
            <v>Drexel</v>
          </cell>
          <cell r="B272">
            <v>8.5961475241484617</v>
          </cell>
          <cell r="C272">
            <v>-5.2205657696400785</v>
          </cell>
          <cell r="D272">
            <v>271</v>
          </cell>
          <cell r="E272">
            <v>-4.875147937295365</v>
          </cell>
          <cell r="F272">
            <v>270</v>
          </cell>
          <cell r="G272">
            <v>-0.62062982414592194</v>
          </cell>
        </row>
        <row r="273">
          <cell r="A273" t="str">
            <v>Northwestern State</v>
          </cell>
          <cell r="B273">
            <v>-0.82523048766766471</v>
          </cell>
          <cell r="C273">
            <v>-5.0364201438162057</v>
          </cell>
          <cell r="D273">
            <v>270</v>
          </cell>
          <cell r="E273">
            <v>-4.9311404024124919</v>
          </cell>
          <cell r="F273">
            <v>271</v>
          </cell>
          <cell r="G273">
            <v>-0.62663509599529532</v>
          </cell>
        </row>
        <row r="274">
          <cell r="A274" t="str">
            <v>South Dakota</v>
          </cell>
          <cell r="B274">
            <v>4.4454792532084602</v>
          </cell>
          <cell r="C274">
            <v>-5.2900389564385151</v>
          </cell>
          <cell r="D274">
            <v>273</v>
          </cell>
          <cell r="E274">
            <v>-5.0466510011973398</v>
          </cell>
          <cell r="F274">
            <v>272</v>
          </cell>
          <cell r="G274">
            <v>-0.63902377268127197</v>
          </cell>
        </row>
        <row r="275">
          <cell r="A275" t="str">
            <v>Bellarmine</v>
          </cell>
          <cell r="B275">
            <v>3.9185400106471415</v>
          </cell>
          <cell r="C275">
            <v>-5.2788435155245192</v>
          </cell>
          <cell r="D275">
            <v>272</v>
          </cell>
          <cell r="E275">
            <v>-5.0489089273702277</v>
          </cell>
          <cell r="F275">
            <v>273</v>
          </cell>
          <cell r="G275">
            <v>-0.63926593848796831</v>
          </cell>
        </row>
        <row r="276">
          <cell r="A276" t="str">
            <v>Texas State</v>
          </cell>
          <cell r="B276">
            <v>5.4098942948285957</v>
          </cell>
          <cell r="C276">
            <v>-5.3399228070427318</v>
          </cell>
          <cell r="D276">
            <v>274</v>
          </cell>
          <cell r="E276">
            <v>-5.071177379495948</v>
          </cell>
          <cell r="F276">
            <v>274</v>
          </cell>
          <cell r="G276">
            <v>-0.64165426178111085</v>
          </cell>
        </row>
        <row r="277">
          <cell r="A277" t="str">
            <v>Old Dominion</v>
          </cell>
          <cell r="B277">
            <v>1.8325836044662163</v>
          </cell>
          <cell r="C277">
            <v>-5.3757592869926345</v>
          </cell>
          <cell r="D277">
            <v>275</v>
          </cell>
          <cell r="E277">
            <v>-5.1955507147061626</v>
          </cell>
          <cell r="F277">
            <v>275</v>
          </cell>
          <cell r="G277">
            <v>-0.65499347960601284</v>
          </cell>
        </row>
        <row r="278">
          <cell r="A278" t="str">
            <v>Long Island University</v>
          </cell>
          <cell r="B278">
            <v>3.698218370419375</v>
          </cell>
          <cell r="C278">
            <v>-5.5388583830476925</v>
          </cell>
          <cell r="D278">
            <v>276</v>
          </cell>
          <cell r="E278">
            <v>-5.3079314642110162</v>
          </cell>
          <cell r="F278">
            <v>276</v>
          </cell>
          <cell r="G278">
            <v>-0.66704647548682006</v>
          </cell>
        </row>
        <row r="279">
          <cell r="A279" t="str">
            <v>Eastern Illinois</v>
          </cell>
          <cell r="B279">
            <v>-2.2167706150566584</v>
          </cell>
          <cell r="C279">
            <v>-5.5492235587087446</v>
          </cell>
          <cell r="D279">
            <v>277</v>
          </cell>
          <cell r="E279">
            <v>-5.4659122351174423</v>
          </cell>
          <cell r="F279">
            <v>277</v>
          </cell>
          <cell r="G279">
            <v>-0.68399013878655346</v>
          </cell>
        </row>
        <row r="280">
          <cell r="A280" t="str">
            <v>Navy</v>
          </cell>
          <cell r="B280">
            <v>7.3002255705591983</v>
          </cell>
          <cell r="C280">
            <v>-6.0155584211549593</v>
          </cell>
          <cell r="D280">
            <v>279</v>
          </cell>
          <cell r="E280">
            <v>-5.6826638213621052</v>
          </cell>
          <cell r="F280">
            <v>278</v>
          </cell>
          <cell r="G280">
            <v>-0.70723705596477127</v>
          </cell>
        </row>
        <row r="281">
          <cell r="A281" t="str">
            <v>Colgate</v>
          </cell>
          <cell r="B281">
            <v>8.5784130605395497</v>
          </cell>
          <cell r="C281">
            <v>-6.1345066901688003</v>
          </cell>
          <cell r="D281">
            <v>282</v>
          </cell>
          <cell r="E281">
            <v>-5.766683696401091</v>
          </cell>
          <cell r="F281">
            <v>279</v>
          </cell>
          <cell r="G281">
            <v>-0.71624830755557067</v>
          </cell>
        </row>
        <row r="282">
          <cell r="A282" t="str">
            <v>American University</v>
          </cell>
          <cell r="B282">
            <v>4.8701876704307425</v>
          </cell>
          <cell r="C282">
            <v>-6.044502475288299</v>
          </cell>
          <cell r="D282">
            <v>280</v>
          </cell>
          <cell r="E282">
            <v>-5.7716352216453224</v>
          </cell>
          <cell r="F282">
            <v>280</v>
          </cell>
          <cell r="G282">
            <v>-0.71677936570952838</v>
          </cell>
        </row>
        <row r="283">
          <cell r="A283" t="str">
            <v>Northern Illinois</v>
          </cell>
          <cell r="B283">
            <v>-3.0895367418586686</v>
          </cell>
          <cell r="C283">
            <v>-5.892842360214229</v>
          </cell>
          <cell r="D283">
            <v>278</v>
          </cell>
          <cell r="E283">
            <v>-5.8227597197553402</v>
          </cell>
          <cell r="F283">
            <v>281</v>
          </cell>
          <cell r="G283">
            <v>-0.72226254114520894</v>
          </cell>
        </row>
        <row r="284">
          <cell r="A284" t="str">
            <v>Houston Christian</v>
          </cell>
          <cell r="B284">
            <v>1.8325836044662163</v>
          </cell>
          <cell r="C284">
            <v>-6.0929588360127962</v>
          </cell>
          <cell r="D284">
            <v>281</v>
          </cell>
          <cell r="E284">
            <v>-5.8948202750008205</v>
          </cell>
          <cell r="F284">
            <v>282</v>
          </cell>
          <cell r="G284">
            <v>-0.72999113860846887</v>
          </cell>
        </row>
        <row r="285">
          <cell r="A285" t="str">
            <v>Coastal Carolina</v>
          </cell>
          <cell r="B285">
            <v>0.85877308709267797</v>
          </cell>
          <cell r="C285">
            <v>-6.1663553660720973</v>
          </cell>
          <cell r="D285">
            <v>283</v>
          </cell>
          <cell r="E285">
            <v>-5.9907271547429781</v>
          </cell>
          <cell r="F285">
            <v>283</v>
          </cell>
          <cell r="G285">
            <v>-0.74027728843009277</v>
          </cell>
        </row>
        <row r="286">
          <cell r="A286" t="str">
            <v>Delaware</v>
          </cell>
          <cell r="B286">
            <v>5.7926239410891469</v>
          </cell>
          <cell r="C286">
            <v>-6.3005410824707395</v>
          </cell>
          <cell r="D286">
            <v>285</v>
          </cell>
          <cell r="E286">
            <v>-5.9982119568817422</v>
          </cell>
          <cell r="F286">
            <v>284</v>
          </cell>
          <cell r="G286">
            <v>-0.74108004414888495</v>
          </cell>
        </row>
        <row r="287">
          <cell r="A287" t="str">
            <v>North Carolina A&amp;T</v>
          </cell>
          <cell r="B287">
            <v>0.91757829662251011</v>
          </cell>
          <cell r="C287">
            <v>-6.1837991559069927</v>
          </cell>
          <cell r="D287">
            <v>284</v>
          </cell>
          <cell r="E287">
            <v>-6.0062647195937551</v>
          </cell>
          <cell r="F287">
            <v>285</v>
          </cell>
          <cell r="G287">
            <v>-0.74194371445029028</v>
          </cell>
        </row>
        <row r="288">
          <cell r="A288" t="str">
            <v>Little Rock</v>
          </cell>
          <cell r="B288">
            <v>3.6928467732351073</v>
          </cell>
          <cell r="C288">
            <v>-6.3844640107357469</v>
          </cell>
          <cell r="D288">
            <v>287</v>
          </cell>
          <cell r="E288">
            <v>-6.1325312411364754</v>
          </cell>
          <cell r="F288">
            <v>286</v>
          </cell>
          <cell r="G288">
            <v>-0.7554859792131049</v>
          </cell>
        </row>
        <row r="289">
          <cell r="A289" t="str">
            <v>Tennessee Tech</v>
          </cell>
          <cell r="B289">
            <v>0.86894268247047002</v>
          </cell>
          <cell r="C289">
            <v>-6.3337119837322664</v>
          </cell>
          <cell r="D289">
            <v>286</v>
          </cell>
          <cell r="E289">
            <v>-6.1536456170771983</v>
          </cell>
          <cell r="F289">
            <v>287</v>
          </cell>
          <cell r="G289">
            <v>-0.75775052618721417</v>
          </cell>
        </row>
        <row r="290">
          <cell r="A290" t="str">
            <v>Jacksonville</v>
          </cell>
          <cell r="B290">
            <v>5.9439659336500501</v>
          </cell>
          <cell r="C290">
            <v>-6.4694779173808659</v>
          </cell>
          <cell r="D290">
            <v>289</v>
          </cell>
          <cell r="E290">
            <v>-6.1591418211050932</v>
          </cell>
          <cell r="F290">
            <v>288</v>
          </cell>
          <cell r="G290">
            <v>-0.75834000191860207</v>
          </cell>
        </row>
        <row r="291">
          <cell r="A291" t="str">
            <v>Cleveland State</v>
          </cell>
          <cell r="B291">
            <v>3.552663213005014</v>
          </cell>
          <cell r="C291">
            <v>-6.4649208146005419</v>
          </cell>
          <cell r="D291">
            <v>288</v>
          </cell>
          <cell r="E291">
            <v>-6.2144812139104033</v>
          </cell>
          <cell r="F291">
            <v>289</v>
          </cell>
          <cell r="G291">
            <v>-0.76427523082984883</v>
          </cell>
        </row>
        <row r="292">
          <cell r="A292" t="str">
            <v>Northeastern</v>
          </cell>
          <cell r="B292">
            <v>6.431044722121281</v>
          </cell>
          <cell r="C292">
            <v>-6.7479094182361568</v>
          </cell>
          <cell r="D292">
            <v>290</v>
          </cell>
          <cell r="E292">
            <v>-6.4184355647272202</v>
          </cell>
          <cell r="F292">
            <v>290</v>
          </cell>
          <cell r="G292">
            <v>-0.78614962623207607</v>
          </cell>
        </row>
        <row r="293">
          <cell r="A293" t="str">
            <v>SE Louisiana</v>
          </cell>
          <cell r="B293">
            <v>4.51471306531253</v>
          </cell>
          <cell r="C293">
            <v>-7.0645716301208994</v>
          </cell>
          <cell r="D293">
            <v>291</v>
          </cell>
          <cell r="E293">
            <v>-6.7750895127350637</v>
          </cell>
          <cell r="F293">
            <v>291</v>
          </cell>
          <cell r="G293">
            <v>-0.82440127151075915</v>
          </cell>
        </row>
        <row r="294">
          <cell r="A294" t="str">
            <v>Howard</v>
          </cell>
          <cell r="B294">
            <v>1.29155653018701</v>
          </cell>
          <cell r="C294">
            <v>-7.4342085587322773</v>
          </cell>
          <cell r="D294">
            <v>292</v>
          </cell>
          <cell r="E294">
            <v>-7.2160644315092952</v>
          </cell>
          <cell r="F294">
            <v>292</v>
          </cell>
          <cell r="G294">
            <v>-0.87169646132701495</v>
          </cell>
        </row>
        <row r="295">
          <cell r="A295" t="str">
            <v>Southern</v>
          </cell>
          <cell r="B295">
            <v>6.1234177691279479</v>
          </cell>
          <cell r="C295">
            <v>-7.6014098388280926</v>
          </cell>
          <cell r="D295">
            <v>294</v>
          </cell>
          <cell r="E295">
            <v>-7.2582891486291912</v>
          </cell>
          <cell r="F295">
            <v>293</v>
          </cell>
          <cell r="G295">
            <v>-0.87622512254129514</v>
          </cell>
        </row>
        <row r="296">
          <cell r="A296" t="str">
            <v>CSU Bakersfield</v>
          </cell>
          <cell r="B296">
            <v>2.5410484218929725</v>
          </cell>
          <cell r="C296">
            <v>-7.563161106653614</v>
          </cell>
          <cell r="D296">
            <v>293</v>
          </cell>
          <cell r="E296">
            <v>-7.3105558684399492</v>
          </cell>
          <cell r="F296">
            <v>294</v>
          </cell>
          <cell r="G296">
            <v>-0.88183080288564242</v>
          </cell>
        </row>
        <row r="297">
          <cell r="A297" t="str">
            <v>The Citadel</v>
          </cell>
          <cell r="B297">
            <v>-4.3037084260011351</v>
          </cell>
          <cell r="C297">
            <v>-7.6118317084886797</v>
          </cell>
          <cell r="D297">
            <v>295</v>
          </cell>
          <cell r="E297">
            <v>-7.5291286264264903</v>
          </cell>
          <cell r="F297">
            <v>295</v>
          </cell>
          <cell r="G297">
            <v>-0.90527304333408054</v>
          </cell>
        </row>
        <row r="298">
          <cell r="A298" t="str">
            <v>UMBC</v>
          </cell>
          <cell r="B298">
            <v>3.041554422080345</v>
          </cell>
          <cell r="C298">
            <v>-8.9822237213089444</v>
          </cell>
          <cell r="D298">
            <v>301</v>
          </cell>
          <cell r="E298">
            <v>-7.6816292677242117</v>
          </cell>
          <cell r="F298">
            <v>296</v>
          </cell>
          <cell r="G298">
            <v>-0.92162895490684071</v>
          </cell>
        </row>
        <row r="299">
          <cell r="A299" t="str">
            <v>Vermont</v>
          </cell>
          <cell r="B299">
            <v>6.6626892702945142</v>
          </cell>
          <cell r="C299">
            <v>-8.6715044971427222</v>
          </cell>
          <cell r="D299">
            <v>299</v>
          </cell>
          <cell r="E299">
            <v>-8.2881496529567915</v>
          </cell>
          <cell r="F299">
            <v>297</v>
          </cell>
          <cell r="G299">
            <v>-0.98667913242428307</v>
          </cell>
        </row>
        <row r="300">
          <cell r="A300" t="str">
            <v>Air Force</v>
          </cell>
          <cell r="B300">
            <v>4.2467002733750787</v>
          </cell>
          <cell r="C300">
            <v>-8.6164189225390153</v>
          </cell>
          <cell r="D300">
            <v>298</v>
          </cell>
          <cell r="E300">
            <v>-8.294840942641164</v>
          </cell>
          <cell r="F300">
            <v>298</v>
          </cell>
          <cell r="G300">
            <v>-0.98739678279908805</v>
          </cell>
        </row>
        <row r="301">
          <cell r="A301" t="str">
            <v>Le Moyne</v>
          </cell>
          <cell r="B301">
            <v>2.9215894335795198</v>
          </cell>
          <cell r="C301">
            <v>-8.6096619085969373</v>
          </cell>
          <cell r="D301">
            <v>297</v>
          </cell>
          <cell r="E301">
            <v>-8.3213806250425257</v>
          </cell>
          <cell r="F301">
            <v>299</v>
          </cell>
          <cell r="G301">
            <v>-0.99024320163924484</v>
          </cell>
        </row>
        <row r="302">
          <cell r="A302" t="str">
            <v>West Georgia</v>
          </cell>
          <cell r="B302">
            <v>1.3899251097547758</v>
          </cell>
          <cell r="C302">
            <v>-8.5987119919664128</v>
          </cell>
          <cell r="D302">
            <v>296</v>
          </cell>
          <cell r="E302">
            <v>-8.3489960644233836</v>
          </cell>
          <cell r="F302">
            <v>300</v>
          </cell>
          <cell r="G302">
            <v>-0.99320499695179332</v>
          </cell>
        </row>
        <row r="303">
          <cell r="A303" t="str">
            <v>Albany</v>
          </cell>
          <cell r="B303">
            <v>4.3879801597093353</v>
          </cell>
          <cell r="C303">
            <v>-8.9203033101351128</v>
          </cell>
          <cell r="D303">
            <v>300</v>
          </cell>
          <cell r="E303">
            <v>-8.5875962233890011</v>
          </cell>
          <cell r="F303">
            <v>301</v>
          </cell>
          <cell r="G303">
            <v>-1.0187952047573423</v>
          </cell>
        </row>
        <row r="304">
          <cell r="A304" t="str">
            <v>Marist</v>
          </cell>
          <cell r="B304">
            <v>8.0528738547149157</v>
          </cell>
          <cell r="C304">
            <v>-9.1096288144822193</v>
          </cell>
          <cell r="D304">
            <v>302</v>
          </cell>
          <cell r="E304">
            <v>-8.6805662477522905</v>
          </cell>
          <cell r="F304">
            <v>302</v>
          </cell>
          <cell r="G304">
            <v>-1.0287663726453167</v>
          </cell>
        </row>
        <row r="305">
          <cell r="A305" t="str">
            <v>UTSA</v>
          </cell>
          <cell r="B305">
            <v>7.437046694316864</v>
          </cell>
          <cell r="C305">
            <v>-9.1976452631555468</v>
          </cell>
          <cell r="D305">
            <v>305</v>
          </cell>
          <cell r="E305">
            <v>-8.7817779642187368</v>
          </cell>
          <cell r="F305">
            <v>303</v>
          </cell>
          <cell r="G305">
            <v>-1.0396214737817158</v>
          </cell>
        </row>
        <row r="306">
          <cell r="A306" t="str">
            <v>Louisiana</v>
          </cell>
          <cell r="B306">
            <v>1.3462760774168561</v>
          </cell>
          <cell r="C306">
            <v>-9.1252706122710965</v>
          </cell>
          <cell r="D306">
            <v>303</v>
          </cell>
          <cell r="E306">
            <v>-8.863481945028898</v>
          </cell>
          <cell r="F306">
            <v>304</v>
          </cell>
          <cell r="G306">
            <v>-1.0483843424090324</v>
          </cell>
        </row>
        <row r="307">
          <cell r="A307" t="str">
            <v>Mercyhurst</v>
          </cell>
          <cell r="B307">
            <v>0.12893557395795002</v>
          </cell>
          <cell r="C307">
            <v>-9.1441524020689204</v>
          </cell>
          <cell r="D307">
            <v>304</v>
          </cell>
          <cell r="E307">
            <v>-8.9123252026682493</v>
          </cell>
          <cell r="F307">
            <v>305</v>
          </cell>
          <cell r="G307">
            <v>-1.0536228515462838</v>
          </cell>
        </row>
        <row r="308">
          <cell r="A308" t="str">
            <v>Georgia State</v>
          </cell>
          <cell r="B308">
            <v>4.2236427966317782</v>
          </cell>
          <cell r="C308">
            <v>-9.3137909214907264</v>
          </cell>
          <cell r="D308">
            <v>306</v>
          </cell>
          <cell r="E308">
            <v>-8.9753550785376639</v>
          </cell>
          <cell r="F308">
            <v>306</v>
          </cell>
          <cell r="G308">
            <v>-1.0603828957493084</v>
          </cell>
        </row>
        <row r="309">
          <cell r="A309" t="str">
            <v>Norfolk State</v>
          </cell>
          <cell r="B309">
            <v>5.436743031004343</v>
          </cell>
          <cell r="C309">
            <v>-9.7438372471462671</v>
          </cell>
          <cell r="D309">
            <v>307</v>
          </cell>
          <cell r="E309">
            <v>-9.3643227401925024</v>
          </cell>
          <cell r="F309">
            <v>307</v>
          </cell>
          <cell r="G309">
            <v>-1.102100232965417</v>
          </cell>
        </row>
        <row r="310">
          <cell r="A310" t="str">
            <v>Siena</v>
          </cell>
          <cell r="B310">
            <v>9.4070441913861114</v>
          </cell>
          <cell r="C310">
            <v>-9.9558356713254206</v>
          </cell>
          <cell r="D310">
            <v>309</v>
          </cell>
          <cell r="E310">
            <v>-9.4717636747576321</v>
          </cell>
          <cell r="F310">
            <v>308</v>
          </cell>
          <cell r="G310">
            <v>-1.1136234266391491</v>
          </cell>
        </row>
        <row r="311">
          <cell r="A311" t="str">
            <v>Saint Peter's</v>
          </cell>
          <cell r="B311">
            <v>4.0669347086210985</v>
          </cell>
          <cell r="C311">
            <v>-9.919236147101385</v>
          </cell>
          <cell r="D311">
            <v>308</v>
          </cell>
          <cell r="E311">
            <v>-9.5695818757083231</v>
          </cell>
          <cell r="F311">
            <v>309</v>
          </cell>
          <cell r="G311">
            <v>-1.1241145683900389</v>
          </cell>
        </row>
        <row r="312">
          <cell r="A312" t="str">
            <v>Quinnipiac</v>
          </cell>
          <cell r="B312">
            <v>5.6548105336735999</v>
          </cell>
          <cell r="C312">
            <v>-9.9620809505983825</v>
          </cell>
          <cell r="D312">
            <v>310</v>
          </cell>
          <cell r="E312">
            <v>-9.571658663491581</v>
          </cell>
          <cell r="F312">
            <v>310</v>
          </cell>
          <cell r="G312">
            <v>-1.1243373068457549</v>
          </cell>
        </row>
        <row r="313">
          <cell r="A313" t="str">
            <v>Merrimack</v>
          </cell>
          <cell r="B313">
            <v>7.051953563983175</v>
          </cell>
          <cell r="C313">
            <v>-10.121706867000922</v>
          </cell>
          <cell r="D313">
            <v>312</v>
          </cell>
          <cell r="E313">
            <v>-9.6923653562263183</v>
          </cell>
          <cell r="F313">
            <v>311</v>
          </cell>
          <cell r="G313">
            <v>-1.1372832720286514</v>
          </cell>
        </row>
        <row r="314">
          <cell r="A314" t="str">
            <v>Boston University</v>
          </cell>
          <cell r="B314">
            <v>7.3510399785875897</v>
          </cell>
          <cell r="C314">
            <v>-10.191759359707179</v>
          </cell>
          <cell r="D314">
            <v>313</v>
          </cell>
          <cell r="E314">
            <v>-9.753189376249809</v>
          </cell>
          <cell r="F314">
            <v>312</v>
          </cell>
          <cell r="G314">
            <v>-1.1438067350419108</v>
          </cell>
        </row>
        <row r="315">
          <cell r="A315" t="str">
            <v>North Florida</v>
          </cell>
          <cell r="B315">
            <v>2.865313312896669</v>
          </cell>
          <cell r="C315">
            <v>-10.119272776799315</v>
          </cell>
          <cell r="D315">
            <v>311</v>
          </cell>
          <cell r="E315">
            <v>-9.794658124556916</v>
          </cell>
          <cell r="F315">
            <v>313</v>
          </cell>
          <cell r="G315">
            <v>-1.1482543175213835</v>
          </cell>
        </row>
        <row r="316">
          <cell r="A316" t="str">
            <v>Lehigh Mountain</v>
          </cell>
          <cell r="B316">
            <v>3.6949409526490777</v>
          </cell>
          <cell r="C316">
            <v>-10.259181462133553</v>
          </cell>
          <cell r="D316">
            <v>314</v>
          </cell>
          <cell r="E316">
            <v>-9.9103284017639872</v>
          </cell>
          <cell r="F316">
            <v>314</v>
          </cell>
          <cell r="G316">
            <v>-1.1606601199461881</v>
          </cell>
        </row>
        <row r="317">
          <cell r="A317" t="str">
            <v>VMI</v>
          </cell>
          <cell r="B317">
            <v>2.3097739189960778</v>
          </cell>
          <cell r="C317">
            <v>-10.352734975458645</v>
          </cell>
          <cell r="D317">
            <v>316</v>
          </cell>
          <cell r="E317">
            <v>-10.036172253097277</v>
          </cell>
          <cell r="F317">
            <v>315</v>
          </cell>
          <cell r="G317">
            <v>-1.1741570527254055</v>
          </cell>
        </row>
        <row r="318">
          <cell r="A318" t="str">
            <v>Stetson</v>
          </cell>
          <cell r="B318">
            <v>-0.67774691316149105</v>
          </cell>
          <cell r="C318">
            <v>-10.290228691318859</v>
          </cell>
          <cell r="D318">
            <v>315</v>
          </cell>
          <cell r="E318">
            <v>-10.049916646864924</v>
          </cell>
          <cell r="F318">
            <v>316</v>
          </cell>
          <cell r="G318">
            <v>-1.1756311585860224</v>
          </cell>
        </row>
        <row r="319">
          <cell r="A319" t="str">
            <v>Southern Indiana</v>
          </cell>
          <cell r="B319">
            <v>3.1110757061181658</v>
          </cell>
          <cell r="C319">
            <v>-10.520601043643216</v>
          </cell>
          <cell r="D319">
            <v>317</v>
          </cell>
          <cell r="E319">
            <v>-10.179809124899181</v>
          </cell>
          <cell r="F319">
            <v>317</v>
          </cell>
          <cell r="G319">
            <v>-1.1895623123609591</v>
          </cell>
        </row>
        <row r="320">
          <cell r="A320" t="str">
            <v>Fairfield</v>
          </cell>
          <cell r="B320">
            <v>2.7841993056044969</v>
          </cell>
          <cell r="C320">
            <v>-10.666017456562498</v>
          </cell>
          <cell r="D320">
            <v>318</v>
          </cell>
          <cell r="E320">
            <v>-10.329762037508322</v>
          </cell>
          <cell r="F320">
            <v>318</v>
          </cell>
          <cell r="G320">
            <v>-1.2056449763933339</v>
          </cell>
        </row>
        <row r="321">
          <cell r="A321" t="str">
            <v>Kansas City</v>
          </cell>
          <cell r="B321">
            <v>0.25734278902593138</v>
          </cell>
          <cell r="C321">
            <v>-10.692149396296404</v>
          </cell>
          <cell r="D321">
            <v>319</v>
          </cell>
          <cell r="E321">
            <v>-10.418412091663347</v>
          </cell>
          <cell r="F321">
            <v>319</v>
          </cell>
          <cell r="G321">
            <v>-1.2151528213069125</v>
          </cell>
        </row>
        <row r="322">
          <cell r="A322" t="str">
            <v>Central Connecticut</v>
          </cell>
          <cell r="B322">
            <v>6.4606220782581207</v>
          </cell>
          <cell r="C322">
            <v>-11.059784241131229</v>
          </cell>
          <cell r="D322">
            <v>320</v>
          </cell>
          <cell r="E322">
            <v>-10.621774083146494</v>
          </cell>
          <cell r="F322">
            <v>320</v>
          </cell>
          <cell r="G322">
            <v>-1.2369636853246264</v>
          </cell>
        </row>
        <row r="323">
          <cell r="A323" t="str">
            <v>UMass Lowell</v>
          </cell>
          <cell r="B323">
            <v>2.5368504732789625</v>
          </cell>
          <cell r="C323">
            <v>-11.060213443972033</v>
          </cell>
          <cell r="D323">
            <v>321</v>
          </cell>
          <cell r="E323">
            <v>-10.720286846040757</v>
          </cell>
          <cell r="F323">
            <v>321</v>
          </cell>
          <cell r="G323">
            <v>-1.2475293198359021</v>
          </cell>
        </row>
        <row r="324">
          <cell r="A324" t="str">
            <v>Iona</v>
          </cell>
          <cell r="B324">
            <v>6.0918722633607372</v>
          </cell>
          <cell r="C324">
            <v>-11.163487759637459</v>
          </cell>
          <cell r="D324">
            <v>322</v>
          </cell>
          <cell r="E324">
            <v>-10.732103759062504</v>
          </cell>
          <cell r="F324">
            <v>322</v>
          </cell>
          <cell r="G324">
            <v>-1.2487967006337923</v>
          </cell>
        </row>
        <row r="325">
          <cell r="A325" t="str">
            <v>Wagner</v>
          </cell>
          <cell r="B325">
            <v>-3.2143612197228788</v>
          </cell>
          <cell r="C325">
            <v>-11.193684681179041</v>
          </cell>
          <cell r="D325">
            <v>323</v>
          </cell>
          <cell r="E325">
            <v>-10.994201594642638</v>
          </cell>
          <cell r="F325">
            <v>323</v>
          </cell>
          <cell r="G325">
            <v>-1.2769070678144225</v>
          </cell>
        </row>
        <row r="326">
          <cell r="A326" t="str">
            <v>Loyola (MD)</v>
          </cell>
          <cell r="B326">
            <v>4.7301769467469432</v>
          </cell>
          <cell r="C326">
            <v>-11.551015547812234</v>
          </cell>
          <cell r="D326">
            <v>324</v>
          </cell>
          <cell r="E326">
            <v>-11.143985735448254</v>
          </cell>
          <cell r="F326">
            <v>324</v>
          </cell>
          <cell r="G326">
            <v>-1.2929716308298382</v>
          </cell>
        </row>
        <row r="327">
          <cell r="A327" t="str">
            <v>Prairie View A&amp;M</v>
          </cell>
          <cell r="B327">
            <v>0.35459686654895983</v>
          </cell>
          <cell r="C327">
            <v>-11.774656879862048</v>
          </cell>
          <cell r="D327">
            <v>325</v>
          </cell>
          <cell r="E327">
            <v>-11.471425536201773</v>
          </cell>
          <cell r="F327">
            <v>325</v>
          </cell>
          <cell r="G327">
            <v>-1.3280900170933509</v>
          </cell>
        </row>
        <row r="328">
          <cell r="A328" t="str">
            <v>North Alabama</v>
          </cell>
          <cell r="B328">
            <v>7.6133101191911416</v>
          </cell>
          <cell r="C328">
            <v>-12.088945369898122</v>
          </cell>
          <cell r="D328">
            <v>326</v>
          </cell>
          <cell r="E328">
            <v>-11.596388982670891</v>
          </cell>
          <cell r="F328">
            <v>326</v>
          </cell>
          <cell r="G328">
            <v>-1.341492525193537</v>
          </cell>
        </row>
        <row r="329">
          <cell r="A329" t="str">
            <v>Fairleigh Dickinson</v>
          </cell>
          <cell r="B329">
            <v>0.40152395020027842</v>
          </cell>
          <cell r="C329">
            <v>-12.117927836426784</v>
          </cell>
          <cell r="D329">
            <v>327</v>
          </cell>
          <cell r="E329">
            <v>-11.804941541761107</v>
          </cell>
          <cell r="F329">
            <v>327</v>
          </cell>
          <cell r="G329">
            <v>-1.3638600850000109</v>
          </cell>
        </row>
        <row r="330">
          <cell r="A330" t="str">
            <v>Gardner-Webb</v>
          </cell>
          <cell r="B330">
            <v>3.34020568035772</v>
          </cell>
          <cell r="C330">
            <v>-12.218168844354617</v>
          </cell>
          <cell r="D330">
            <v>328</v>
          </cell>
          <cell r="E330">
            <v>-11.829209481236807</v>
          </cell>
          <cell r="F330">
            <v>328</v>
          </cell>
          <cell r="G330">
            <v>-1.366462856167004</v>
          </cell>
        </row>
        <row r="331">
          <cell r="A331" t="str">
            <v>Bethune-Cookman</v>
          </cell>
          <cell r="B331">
            <v>6.8601819199753917</v>
          </cell>
          <cell r="C331">
            <v>-12.552829963680356</v>
          </cell>
          <cell r="D331">
            <v>331</v>
          </cell>
          <cell r="E331">
            <v>-12.067504666588961</v>
          </cell>
          <cell r="F331">
            <v>329</v>
          </cell>
          <cell r="G331">
            <v>-1.3920203551169614</v>
          </cell>
        </row>
        <row r="332">
          <cell r="A332" t="str">
            <v>Western Illinois</v>
          </cell>
          <cell r="B332">
            <v>-2.5397040187127153</v>
          </cell>
          <cell r="C332">
            <v>-12.437979809080421</v>
          </cell>
          <cell r="D332">
            <v>329</v>
          </cell>
          <cell r="E332">
            <v>-12.190522914321228</v>
          </cell>
          <cell r="F332">
            <v>330</v>
          </cell>
          <cell r="G332">
            <v>-1.4052142378745871</v>
          </cell>
        </row>
        <row r="333">
          <cell r="A333" t="str">
            <v>Mount St. Mary's</v>
          </cell>
          <cell r="B333">
            <v>5.2742780940604961</v>
          </cell>
          <cell r="C333">
            <v>-12.68262145717077</v>
          </cell>
          <cell r="D333">
            <v>332</v>
          </cell>
          <cell r="E333">
            <v>-12.233698968389987</v>
          </cell>
          <cell r="F333">
            <v>331</v>
          </cell>
          <cell r="G333">
            <v>-1.4098449313352834</v>
          </cell>
        </row>
        <row r="334">
          <cell r="A334" t="str">
            <v>New Haven</v>
          </cell>
          <cell r="B334">
            <v>-5.2930000000000001</v>
          </cell>
          <cell r="C334">
            <v>-12.469326415573722</v>
          </cell>
          <cell r="D334">
            <v>330</v>
          </cell>
          <cell r="E334">
            <v>-12.289918255184379</v>
          </cell>
          <cell r="F334">
            <v>332</v>
          </cell>
          <cell r="G334">
            <v>-1.4158745301334783</v>
          </cell>
        </row>
        <row r="335">
          <cell r="A335" t="str">
            <v>North Carolina Central</v>
          </cell>
          <cell r="B335">
            <v>2.8651439119599189</v>
          </cell>
          <cell r="C335">
            <v>-12.734962315333142</v>
          </cell>
          <cell r="D335">
            <v>333</v>
          </cell>
          <cell r="E335">
            <v>-12.344959659650815</v>
          </cell>
          <cell r="F335">
            <v>333</v>
          </cell>
          <cell r="G335">
            <v>-1.4217777993698093</v>
          </cell>
        </row>
        <row r="336">
          <cell r="A336" t="str">
            <v>Army</v>
          </cell>
          <cell r="B336">
            <v>0.66986875819249847</v>
          </cell>
          <cell r="C336">
            <v>-12.86488482965829</v>
          </cell>
          <cell r="D336">
            <v>335</v>
          </cell>
          <cell r="E336">
            <v>-12.526515989962022</v>
          </cell>
          <cell r="F336">
            <v>334</v>
          </cell>
          <cell r="G336">
            <v>-1.4412499750851078</v>
          </cell>
        </row>
        <row r="337">
          <cell r="A337" t="str">
            <v>Chicago State</v>
          </cell>
          <cell r="B337">
            <v>-0.49518354088141603</v>
          </cell>
          <cell r="C337">
            <v>-12.853375463104154</v>
          </cell>
          <cell r="D337">
            <v>334</v>
          </cell>
          <cell r="E337">
            <v>-12.544420665048586</v>
          </cell>
          <cell r="F337">
            <v>335</v>
          </cell>
          <cell r="G337">
            <v>-1.4431702770586787</v>
          </cell>
        </row>
        <row r="338">
          <cell r="A338" t="str">
            <v>NJIT</v>
          </cell>
          <cell r="B338">
            <v>-0.69529800022591692</v>
          </cell>
          <cell r="C338">
            <v>-13.016223051631201</v>
          </cell>
          <cell r="D338">
            <v>336</v>
          </cell>
          <cell r="E338">
            <v>-12.708199925346069</v>
          </cell>
          <cell r="F338">
            <v>336</v>
          </cell>
          <cell r="G338">
            <v>-1.4607358366267076</v>
          </cell>
        </row>
        <row r="339">
          <cell r="A339" t="str">
            <v>Arkansas-Pine Bluff</v>
          </cell>
          <cell r="B339">
            <v>-4.6035883704208791</v>
          </cell>
          <cell r="C339">
            <v>-13.021142412701693</v>
          </cell>
          <cell r="D339">
            <v>337</v>
          </cell>
          <cell r="E339">
            <v>-12.810703561644672</v>
          </cell>
          <cell r="F339">
            <v>337</v>
          </cell>
          <cell r="G339">
            <v>-1.471729498010159</v>
          </cell>
        </row>
        <row r="340">
          <cell r="A340" t="str">
            <v>Bucknell</v>
          </cell>
          <cell r="B340">
            <v>7.7294375300092817</v>
          </cell>
          <cell r="C340">
            <v>-13.491944716230217</v>
          </cell>
          <cell r="D340">
            <v>340</v>
          </cell>
          <cell r="E340">
            <v>-12.961410160074228</v>
          </cell>
          <cell r="F340">
            <v>338</v>
          </cell>
          <cell r="G340">
            <v>-1.4878929959231488</v>
          </cell>
        </row>
        <row r="341">
          <cell r="A341" t="str">
            <v>Lafayette</v>
          </cell>
          <cell r="B341">
            <v>4.7436684030150609</v>
          </cell>
          <cell r="C341">
            <v>-13.422161244275548</v>
          </cell>
          <cell r="D341">
            <v>339</v>
          </cell>
          <cell r="E341">
            <v>-12.968015503093282</v>
          </cell>
          <cell r="F341">
            <v>339</v>
          </cell>
          <cell r="G341">
            <v>-1.4886014283953537</v>
          </cell>
        </row>
        <row r="342">
          <cell r="A342" t="str">
            <v>Grambling</v>
          </cell>
          <cell r="B342">
            <v>1.3566321282868876</v>
          </cell>
          <cell r="C342">
            <v>-13.406380129554003</v>
          </cell>
          <cell r="D342">
            <v>338</v>
          </cell>
          <cell r="E342">
            <v>-13.037304823107981</v>
          </cell>
          <cell r="F342">
            <v>340</v>
          </cell>
          <cell r="G342">
            <v>-1.4960328069223765</v>
          </cell>
        </row>
        <row r="343">
          <cell r="A343" t="str">
            <v>St. Francis (PA)</v>
          </cell>
          <cell r="B343">
            <v>0.63558395070084839</v>
          </cell>
          <cell r="C343">
            <v>-13.500181153880002</v>
          </cell>
          <cell r="D343">
            <v>341</v>
          </cell>
          <cell r="E343">
            <v>-13.14678702626548</v>
          </cell>
          <cell r="F343">
            <v>341</v>
          </cell>
          <cell r="G343">
            <v>-1.5077749295678753</v>
          </cell>
        </row>
        <row r="344">
          <cell r="A344" t="str">
            <v>Alabama State</v>
          </cell>
          <cell r="B344">
            <v>3.1129567794137207</v>
          </cell>
          <cell r="C344">
            <v>-13.855365757196211</v>
          </cell>
          <cell r="D344">
            <v>343</v>
          </cell>
          <cell r="E344">
            <v>-13.431157693780962</v>
          </cell>
          <cell r="F344">
            <v>342</v>
          </cell>
          <cell r="G344">
            <v>-1.5382740897824856</v>
          </cell>
        </row>
        <row r="345">
          <cell r="A345" t="str">
            <v>Texas Southern</v>
          </cell>
          <cell r="B345">
            <v>1.0954485835368148</v>
          </cell>
          <cell r="C345">
            <v>-13.805517887160406</v>
          </cell>
          <cell r="D345">
            <v>342</v>
          </cell>
          <cell r="E345">
            <v>-13.432993725392976</v>
          </cell>
          <cell r="F345">
            <v>343</v>
          </cell>
          <cell r="G345">
            <v>-1.538471006795</v>
          </cell>
        </row>
        <row r="346">
          <cell r="A346" t="str">
            <v>Morgan State</v>
          </cell>
          <cell r="B346">
            <v>0.79234271298094627</v>
          </cell>
          <cell r="C346">
            <v>-13.8958097037907</v>
          </cell>
          <cell r="D346">
            <v>344</v>
          </cell>
          <cell r="E346">
            <v>-13.528605893371408</v>
          </cell>
          <cell r="F346">
            <v>344</v>
          </cell>
          <cell r="G346">
            <v>-1.5487255483590721</v>
          </cell>
        </row>
        <row r="347">
          <cell r="A347" t="str">
            <v>New Hampshire</v>
          </cell>
          <cell r="B347">
            <v>-2.3238898054954618</v>
          </cell>
          <cell r="C347">
            <v>-13.928624682236594</v>
          </cell>
          <cell r="D347">
            <v>345</v>
          </cell>
          <cell r="E347">
            <v>-13.638506310318064</v>
          </cell>
          <cell r="F347">
            <v>345</v>
          </cell>
          <cell r="G347">
            <v>-1.5605125250307292</v>
          </cell>
        </row>
        <row r="348">
          <cell r="A348" t="str">
            <v>Holy Cross</v>
          </cell>
          <cell r="B348">
            <v>3.9101987006149983</v>
          </cell>
          <cell r="C348">
            <v>-14.190787167665709</v>
          </cell>
          <cell r="D348">
            <v>347</v>
          </cell>
          <cell r="E348">
            <v>-13.738262520958692</v>
          </cell>
          <cell r="F348">
            <v>346</v>
          </cell>
          <cell r="G348">
            <v>-1.5712115210886306</v>
          </cell>
        </row>
        <row r="349">
          <cell r="A349" t="str">
            <v>Alabama A&amp;M</v>
          </cell>
          <cell r="B349">
            <v>-9.9882025662743068E-2</v>
          </cell>
          <cell r="C349">
            <v>-14.120790603004338</v>
          </cell>
          <cell r="D349">
            <v>346</v>
          </cell>
          <cell r="E349">
            <v>-13.770267888570798</v>
          </cell>
          <cell r="F349">
            <v>347</v>
          </cell>
          <cell r="G349">
            <v>-1.5746441424734505</v>
          </cell>
        </row>
        <row r="350">
          <cell r="A350" t="str">
            <v>Stonehill</v>
          </cell>
          <cell r="B350">
            <v>4.0222593156715423</v>
          </cell>
          <cell r="C350">
            <v>-14.84536714084536</v>
          </cell>
          <cell r="D350">
            <v>348</v>
          </cell>
          <cell r="E350">
            <v>-14.373676479432438</v>
          </cell>
          <cell r="F350">
            <v>348</v>
          </cell>
          <cell r="G350">
            <v>-1.6393605756005047</v>
          </cell>
        </row>
        <row r="351">
          <cell r="A351" t="str">
            <v>Sacred Heart</v>
          </cell>
          <cell r="B351">
            <v>9.1931430242842236</v>
          </cell>
          <cell r="C351">
            <v>-15.065805405030648</v>
          </cell>
          <cell r="D351">
            <v>350</v>
          </cell>
          <cell r="E351">
            <v>-14.459331694297775</v>
          </cell>
          <cell r="F351">
            <v>349</v>
          </cell>
          <cell r="G351">
            <v>-1.6485472197231885</v>
          </cell>
        </row>
        <row r="352">
          <cell r="A352" t="str">
            <v>Florida A&amp;M</v>
          </cell>
          <cell r="B352">
            <v>3.0005176972413556</v>
          </cell>
          <cell r="C352">
            <v>-14.996423992548719</v>
          </cell>
          <cell r="D352">
            <v>349</v>
          </cell>
          <cell r="E352">
            <v>-14.546500450303967</v>
          </cell>
          <cell r="F352">
            <v>350</v>
          </cell>
          <cell r="G352">
            <v>-1.6578961932947907</v>
          </cell>
        </row>
        <row r="353">
          <cell r="A353" t="str">
            <v>South Carolina State</v>
          </cell>
          <cell r="B353">
            <v>4.3558095170739604</v>
          </cell>
          <cell r="C353">
            <v>-15.209456925872791</v>
          </cell>
          <cell r="D353">
            <v>351</v>
          </cell>
          <cell r="E353">
            <v>-14.720325264799122</v>
          </cell>
          <cell r="F353">
            <v>351</v>
          </cell>
          <cell r="G353">
            <v>-1.6765391528970641</v>
          </cell>
        </row>
        <row r="354">
          <cell r="A354" t="str">
            <v>Maryland-Eastern Shore</v>
          </cell>
          <cell r="B354">
            <v>-7.46150564686896</v>
          </cell>
          <cell r="C354">
            <v>-15.421621174732085</v>
          </cell>
          <cell r="D354">
            <v>352</v>
          </cell>
          <cell r="E354">
            <v>-15.222618286535507</v>
          </cell>
          <cell r="F354">
            <v>352</v>
          </cell>
          <cell r="G354">
            <v>-1.7304107968273748</v>
          </cell>
        </row>
        <row r="355">
          <cell r="A355" t="str">
            <v>Bryant</v>
          </cell>
          <cell r="B355">
            <v>4.5913220131176402</v>
          </cell>
          <cell r="C355">
            <v>-15.808001830761757</v>
          </cell>
          <cell r="D355">
            <v>353</v>
          </cell>
          <cell r="E355">
            <v>-15.298018734664771</v>
          </cell>
          <cell r="F355">
            <v>353</v>
          </cell>
          <cell r="G355">
            <v>-1.738497602572284</v>
          </cell>
        </row>
        <row r="356">
          <cell r="A356" t="str">
            <v>Maine</v>
          </cell>
          <cell r="B356">
            <v>4.6720520639147853</v>
          </cell>
          <cell r="C356">
            <v>-16.087140834311853</v>
          </cell>
          <cell r="D356">
            <v>354</v>
          </cell>
          <cell r="E356">
            <v>-15.568161011856187</v>
          </cell>
          <cell r="F356">
            <v>354</v>
          </cell>
          <cell r="G356">
            <v>-1.7674707476043823</v>
          </cell>
        </row>
        <row r="357">
          <cell r="A357" t="str">
            <v>Manhatten</v>
          </cell>
          <cell r="B357">
            <v>7.2105478827849216</v>
          </cell>
          <cell r="C357">
            <v>-16.287460335866456</v>
          </cell>
          <cell r="D357">
            <v>356</v>
          </cell>
          <cell r="E357">
            <v>-15.700010130400171</v>
          </cell>
          <cell r="F357">
            <v>355</v>
          </cell>
          <cell r="G357">
            <v>-1.7816117538683609</v>
          </cell>
        </row>
        <row r="358">
          <cell r="A358" t="str">
            <v>UL Monroe</v>
          </cell>
          <cell r="B358">
            <v>-1.7780745876225708</v>
          </cell>
          <cell r="C358">
            <v>-16.278319851199743</v>
          </cell>
          <cell r="D358">
            <v>355</v>
          </cell>
          <cell r="E358">
            <v>-15.915813719610314</v>
          </cell>
          <cell r="F358">
            <v>356</v>
          </cell>
          <cell r="G358">
            <v>-1.8047569970107458</v>
          </cell>
        </row>
        <row r="359">
          <cell r="A359" t="str">
            <v>Canisius</v>
          </cell>
          <cell r="B359">
            <v>1.1369916175008097</v>
          </cell>
          <cell r="C359">
            <v>-17.087399687059659</v>
          </cell>
          <cell r="D359">
            <v>357</v>
          </cell>
          <cell r="E359">
            <v>-16.631789904445647</v>
          </cell>
          <cell r="F359">
            <v>357</v>
          </cell>
          <cell r="G359">
            <v>-1.8815464653547316</v>
          </cell>
        </row>
        <row r="360">
          <cell r="A360" t="str">
            <v>Niagara</v>
          </cell>
          <cell r="B360">
            <v>1.7378405053987651</v>
          </cell>
          <cell r="C360">
            <v>-17.246400094202411</v>
          </cell>
          <cell r="D360">
            <v>358</v>
          </cell>
          <cell r="E360">
            <v>-16.771794079212381</v>
          </cell>
          <cell r="F360">
            <v>358</v>
          </cell>
          <cell r="G360">
            <v>-1.8965621130452321</v>
          </cell>
        </row>
        <row r="361">
          <cell r="A361" t="str">
            <v>Rider</v>
          </cell>
          <cell r="B361">
            <v>3.9136887287158708</v>
          </cell>
          <cell r="C361">
            <v>-18.156331796934094</v>
          </cell>
          <cell r="D361">
            <v>359</v>
          </cell>
          <cell r="E361">
            <v>-17.604581283792847</v>
          </cell>
          <cell r="F361">
            <v>359</v>
          </cell>
          <cell r="G361">
            <v>-1.9858797300803799</v>
          </cell>
        </row>
        <row r="362">
          <cell r="A362" t="str">
            <v>Jackson State</v>
          </cell>
          <cell r="B362">
            <v>5.3578616105493566</v>
          </cell>
          <cell r="C362">
            <v>-18.479214865409268</v>
          </cell>
          <cell r="D362">
            <v>360</v>
          </cell>
          <cell r="E362">
            <v>-17.883287953510305</v>
          </cell>
          <cell r="F362">
            <v>360</v>
          </cell>
          <cell r="G362">
            <v>-2.0157714184421218</v>
          </cell>
        </row>
        <row r="363">
          <cell r="A363" t="str">
            <v>Delaware State</v>
          </cell>
          <cell r="B363">
            <v>1.6756310890303849</v>
          </cell>
          <cell r="C363">
            <v>-20.195297608359439</v>
          </cell>
          <cell r="D363">
            <v>361</v>
          </cell>
          <cell r="E363">
            <v>-19.648524390924692</v>
          </cell>
          <cell r="F363">
            <v>361</v>
          </cell>
          <cell r="G363">
            <v>-2.2050955473747877</v>
          </cell>
        </row>
        <row r="364">
          <cell r="A364" t="str">
            <v>Binghamton</v>
          </cell>
          <cell r="B364">
            <v>-0.20716602569142617</v>
          </cell>
          <cell r="C364">
            <v>-20.380160796648809</v>
          </cell>
          <cell r="D364">
            <v>362</v>
          </cell>
          <cell r="E364">
            <v>-19.875835927374872</v>
          </cell>
          <cell r="F364">
            <v>362</v>
          </cell>
          <cell r="G364">
            <v>-2.2294750342937255</v>
          </cell>
        </row>
        <row r="365">
          <cell r="A365" t="str">
            <v>Alcorn State</v>
          </cell>
          <cell r="B365">
            <v>0.85539572328334845</v>
          </cell>
          <cell r="C365">
            <v>-20.422359635403325</v>
          </cell>
          <cell r="D365">
            <v>364</v>
          </cell>
          <cell r="E365">
            <v>-19.890415751436159</v>
          </cell>
          <cell r="F365">
            <v>363</v>
          </cell>
          <cell r="G365">
            <v>-2.2310387412464543</v>
          </cell>
        </row>
        <row r="366">
          <cell r="A366" t="str">
            <v>Coppin State</v>
          </cell>
          <cell r="B366">
            <v>-3.5837178026593812</v>
          </cell>
          <cell r="C366">
            <v>-20.419047107508835</v>
          </cell>
          <cell r="D366">
            <v>363</v>
          </cell>
          <cell r="E366">
            <v>-19.998163874887599</v>
          </cell>
          <cell r="F366">
            <v>364</v>
          </cell>
          <cell r="G366">
            <v>-2.2425948813669545</v>
          </cell>
        </row>
        <row r="367">
          <cell r="A367" t="str">
            <v>Mississippi Valley State</v>
          </cell>
          <cell r="B367">
            <v>-14.221982757359779</v>
          </cell>
          <cell r="C367">
            <v>-23.813634192219883</v>
          </cell>
          <cell r="D367">
            <v>365</v>
          </cell>
          <cell r="E367">
            <v>-23.573842906348382</v>
          </cell>
          <cell r="F367">
            <v>365</v>
          </cell>
          <cell r="G367">
            <v>-2.6260915640921798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A118F-D7F3-5348-BECB-A41992F5CAD2}">
  <dimension ref="A1:L37"/>
  <sheetViews>
    <sheetView tabSelected="1" workbookViewId="0">
      <selection activeCell="J12" sqref="J12"/>
    </sheetView>
  </sheetViews>
  <sheetFormatPr baseColWidth="10" defaultRowHeight="16" x14ac:dyDescent="0.2"/>
  <cols>
    <col min="1" max="1" width="10.83203125" style="1"/>
    <col min="2" max="2" width="17" style="1" bestFit="1" customWidth="1"/>
    <col min="3" max="3" width="13.33203125" style="1" bestFit="1" customWidth="1"/>
    <col min="4" max="4" width="13.33203125" style="1" customWidth="1"/>
    <col min="5" max="5" width="6.6640625" style="1" bestFit="1" customWidth="1"/>
    <col min="6" max="6" width="12.83203125" style="1" bestFit="1" customWidth="1"/>
    <col min="7" max="7" width="15.5" style="1" bestFit="1" customWidth="1"/>
    <col min="8" max="11" width="10.83203125" style="1"/>
  </cols>
  <sheetData>
    <row r="1" spans="1:12" x14ac:dyDescent="0.2">
      <c r="A1" s="1" t="s">
        <v>373</v>
      </c>
      <c r="B1" s="1" t="s">
        <v>0</v>
      </c>
      <c r="C1" s="1" t="s">
        <v>368</v>
      </c>
      <c r="D1" s="1" t="s">
        <v>402</v>
      </c>
      <c r="E1" s="1" t="s">
        <v>369</v>
      </c>
      <c r="F1" s="1" t="s">
        <v>403</v>
      </c>
      <c r="G1" s="1" t="s">
        <v>370</v>
      </c>
      <c r="H1" s="1" t="s">
        <v>371</v>
      </c>
      <c r="I1" s="1" t="s">
        <v>372</v>
      </c>
      <c r="J1" s="1" t="s">
        <v>392</v>
      </c>
      <c r="K1" s="1" t="s">
        <v>387</v>
      </c>
      <c r="L1" s="1" t="s">
        <v>442</v>
      </c>
    </row>
    <row r="2" spans="1:12" x14ac:dyDescent="0.2">
      <c r="A2" s="1">
        <v>1</v>
      </c>
      <c r="B2" s="6" t="str">
        <f>VLOOKUP(A2,[1]Games!$B$2:$K$398,2,FALSE)</f>
        <v>Michigan State</v>
      </c>
      <c r="C2" s="6" t="str">
        <f>VLOOKUP(A2,[1]Games!$B$2:$K$398,3,FALSE)</f>
        <v>Louisville</v>
      </c>
      <c r="D2" s="6" t="str">
        <f>B2</f>
        <v>Michigan State</v>
      </c>
      <c r="E2" s="5">
        <f>VLOOKUP(A2,[1]Games!$B$2:$K$398,4,FALSE)</f>
        <v>7.6237974976589857</v>
      </c>
      <c r="F2" s="5">
        <f>-VLOOKUP(A2,[2]Games!$A$2:$X$284,24,FALSE)</f>
        <v>5</v>
      </c>
      <c r="G2" s="7">
        <f>VLOOKUP(A2,[1]Games!$B$2:$K$398,9,FALSE)</f>
        <v>0.39498384438829071</v>
      </c>
      <c r="H2" s="7">
        <f>VLOOKUP(A2,[1]Games!$B$2:$K$398,7,FALSE)</f>
        <v>0</v>
      </c>
      <c r="I2" s="7">
        <f>VLOOKUP(A2,[1]Games!$B$2:$K$398,8,FALSE)/4</f>
        <v>1.9720872128491079E-2</v>
      </c>
      <c r="J2" s="8" t="s">
        <v>443</v>
      </c>
      <c r="K2" s="9">
        <f>IF(J2="Yes",(H2*1500)/100,0)</f>
        <v>0</v>
      </c>
      <c r="L2" s="1" t="s">
        <v>444</v>
      </c>
    </row>
    <row r="3" spans="1:12" x14ac:dyDescent="0.2">
      <c r="A3" s="1">
        <v>2</v>
      </c>
      <c r="B3" s="6" t="str">
        <f>VLOOKUP(A3,[1]Games!$B$2:$K$398,2,FALSE)</f>
        <v>Michigan</v>
      </c>
      <c r="C3" s="6" t="str">
        <f>VLOOKUP(A3,[1]Games!$B$2:$K$398,3,FALSE)</f>
        <v>Saint Louis</v>
      </c>
      <c r="D3" s="6" t="str">
        <f t="shared" ref="D3:D9" si="0">B3</f>
        <v>Michigan</v>
      </c>
      <c r="E3" s="5">
        <f>VLOOKUP(A3,[1]Games!$B$2:$K$398,4,FALSE)</f>
        <v>14.976006036963041</v>
      </c>
      <c r="F3" s="5">
        <f>-VLOOKUP(A3,[2]Games!$A$2:$X$284,24,FALSE)</f>
        <v>12.5</v>
      </c>
      <c r="G3" s="7">
        <f>VLOOKUP(A3,[1]Games!$B$2:$K$398,9,FALSE)</f>
        <v>0.58389146809910786</v>
      </c>
      <c r="H3" s="7">
        <f>VLOOKUP(A3,[1]Games!$B$2:$K$398,7,FALSE)</f>
        <v>0</v>
      </c>
      <c r="I3" s="7">
        <f>VLOOKUP(A3,[1]Games!$B$2:$K$398,8,FALSE)/4</f>
        <v>1.6113502052682332E-2</v>
      </c>
      <c r="J3" s="8" t="s">
        <v>443</v>
      </c>
      <c r="K3" s="9">
        <f t="shared" ref="K3:K9" si="1">IF(J3="Yes",(H3*1500)/100,0)</f>
        <v>0</v>
      </c>
    </row>
    <row r="4" spans="1:12" x14ac:dyDescent="0.2">
      <c r="A4" s="1">
        <v>3</v>
      </c>
      <c r="B4" s="6" t="str">
        <f>VLOOKUP(A4,[1]Games!$B$2:$K$398,2,FALSE)</f>
        <v>Duke</v>
      </c>
      <c r="C4" s="6" t="str">
        <f>VLOOKUP(A4,[1]Games!$B$2:$K$398,3,FALSE)</f>
        <v>TCU</v>
      </c>
      <c r="D4" s="6" t="str">
        <f t="shared" si="0"/>
        <v>Duke</v>
      </c>
      <c r="E4" s="5">
        <f>VLOOKUP(A4,[1]Games!$B$2:$K$398,4,FALSE)</f>
        <v>16.156515841644939</v>
      </c>
      <c r="F4" s="5">
        <f>-VLOOKUP(A4,[2]Games!$A$2:$X$284,24,FALSE)</f>
        <v>11.5</v>
      </c>
      <c r="G4" s="7">
        <f>VLOOKUP(A4,[1]Games!$B$2:$K$398,9,FALSE)</f>
        <v>0.68835260367062623</v>
      </c>
      <c r="H4" s="7">
        <f>VLOOKUP(A4,[1]Games!$B$2:$K$398,7,FALSE)</f>
        <v>0</v>
      </c>
      <c r="I4" s="7">
        <f>VLOOKUP(A4,[1]Games!$B$2:$K$398,8,FALSE)/4</f>
        <v>3.6432217816580577E-2</v>
      </c>
      <c r="J4" s="8" t="s">
        <v>443</v>
      </c>
      <c r="K4" s="9">
        <f t="shared" si="1"/>
        <v>0</v>
      </c>
    </row>
    <row r="5" spans="1:12" x14ac:dyDescent="0.2">
      <c r="A5" s="1">
        <v>4</v>
      </c>
      <c r="B5" s="6" t="str">
        <f>VLOOKUP(A5,[1]Games!$B$2:$K$398,2,FALSE)</f>
        <v>Illinois</v>
      </c>
      <c r="C5" s="6" t="str">
        <f>VLOOKUP(A5,[1]Games!$B$2:$K$398,3,FALSE)</f>
        <v>VCU</v>
      </c>
      <c r="D5" s="6" t="str">
        <f t="shared" si="0"/>
        <v>Illinois</v>
      </c>
      <c r="E5" s="5">
        <f>VLOOKUP(A5,[1]Games!$B$2:$K$398,4,FALSE)</f>
        <v>14.138979689921969</v>
      </c>
      <c r="F5" s="5">
        <f>-VLOOKUP(A5,[2]Games!$A$2:$X$284,24,FALSE)</f>
        <v>11</v>
      </c>
      <c r="G5" s="7">
        <f>VLOOKUP(A5,[1]Games!$B$2:$K$398,9,FALSE)</f>
        <v>0.59272854171055356</v>
      </c>
      <c r="H5" s="7">
        <f>VLOOKUP(A5,[1]Games!$B$2:$K$398,7,FALSE)</f>
        <v>0</v>
      </c>
      <c r="I5" s="7">
        <f>VLOOKUP(A5,[1]Games!$B$2:$K$398,8,FALSE)/4</f>
        <v>2.32080108365606E-2</v>
      </c>
      <c r="J5" s="8" t="s">
        <v>443</v>
      </c>
      <c r="K5" s="9">
        <f t="shared" si="1"/>
        <v>0</v>
      </c>
    </row>
    <row r="6" spans="1:12" x14ac:dyDescent="0.2">
      <c r="A6" s="1">
        <v>5</v>
      </c>
      <c r="B6" s="6" t="str">
        <f>VLOOKUP(A6,[1]Games!$B$2:$K$398,2,FALSE)</f>
        <v>Nebraska</v>
      </c>
      <c r="C6" s="6" t="str">
        <f>VLOOKUP(A6,[1]Games!$B$2:$K$398,3,FALSE)</f>
        <v>Vanderbilt</v>
      </c>
      <c r="D6" s="6" t="str">
        <f t="shared" si="0"/>
        <v>Nebraska</v>
      </c>
      <c r="E6" s="5">
        <f>VLOOKUP(A6,[1]Games!$B$2:$K$398,4,FALSE)</f>
        <v>-1.470916172407954</v>
      </c>
      <c r="F6" s="5">
        <f>-VLOOKUP(A6,[2]Games!$A$2:$X$284,24,FALSE)</f>
        <v>-2</v>
      </c>
      <c r="G6" s="7">
        <f>VLOOKUP(A6,[1]Games!$B$2:$K$398,9,FALSE)</f>
        <v>1.5691879196898632E-2</v>
      </c>
      <c r="H6" s="7">
        <f>VLOOKUP(A6,[1]Games!$B$2:$K$398,7,FALSE)</f>
        <v>0</v>
      </c>
      <c r="I6" s="7">
        <f>VLOOKUP(A6,[1]Games!$B$2:$K$398,8,FALSE)/4</f>
        <v>-5.0685448851996153E-3</v>
      </c>
      <c r="J6" s="8" t="s">
        <v>443</v>
      </c>
      <c r="K6" s="9">
        <f t="shared" si="1"/>
        <v>0</v>
      </c>
    </row>
    <row r="7" spans="1:12" x14ac:dyDescent="0.2">
      <c r="A7" s="1">
        <v>6</v>
      </c>
      <c r="B7" s="6" t="str">
        <f>VLOOKUP(A7,[1]Games!$B$2:$K$398,2,FALSE)</f>
        <v>Houston</v>
      </c>
      <c r="C7" s="6" t="str">
        <f>VLOOKUP(A7,[1]Games!$B$2:$K$398,3,FALSE)</f>
        <v>Texas A&amp;M</v>
      </c>
      <c r="D7" s="6" t="str">
        <f t="shared" si="0"/>
        <v>Houston</v>
      </c>
      <c r="E7" s="5">
        <f>VLOOKUP(A7,[1]Games!$B$2:$K$398,4,FALSE)</f>
        <v>12.49051257771263</v>
      </c>
      <c r="F7" s="5">
        <f>-VLOOKUP(A7,[2]Games!$A$2:$X$284,24,FALSE)</f>
        <v>10.5</v>
      </c>
      <c r="G7" s="7">
        <f>VLOOKUP(A7,[1]Games!$B$2:$K$398,9,FALSE)</f>
        <v>0.50131716872622811</v>
      </c>
      <c r="H7" s="7">
        <f>VLOOKUP(A7,[1]Games!$B$2:$K$398,7,FALSE)</f>
        <v>0</v>
      </c>
      <c r="I7" s="7">
        <f>VLOOKUP(A7,[1]Games!$B$2:$K$398,8,FALSE)/4</f>
        <v>1.1851731352758644E-2</v>
      </c>
      <c r="J7" s="8" t="s">
        <v>443</v>
      </c>
      <c r="K7" s="9">
        <f t="shared" si="1"/>
        <v>0</v>
      </c>
    </row>
    <row r="8" spans="1:12" x14ac:dyDescent="0.2">
      <c r="A8" s="1">
        <v>7</v>
      </c>
      <c r="B8" s="6" t="str">
        <f>VLOOKUP(A8,[1]Games!$B$2:$K$398,2,FALSE)</f>
        <v>Arkansas</v>
      </c>
      <c r="C8" s="6" t="str">
        <f>VLOOKUP(A8,[1]Games!$B$2:$K$398,3,FALSE)</f>
        <v>High Point</v>
      </c>
      <c r="D8" s="6" t="str">
        <f t="shared" si="0"/>
        <v>Arkansas</v>
      </c>
      <c r="E8" s="5">
        <f>VLOOKUP(A8,[1]Games!$B$2:$K$398,4,FALSE)</f>
        <v>14.409404039669781</v>
      </c>
      <c r="F8" s="5">
        <f>-VLOOKUP(A8,[2]Games!$A$2:$X$284,24,FALSE)</f>
        <v>11.5</v>
      </c>
      <c r="G8" s="7">
        <f>VLOOKUP(A8,[1]Games!$B$2:$K$398,9,FALSE)</f>
        <v>0.58925228425349863</v>
      </c>
      <c r="H8" s="7">
        <f>VLOOKUP(A8,[1]Games!$B$2:$K$398,7,FALSE)</f>
        <v>0</v>
      </c>
      <c r="I8" s="7">
        <f>VLOOKUP(A8,[1]Games!$B$2:$K$398,8,FALSE)/4</f>
        <v>2.0773826597078215E-2</v>
      </c>
      <c r="J8" s="8" t="s">
        <v>443</v>
      </c>
      <c r="K8" s="9">
        <f t="shared" si="1"/>
        <v>0</v>
      </c>
    </row>
    <row r="9" spans="1:12" x14ac:dyDescent="0.2">
      <c r="A9" s="1">
        <v>8</v>
      </c>
      <c r="B9" s="6" t="str">
        <f>VLOOKUP(A9,[1]Games!$B$2:$K$398,2,FALSE)</f>
        <v>Gonzaga</v>
      </c>
      <c r="C9" s="6" t="str">
        <f>VLOOKUP(A9,[1]Games!$B$2:$K$398,3,FALSE)</f>
        <v>Texas</v>
      </c>
      <c r="D9" s="6" t="str">
        <f t="shared" si="0"/>
        <v>Gonzaga</v>
      </c>
      <c r="E9" s="5">
        <f>VLOOKUP(A9,[1]Games!$B$2:$K$398,4,FALSE)</f>
        <v>8.8326972336325653</v>
      </c>
      <c r="F9" s="5">
        <f>-VLOOKUP(A9,[2]Games!$A$2:$X$284,24,FALSE)</f>
        <v>6.5</v>
      </c>
      <c r="G9" s="7">
        <f>VLOOKUP(A9,[1]Games!$B$2:$K$398,9,FALSE)</f>
        <v>0.41516446029663578</v>
      </c>
      <c r="H9" s="7">
        <f>VLOOKUP(A9,[1]Games!$B$2:$K$398,7,FALSE)</f>
        <v>0</v>
      </c>
      <c r="I9" s="7">
        <f>VLOOKUP(A9,[1]Games!$B$2:$K$398,8,FALSE)/4</f>
        <v>1.6298053686601782E-2</v>
      </c>
      <c r="J9" s="8" t="s">
        <v>443</v>
      </c>
      <c r="K9" s="9">
        <f t="shared" si="1"/>
        <v>0</v>
      </c>
    </row>
    <row r="10" spans="1:12" x14ac:dyDescent="0.2">
      <c r="A10" s="1">
        <v>9</v>
      </c>
      <c r="B10" s="6" t="str">
        <f>VLOOKUP(A10,[1]Games!$B$2:$K$398,2,FALSE)</f>
        <v>Alabama</v>
      </c>
      <c r="C10" s="6" t="str">
        <f>VLOOKUP(A10,[1]Games!$B$2:$K$398,3,FALSE)</f>
        <v>Texas Tech</v>
      </c>
      <c r="D10" s="6" t="str">
        <f t="shared" ref="D10:D13" si="2">B10</f>
        <v>Alabama</v>
      </c>
      <c r="E10" s="5">
        <f>VLOOKUP(A10,[1]Games!$B$2:$K$398,4,FALSE)</f>
        <v>4.1278919748299394</v>
      </c>
      <c r="F10" s="5">
        <f>-VLOOKUP(A10,[2]Games!$A$2:$X$284,24,FALSE)</f>
        <v>1</v>
      </c>
      <c r="G10" s="7">
        <f>VLOOKUP(A10,[1]Games!$B$2:$K$398,9,FALSE)</f>
        <v>0.31628008750747999</v>
      </c>
      <c r="H10" s="7">
        <f>VLOOKUP(A10,[1]Games!$B$2:$K$398,7,FALSE)</f>
        <v>0</v>
      </c>
      <c r="I10" s="7">
        <f>VLOOKUP(A10,[1]Games!$B$2:$K$398,8,FALSE)/4</f>
        <v>2.5623371857857451E-2</v>
      </c>
      <c r="J10" s="8" t="s">
        <v>443</v>
      </c>
      <c r="K10" s="9">
        <f t="shared" ref="K10:K13" si="3">IF(J10="Yes",(H10*1500)/100,0)</f>
        <v>0</v>
      </c>
    </row>
    <row r="11" spans="1:12" x14ac:dyDescent="0.2">
      <c r="A11" s="1">
        <v>10</v>
      </c>
      <c r="B11" s="6" t="str">
        <f>VLOOKUP(A11,[1]Games!$B$2:$K$398,2,FALSE)</f>
        <v>Florida</v>
      </c>
      <c r="C11" s="6" t="str">
        <f>VLOOKUP(A11,[1]Games!$B$2:$K$398,3,FALSE)</f>
        <v>Iowa</v>
      </c>
      <c r="D11" s="6" t="str">
        <f t="shared" si="2"/>
        <v>Florida</v>
      </c>
      <c r="E11" s="5">
        <f>VLOOKUP(A11,[1]Games!$B$2:$K$398,4,FALSE)</f>
        <v>11.194715824766851</v>
      </c>
      <c r="F11" s="5">
        <f>-VLOOKUP(A11,[2]Games!$A$2:$X$284,24,FALSE)</f>
        <v>10.5</v>
      </c>
      <c r="G11" s="7">
        <f>VLOOKUP(A11,[1]Games!$B$2:$K$398,9,FALSE)</f>
        <v>0.39463016781725752</v>
      </c>
      <c r="H11" s="7">
        <f>VLOOKUP(A11,[1]Games!$B$2:$K$398,7,FALSE)</f>
        <v>0</v>
      </c>
      <c r="I11" s="7">
        <f>VLOOKUP(A11,[1]Games!$B$2:$K$398,8,FALSE)/4</f>
        <v>-3.0989295923022899E-3</v>
      </c>
      <c r="J11" s="8" t="s">
        <v>443</v>
      </c>
      <c r="K11" s="9">
        <f t="shared" si="3"/>
        <v>0</v>
      </c>
    </row>
    <row r="12" spans="1:12" x14ac:dyDescent="0.2">
      <c r="A12" s="1">
        <v>11</v>
      </c>
      <c r="B12" s="6" t="str">
        <f>VLOOKUP(A12,[1]Games!$B$2:$K$398,2,FALSE)</f>
        <v>Uconn</v>
      </c>
      <c r="C12" s="6" t="str">
        <f>VLOOKUP(A12,[1]Games!$B$2:$K$398,3,FALSE)</f>
        <v>UCLA</v>
      </c>
      <c r="D12" s="6" t="str">
        <f t="shared" si="2"/>
        <v>Uconn</v>
      </c>
      <c r="E12" s="5">
        <f>VLOOKUP(A12,[1]Games!$B$2:$K$398,4,FALSE)</f>
        <v>5.391134817228437</v>
      </c>
      <c r="F12" s="5">
        <f>-VLOOKUP(A12,[2]Games!$A$2:$X$284,24,FALSE)</f>
        <v>4</v>
      </c>
      <c r="G12" s="7">
        <f>VLOOKUP(A12,[1]Games!$B$2:$K$398,9,FALSE)</f>
        <v>0.25478768357222192</v>
      </c>
      <c r="H12" s="7">
        <f>VLOOKUP(A12,[1]Games!$B$2:$K$398,7,FALSE)</f>
        <v>0</v>
      </c>
      <c r="I12" s="7">
        <f>VLOOKUP(A12,[1]Games!$B$2:$K$398,8,FALSE)/4</f>
        <v>5.1704048443900752E-3</v>
      </c>
      <c r="J12" s="8" t="s">
        <v>443</v>
      </c>
      <c r="K12" s="9">
        <f t="shared" si="3"/>
        <v>0</v>
      </c>
    </row>
    <row r="13" spans="1:12" x14ac:dyDescent="0.2">
      <c r="A13" s="1">
        <v>28</v>
      </c>
      <c r="B13" s="6" t="str">
        <f>VLOOKUP(A13,[1]Games!$B$2:$K$398,2,FALSE)</f>
        <v>Tennessee</v>
      </c>
      <c r="C13" s="6" t="str">
        <f>VLOOKUP(A13,[1]Games!$B$2:$K$398,3,FALSE)</f>
        <v>Virginia</v>
      </c>
      <c r="D13" s="6" t="str">
        <f t="shared" si="2"/>
        <v>Tennessee</v>
      </c>
      <c r="E13" s="5">
        <f>VLOOKUP(A13,[1]Games!$B$2:$K$398,4,FALSE)</f>
        <v>6.3504265210794983</v>
      </c>
      <c r="F13" s="5">
        <f>-VLOOKUP(A13,[2]Games!$A$2:$X$284,24,FALSE)</f>
        <v>1</v>
      </c>
      <c r="G13" s="7">
        <f>VLOOKUP(A13,[1]Games!$B$2:$K$398,9,FALSE)</f>
        <v>0.503917783931362</v>
      </c>
      <c r="H13" s="7">
        <f>VLOOKUP(A13,[1]Games!$B$2:$K$398,7,FALSE)</f>
        <v>5.7998893446444849E-2</v>
      </c>
      <c r="I13" s="7">
        <f>VLOOKUP(A13,[1]Games!$B$2:$K$398,8,FALSE)/4</f>
        <v>4.9999371276389128E-2</v>
      </c>
      <c r="J13" s="8" t="s">
        <v>444</v>
      </c>
      <c r="K13" s="9">
        <f t="shared" si="3"/>
        <v>0.86998340169667276</v>
      </c>
    </row>
    <row r="14" spans="1:12" x14ac:dyDescent="0.2">
      <c r="A14" s="1">
        <v>13</v>
      </c>
      <c r="B14" s="6" t="str">
        <f>VLOOKUP(A14,[1]Games!$B$2:$K$398,2,FALSE)</f>
        <v>Purdue</v>
      </c>
      <c r="C14" s="6" t="str">
        <f>VLOOKUP(A14,[1]Games!$B$2:$K$398,3,FALSE)</f>
        <v>Miami</v>
      </c>
      <c r="D14" s="6" t="str">
        <f t="shared" ref="D14:D17" si="4">B14</f>
        <v>Purdue</v>
      </c>
      <c r="E14" s="5">
        <f>VLOOKUP(A14,[1]Games!$B$2:$K$398,4,FALSE)</f>
        <v>12.5746195342281</v>
      </c>
      <c r="F14" s="5">
        <f>-VLOOKUP(A14,[2]Games!$A$2:$X$284,24,FALSE)</f>
        <v>7.5</v>
      </c>
      <c r="G14" s="7">
        <f>VLOOKUP(A14,[1]Games!$B$2:$K$398,9,FALSE)</f>
        <v>0.63571360517770981</v>
      </c>
      <c r="H14" s="7">
        <f>VLOOKUP(A14,[1]Games!$B$2:$K$398,7,FALSE)</f>
        <v>4.4882546254626871E-2</v>
      </c>
      <c r="I14" s="7">
        <f>VLOOKUP(A14,[1]Games!$B$2:$K$398,8,FALSE)/4</f>
        <v>4.2546901281038024E-2</v>
      </c>
      <c r="J14" s="8" t="s">
        <v>444</v>
      </c>
      <c r="K14" s="9">
        <f t="shared" ref="K14:K17" si="5">IF(J14="Yes",(H14*1500)/100,0)</f>
        <v>0.67323819381940309</v>
      </c>
    </row>
    <row r="15" spans="1:12" x14ac:dyDescent="0.2">
      <c r="A15" s="1">
        <v>14</v>
      </c>
      <c r="B15" s="6" t="str">
        <f>VLOOKUP(A15,[1]Games!$B$2:$K$398,2,FALSE)</f>
        <v>Iowa State</v>
      </c>
      <c r="C15" s="6" t="str">
        <f>VLOOKUP(A15,[1]Games!$B$2:$K$398,3,FALSE)</f>
        <v>Kentucky</v>
      </c>
      <c r="D15" s="6" t="str">
        <f t="shared" si="4"/>
        <v>Iowa State</v>
      </c>
      <c r="E15" s="5">
        <f>VLOOKUP(A15,[1]Games!$B$2:$K$398,4,FALSE)</f>
        <v>7.1011751940087526</v>
      </c>
      <c r="F15" s="5">
        <f>-VLOOKUP(A15,[2]Games!$A$2:$X$284,24,FALSE)</f>
        <v>5</v>
      </c>
      <c r="G15" s="7">
        <f>VLOOKUP(A15,[1]Games!$B$2:$K$398,9,FALSE)</f>
        <v>0.34931589557310277</v>
      </c>
      <c r="H15" s="7">
        <f>VLOOKUP(A15,[1]Games!$B$2:$K$398,7,FALSE)</f>
        <v>0</v>
      </c>
      <c r="I15" s="7">
        <f>VLOOKUP(A15,[1]Games!$B$2:$K$398,8,FALSE)/4</f>
        <v>1.3569223993972977E-2</v>
      </c>
      <c r="J15" s="8" t="s">
        <v>443</v>
      </c>
      <c r="K15" s="9">
        <f t="shared" si="5"/>
        <v>0</v>
      </c>
    </row>
    <row r="16" spans="1:12" x14ac:dyDescent="0.2">
      <c r="A16" s="1">
        <v>31</v>
      </c>
      <c r="B16" s="6" t="str">
        <f>VLOOKUP(A16,[1]Games!$B$2:$K$398,2,FALSE)</f>
        <v>St. John's</v>
      </c>
      <c r="C16" s="6" t="str">
        <f>VLOOKUP(A16,[1]Games!$B$2:$K$398,3,FALSE)</f>
        <v>Kansas</v>
      </c>
      <c r="D16" s="6" t="str">
        <f t="shared" si="4"/>
        <v>St. John's</v>
      </c>
      <c r="E16" s="5">
        <f>VLOOKUP(A16,[1]Games!$B$2:$K$398,4,FALSE)</f>
        <v>3.1590318805399149</v>
      </c>
      <c r="F16" s="5">
        <f>-VLOOKUP(A16,[2]Games!$A$2:$X$284,24,FALSE)</f>
        <v>3.5</v>
      </c>
      <c r="G16" s="7">
        <f>VLOOKUP(A16,[1]Games!$B$2:$K$398,9,FALSE)</f>
        <v>8.1123382590810478E-2</v>
      </c>
      <c r="H16" s="7">
        <f>VLOOKUP(A16,[1]Games!$B$2:$K$398,7,FALSE)</f>
        <v>0</v>
      </c>
      <c r="I16" s="7">
        <f>VLOOKUP(A16,[1]Games!$B$2:$K$398,8,FALSE)/4</f>
        <v>-7.3063318402789975E-3</v>
      </c>
      <c r="J16" s="8" t="s">
        <v>443</v>
      </c>
      <c r="K16" s="9">
        <f t="shared" si="5"/>
        <v>0</v>
      </c>
    </row>
    <row r="17" spans="1:11" x14ac:dyDescent="0.2">
      <c r="A17" s="1">
        <v>16</v>
      </c>
      <c r="B17" s="6" t="str">
        <f>VLOOKUP(A17,[1]Games!$B$2:$K$398,2,FALSE)</f>
        <v>Arizona</v>
      </c>
      <c r="C17" s="6" t="str">
        <f>VLOOKUP(A17,[1]Games!$B$2:$K$398,3,FALSE)</f>
        <v>Utah State</v>
      </c>
      <c r="D17" s="6" t="str">
        <f t="shared" si="4"/>
        <v>Arizona</v>
      </c>
      <c r="E17" s="5">
        <f>VLOOKUP(A17,[1]Games!$B$2:$K$398,4,FALSE)</f>
        <v>12.03916810204351</v>
      </c>
      <c r="F17" s="5">
        <f>-VLOOKUP(A17,[2]Games!$A$2:$X$284,24,FALSE)</f>
        <v>11.5</v>
      </c>
      <c r="G17" s="7">
        <f>VLOOKUP(A17,[1]Games!$B$2:$K$398,9,FALSE)</f>
        <v>0.41142205261584602</v>
      </c>
      <c r="H17" s="7">
        <f>VLOOKUP(A17,[1]Games!$B$2:$K$398,7,FALSE)</f>
        <v>0</v>
      </c>
      <c r="I17" s="7">
        <f>VLOOKUP(A17,[1]Games!$B$2:$K$398,8,FALSE)/4</f>
        <v>-4.9486061792907978E-3</v>
      </c>
      <c r="J17" s="8" t="s">
        <v>443</v>
      </c>
      <c r="K17" s="9">
        <f t="shared" si="5"/>
        <v>0</v>
      </c>
    </row>
    <row r="18" spans="1:11" x14ac:dyDescent="0.2">
      <c r="B18" s="6"/>
      <c r="C18" s="6"/>
      <c r="D18" s="6"/>
      <c r="E18" s="5"/>
      <c r="F18" s="5"/>
      <c r="G18" s="7"/>
      <c r="H18" s="7"/>
      <c r="I18" s="7"/>
      <c r="J18" s="8"/>
      <c r="K18" s="9"/>
    </row>
    <row r="19" spans="1:11" x14ac:dyDescent="0.2">
      <c r="B19" s="6"/>
      <c r="C19" s="6"/>
      <c r="D19" s="6"/>
      <c r="E19" s="5"/>
      <c r="F19" s="5"/>
      <c r="G19" s="7"/>
      <c r="H19" s="7"/>
      <c r="I19" s="7"/>
      <c r="J19" s="8"/>
      <c r="K19" s="9"/>
    </row>
    <row r="20" spans="1:11" x14ac:dyDescent="0.2">
      <c r="B20" s="6"/>
      <c r="C20" s="6"/>
      <c r="D20" s="6"/>
      <c r="E20" s="5"/>
      <c r="F20" s="5"/>
      <c r="G20" s="7"/>
      <c r="H20" s="7"/>
      <c r="I20" s="7"/>
      <c r="J20" s="8"/>
      <c r="K20" s="9"/>
    </row>
    <row r="21" spans="1:11" x14ac:dyDescent="0.2">
      <c r="B21" s="6"/>
      <c r="C21" s="6"/>
      <c r="D21" s="6"/>
      <c r="E21" s="5"/>
      <c r="F21" s="5"/>
      <c r="G21" s="7"/>
      <c r="H21" s="7"/>
      <c r="I21" s="7"/>
      <c r="J21" s="8"/>
      <c r="K21" s="9"/>
    </row>
    <row r="22" spans="1:11" x14ac:dyDescent="0.2">
      <c r="B22" s="6"/>
      <c r="C22" s="6"/>
      <c r="D22" s="6"/>
      <c r="E22" s="5"/>
      <c r="F22" s="5"/>
      <c r="G22" s="7"/>
      <c r="H22" s="7"/>
      <c r="I22" s="7"/>
      <c r="J22" s="8"/>
      <c r="K22" s="9"/>
    </row>
    <row r="23" spans="1:11" x14ac:dyDescent="0.2">
      <c r="B23" s="6"/>
      <c r="C23" s="6"/>
      <c r="D23" s="6"/>
      <c r="E23" s="5"/>
      <c r="F23" s="5"/>
      <c r="G23" s="7"/>
      <c r="H23" s="7"/>
      <c r="I23" s="7"/>
      <c r="J23" s="8"/>
      <c r="K23" s="9"/>
    </row>
    <row r="24" spans="1:11" x14ac:dyDescent="0.2">
      <c r="B24" s="6"/>
      <c r="C24" s="6"/>
      <c r="D24" s="6"/>
      <c r="E24" s="5"/>
      <c r="F24" s="5"/>
      <c r="G24" s="7"/>
      <c r="H24" s="7"/>
      <c r="I24" s="7"/>
      <c r="J24" s="8"/>
      <c r="K24" s="9"/>
    </row>
    <row r="25" spans="1:11" x14ac:dyDescent="0.2">
      <c r="B25" s="6"/>
      <c r="C25" s="6"/>
      <c r="D25" s="6"/>
      <c r="E25" s="5"/>
      <c r="F25" s="5"/>
      <c r="G25" s="7"/>
      <c r="H25" s="7"/>
      <c r="I25" s="7"/>
      <c r="J25" s="8"/>
      <c r="K25" s="9"/>
    </row>
    <row r="26" spans="1:11" x14ac:dyDescent="0.2">
      <c r="B26" s="6"/>
      <c r="C26" s="6"/>
      <c r="D26" s="6"/>
      <c r="E26" s="5"/>
      <c r="F26" s="5"/>
      <c r="G26" s="7"/>
      <c r="H26" s="7"/>
      <c r="I26" s="7"/>
      <c r="J26" s="8"/>
      <c r="K26" s="9"/>
    </row>
    <row r="27" spans="1:11" x14ac:dyDescent="0.2">
      <c r="B27" s="6"/>
      <c r="C27" s="6"/>
      <c r="D27" s="6"/>
      <c r="E27" s="5"/>
      <c r="F27" s="5"/>
      <c r="G27" s="7"/>
      <c r="H27" s="7"/>
      <c r="I27" s="7"/>
      <c r="J27" s="8"/>
      <c r="K27" s="9"/>
    </row>
    <row r="28" spans="1:11" x14ac:dyDescent="0.2">
      <c r="B28" s="6"/>
      <c r="C28" s="6"/>
      <c r="D28" s="6"/>
      <c r="E28" s="5"/>
      <c r="F28" s="5"/>
      <c r="G28" s="7"/>
      <c r="H28" s="7"/>
      <c r="I28" s="7"/>
      <c r="J28" s="8"/>
      <c r="K28" s="9"/>
    </row>
    <row r="29" spans="1:11" x14ac:dyDescent="0.2">
      <c r="B29" s="6"/>
      <c r="C29" s="6"/>
      <c r="D29" s="6"/>
      <c r="E29" s="5"/>
      <c r="F29" s="5"/>
      <c r="G29" s="7"/>
      <c r="H29" s="7"/>
      <c r="I29" s="7"/>
      <c r="J29" s="8"/>
      <c r="K29" s="9"/>
    </row>
    <row r="30" spans="1:11" x14ac:dyDescent="0.2">
      <c r="B30" s="6"/>
      <c r="C30" s="6"/>
      <c r="D30" s="6"/>
      <c r="E30" s="5"/>
      <c r="F30" s="5"/>
      <c r="G30" s="7"/>
      <c r="H30" s="7"/>
      <c r="I30" s="7"/>
      <c r="J30" s="8"/>
      <c r="K30" s="9"/>
    </row>
    <row r="31" spans="1:11" x14ac:dyDescent="0.2">
      <c r="B31" s="6"/>
      <c r="C31" s="6"/>
      <c r="D31" s="6"/>
      <c r="E31" s="5"/>
      <c r="F31" s="5"/>
      <c r="G31" s="7"/>
      <c r="H31" s="7"/>
      <c r="I31" s="7"/>
      <c r="J31" s="8"/>
      <c r="K31" s="9"/>
    </row>
    <row r="32" spans="1:11" x14ac:dyDescent="0.2">
      <c r="B32" s="6"/>
      <c r="C32" s="6"/>
      <c r="D32" s="6"/>
      <c r="E32" s="5"/>
      <c r="F32" s="5"/>
      <c r="G32" s="7"/>
      <c r="H32" s="7"/>
      <c r="I32" s="7"/>
      <c r="J32" s="8"/>
      <c r="K32" s="9"/>
    </row>
    <row r="33" spans="2:11" x14ac:dyDescent="0.2">
      <c r="B33" s="6"/>
      <c r="C33" s="6"/>
      <c r="D33" s="6"/>
      <c r="E33" s="5"/>
      <c r="F33" s="5"/>
      <c r="G33" s="7"/>
      <c r="H33" s="7"/>
      <c r="I33" s="7"/>
      <c r="J33" s="8"/>
      <c r="K33" s="9"/>
    </row>
    <row r="34" spans="2:11" x14ac:dyDescent="0.2">
      <c r="B34" s="6"/>
      <c r="C34" s="6"/>
      <c r="D34" s="6"/>
      <c r="E34" s="5"/>
      <c r="F34" s="5"/>
      <c r="G34" s="7"/>
      <c r="H34" s="7"/>
      <c r="I34" s="7"/>
      <c r="J34" s="8"/>
      <c r="K34" s="9"/>
    </row>
    <row r="35" spans="2:11" x14ac:dyDescent="0.2">
      <c r="B35" s="6"/>
      <c r="C35" s="6"/>
      <c r="D35" s="6"/>
      <c r="E35" s="5"/>
      <c r="F35" s="5"/>
      <c r="G35" s="7"/>
      <c r="H35" s="7"/>
      <c r="I35" s="7"/>
      <c r="J35" s="8"/>
      <c r="K35" s="9"/>
    </row>
    <row r="36" spans="2:11" x14ac:dyDescent="0.2">
      <c r="B36" s="6"/>
      <c r="C36" s="6"/>
      <c r="D36" s="6"/>
      <c r="E36" s="5"/>
      <c r="F36" s="5"/>
      <c r="G36" s="7"/>
      <c r="H36" s="7"/>
      <c r="I36" s="7"/>
      <c r="J36" s="8"/>
      <c r="K36" s="9"/>
    </row>
    <row r="37" spans="2:11" x14ac:dyDescent="0.2">
      <c r="B37" s="6"/>
      <c r="C37" s="6"/>
      <c r="D37" s="6"/>
      <c r="E37" s="5"/>
      <c r="F37" s="5"/>
      <c r="G37" s="7"/>
      <c r="H37" s="7"/>
      <c r="I37" s="7"/>
      <c r="J37" s="8"/>
      <c r="K37" s="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754F4-77C8-5D43-B0D7-0D09062FB370}">
  <dimension ref="A1:P35"/>
  <sheetViews>
    <sheetView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" style="1" bestFit="1" customWidth="1"/>
    <col min="4" max="4" width="13" style="1" customWidth="1"/>
    <col min="5" max="5" width="11.1640625" style="1" bestFit="1" customWidth="1"/>
    <col min="6" max="6" width="12.33203125" bestFit="1" customWidth="1"/>
    <col min="10" max="10" width="12.33203125" bestFit="1" customWidth="1"/>
    <col min="11" max="11" width="12.33203125" customWidth="1"/>
    <col min="12" max="12" width="11.5" bestFit="1" customWidth="1"/>
    <col min="13" max="13" width="11.6640625" bestFit="1" customWidth="1"/>
    <col min="14" max="14" width="11.6640625" customWidth="1"/>
  </cols>
  <sheetData>
    <row r="1" spans="1:16" x14ac:dyDescent="0.2">
      <c r="A1" s="1" t="s">
        <v>388</v>
      </c>
      <c r="B1" s="1" t="s">
        <v>389</v>
      </c>
      <c r="C1" s="1" t="s">
        <v>390</v>
      </c>
      <c r="D1" s="1" t="s">
        <v>391</v>
      </c>
      <c r="E1" s="1" t="s">
        <v>394</v>
      </c>
      <c r="F1" s="1" t="s">
        <v>395</v>
      </c>
      <c r="G1" s="1"/>
    </row>
    <row r="2" spans="1:16" x14ac:dyDescent="0.2">
      <c r="A2" s="1">
        <f>COUNTIF($C$6:$C$150,"W")</f>
        <v>11</v>
      </c>
      <c r="B2" s="1">
        <f>COUNTIF($C$6:$C$150,"L")</f>
        <v>8</v>
      </c>
      <c r="C2" s="12">
        <f>SUM(F6:F24)/SUM(E6:E24)</f>
        <v>7.871577071601242E-2</v>
      </c>
      <c r="D2" s="13">
        <f>AVERAGE(H6:H150)</f>
        <v>2.1311302327194463E-2</v>
      </c>
      <c r="E2" s="1">
        <f ca="1">COUNTIF(OFFSET($C$6,COUNTA($C$6:$C$1500)-10,0,10,1),"W")</f>
        <v>8</v>
      </c>
      <c r="F2" s="1">
        <f ca="1">COUNTIF(OFFSET($C$6,COUNTA($C$6:$C$1500)-10,0,10,1),"L")</f>
        <v>2</v>
      </c>
    </row>
    <row r="5" spans="1:16" x14ac:dyDescent="0.2">
      <c r="A5" s="1" t="s">
        <v>393</v>
      </c>
      <c r="B5" s="1" t="s">
        <v>396</v>
      </c>
      <c r="C5" s="1" t="s">
        <v>397</v>
      </c>
      <c r="D5" s="1" t="s">
        <v>429</v>
      </c>
      <c r="E5" s="1" t="s">
        <v>401</v>
      </c>
      <c r="F5" s="1" t="s">
        <v>400</v>
      </c>
      <c r="G5" s="1" t="s">
        <v>399</v>
      </c>
      <c r="H5" s="1" t="s">
        <v>391</v>
      </c>
      <c r="I5" s="1" t="s">
        <v>398</v>
      </c>
      <c r="J5" s="1" t="s">
        <v>414</v>
      </c>
      <c r="K5" s="1" t="s">
        <v>422</v>
      </c>
      <c r="L5" s="1" t="s">
        <v>420</v>
      </c>
      <c r="M5" s="1" t="s">
        <v>421</v>
      </c>
      <c r="N5" s="1" t="s">
        <v>418</v>
      </c>
      <c r="O5" s="1" t="s">
        <v>420</v>
      </c>
      <c r="P5" s="1" t="s">
        <v>419</v>
      </c>
    </row>
    <row r="6" spans="1:16" x14ac:dyDescent="0.2">
      <c r="A6" s="1" t="s">
        <v>423</v>
      </c>
      <c r="B6" s="1">
        <v>1</v>
      </c>
      <c r="C6" s="1" t="s">
        <v>389</v>
      </c>
      <c r="D6" s="1" t="s">
        <v>436</v>
      </c>
      <c r="E6" s="1">
        <v>0.94499999999999995</v>
      </c>
      <c r="F6" s="14">
        <f>IF(C6="P",0,IF(C6="L",-E6,IF(K6&lt;0,E6*(100/-K6),E6*(K6/100)))/1)</f>
        <v>-0.94499999999999995</v>
      </c>
      <c r="G6" s="14">
        <f>F6</f>
        <v>-0.94499999999999995</v>
      </c>
      <c r="H6" s="10">
        <f t="shared" ref="H6:H12" si="0">((M6-P6)*3.55%)+(O6-L6)</f>
        <v>-1.9985536081552357E-2</v>
      </c>
      <c r="I6" s="10">
        <f>H6</f>
        <v>-1.9985536081552357E-2</v>
      </c>
      <c r="J6" s="1" t="s">
        <v>415</v>
      </c>
      <c r="K6" s="1">
        <v>-112</v>
      </c>
      <c r="L6" s="12">
        <f t="shared" ref="L6:L16" si="1">IF(K6&lt;0,K6/(K6-100),100/(K6+100))</f>
        <v>0.52830188679245282</v>
      </c>
      <c r="M6" s="1">
        <v>-14.5</v>
      </c>
      <c r="N6" s="1">
        <v>-111</v>
      </c>
      <c r="O6" s="12">
        <f t="shared" ref="O6:O16" si="2">IF(N6&lt;0,N6/(N6-100),100/(N6+100))</f>
        <v>0.52606635071090047</v>
      </c>
      <c r="P6" s="1">
        <v>-14</v>
      </c>
    </row>
    <row r="7" spans="1:16" x14ac:dyDescent="0.2">
      <c r="A7" s="1" t="s">
        <v>424</v>
      </c>
      <c r="B7" s="1">
        <f>B6+1</f>
        <v>2</v>
      </c>
      <c r="C7" s="1" t="s">
        <v>389</v>
      </c>
      <c r="D7" s="1" t="s">
        <v>435</v>
      </c>
      <c r="E7" s="1">
        <v>0.68979999999999997</v>
      </c>
      <c r="F7" s="14">
        <f t="shared" ref="F7:F12" si="3">IF(C7="P",0,IF(C7="L",-E7,IF(K7&lt;0,E7*(100/-K7),E7*(K7/100)))/1)</f>
        <v>-0.68979999999999997</v>
      </c>
      <c r="G7" s="14">
        <f>F7+G6</f>
        <v>-1.6347999999999998</v>
      </c>
      <c r="H7" s="10">
        <f t="shared" si="0"/>
        <v>5.3772693633062259E-3</v>
      </c>
      <c r="I7" s="10">
        <f>AVERAGE($H$6:H7)</f>
        <v>-7.3041333591230655E-3</v>
      </c>
      <c r="J7" s="1" t="s">
        <v>415</v>
      </c>
      <c r="K7" s="1">
        <v>-103</v>
      </c>
      <c r="L7" s="12">
        <f t="shared" si="1"/>
        <v>0.5073891625615764</v>
      </c>
      <c r="M7" s="1">
        <v>3</v>
      </c>
      <c r="N7" s="1">
        <v>-113</v>
      </c>
      <c r="O7" s="12">
        <f t="shared" si="2"/>
        <v>0.53051643192488263</v>
      </c>
      <c r="P7" s="1">
        <v>3.5</v>
      </c>
    </row>
    <row r="8" spans="1:16" x14ac:dyDescent="0.2">
      <c r="A8" s="1" t="s">
        <v>425</v>
      </c>
      <c r="B8" s="1">
        <f t="shared" ref="B8:B24" si="4">B7+1</f>
        <v>3</v>
      </c>
      <c r="C8" s="1" t="s">
        <v>388</v>
      </c>
      <c r="D8" s="1" t="s">
        <v>434</v>
      </c>
      <c r="E8" s="1">
        <v>0.74019999999999997</v>
      </c>
      <c r="F8" s="14">
        <f t="shared" si="3"/>
        <v>0.6729090909090909</v>
      </c>
      <c r="G8" s="14">
        <f>F8+G7</f>
        <v>-0.96189090909090891</v>
      </c>
      <c r="H8" s="10">
        <f t="shared" si="0"/>
        <v>0.10782963875205255</v>
      </c>
      <c r="I8" s="10">
        <f>AVERAGE($H$6:H8)</f>
        <v>3.1073790677935476E-2</v>
      </c>
      <c r="J8" s="1" t="s">
        <v>415</v>
      </c>
      <c r="K8" s="1">
        <v>-110</v>
      </c>
      <c r="L8" s="12">
        <f t="shared" si="1"/>
        <v>0.52380952380952384</v>
      </c>
      <c r="M8" s="1">
        <v>2.5</v>
      </c>
      <c r="N8" s="1">
        <v>-103</v>
      </c>
      <c r="O8" s="12">
        <f t="shared" si="2"/>
        <v>0.5073891625615764</v>
      </c>
      <c r="P8" s="1">
        <v>-1</v>
      </c>
    </row>
    <row r="9" spans="1:16" x14ac:dyDescent="0.2">
      <c r="A9" s="1" t="s">
        <v>426</v>
      </c>
      <c r="B9" s="1">
        <f t="shared" si="4"/>
        <v>4</v>
      </c>
      <c r="C9" s="1" t="s">
        <v>388</v>
      </c>
      <c r="D9" s="1" t="s">
        <v>433</v>
      </c>
      <c r="E9" s="1">
        <v>0.67900000000000005</v>
      </c>
      <c r="F9" s="14">
        <f t="shared" si="3"/>
        <v>0.61727272727272731</v>
      </c>
      <c r="G9" s="14">
        <f>F9+G8</f>
        <v>-0.3446181818181816</v>
      </c>
      <c r="H9" s="10">
        <f t="shared" si="0"/>
        <v>8.5035829865926608E-3</v>
      </c>
      <c r="I9" s="10">
        <f>AVERAGE($H$6:H9)</f>
        <v>2.5431238755099773E-2</v>
      </c>
      <c r="J9" s="1" t="s">
        <v>415</v>
      </c>
      <c r="K9" s="1">
        <v>-110</v>
      </c>
      <c r="L9" s="12">
        <f t="shared" si="1"/>
        <v>0.52380952380952384</v>
      </c>
      <c r="M9" s="1">
        <v>4.5</v>
      </c>
      <c r="N9" s="1">
        <v>-106</v>
      </c>
      <c r="O9" s="12">
        <f t="shared" si="2"/>
        <v>0.5145631067961165</v>
      </c>
      <c r="P9" s="1">
        <v>4</v>
      </c>
    </row>
    <row r="10" spans="1:16" x14ac:dyDescent="0.2">
      <c r="A10" s="1" t="s">
        <v>427</v>
      </c>
      <c r="B10" s="1">
        <f t="shared" si="4"/>
        <v>5</v>
      </c>
      <c r="C10" s="1" t="s">
        <v>389</v>
      </c>
      <c r="D10" s="1" t="s">
        <v>432</v>
      </c>
      <c r="E10" s="1">
        <v>1.2898000000000001</v>
      </c>
      <c r="F10" s="14">
        <f t="shared" si="3"/>
        <v>-1.2898000000000001</v>
      </c>
      <c r="G10" s="14">
        <f>F10+G9</f>
        <v>-1.6344181818181815</v>
      </c>
      <c r="H10" s="10">
        <f t="shared" si="0"/>
        <v>-3.9992362982928985E-2</v>
      </c>
      <c r="I10" s="10">
        <f>AVERAGE($H$6:H10)</f>
        <v>1.2346518407494022E-2</v>
      </c>
      <c r="J10" s="1" t="s">
        <v>415</v>
      </c>
      <c r="K10" s="1">
        <v>-112</v>
      </c>
      <c r="L10" s="12">
        <f t="shared" si="1"/>
        <v>0.52830188679245282</v>
      </c>
      <c r="M10" s="1">
        <v>-6.5</v>
      </c>
      <c r="N10" s="1">
        <v>-110</v>
      </c>
      <c r="O10" s="12">
        <f t="shared" si="2"/>
        <v>0.52380952380952384</v>
      </c>
      <c r="P10" s="1">
        <v>-5.5</v>
      </c>
    </row>
    <row r="11" spans="1:16" x14ac:dyDescent="0.2">
      <c r="A11" s="1" t="s">
        <v>428</v>
      </c>
      <c r="B11" s="1">
        <f t="shared" si="4"/>
        <v>6</v>
      </c>
      <c r="C11" s="1" t="s">
        <v>389</v>
      </c>
      <c r="D11" s="1" t="s">
        <v>430</v>
      </c>
      <c r="E11" s="1">
        <v>0.68820000000000003</v>
      </c>
      <c r="F11" s="14">
        <f t="shared" si="3"/>
        <v>-0.68820000000000003</v>
      </c>
      <c r="G11" s="14">
        <f t="shared" ref="G11:G12" si="5">F11+G10</f>
        <v>-2.3226181818181817</v>
      </c>
      <c r="H11" s="10">
        <f t="shared" si="0"/>
        <v>9.1028423331054986E-2</v>
      </c>
      <c r="I11" s="10">
        <f>AVERAGE($H$6:H11)</f>
        <v>2.5460169228087515E-2</v>
      </c>
      <c r="J11" s="1" t="s">
        <v>415</v>
      </c>
      <c r="K11" s="1">
        <v>-109</v>
      </c>
      <c r="L11" s="12">
        <f t="shared" si="1"/>
        <v>0.52153110047846885</v>
      </c>
      <c r="M11" s="1">
        <v>1.5</v>
      </c>
      <c r="N11" s="1">
        <v>-110</v>
      </c>
      <c r="O11" s="12">
        <f t="shared" si="2"/>
        <v>0.52380952380952384</v>
      </c>
      <c r="P11" s="1">
        <v>-1</v>
      </c>
    </row>
    <row r="12" spans="1:16" x14ac:dyDescent="0.2">
      <c r="A12" s="1" t="s">
        <v>428</v>
      </c>
      <c r="B12" s="1">
        <f t="shared" si="4"/>
        <v>7</v>
      </c>
      <c r="C12" s="1" t="s">
        <v>389</v>
      </c>
      <c r="D12" s="1" t="s">
        <v>431</v>
      </c>
      <c r="E12" s="1">
        <v>0.69510000000000005</v>
      </c>
      <c r="F12" s="14">
        <f t="shared" si="3"/>
        <v>-0.69510000000000005</v>
      </c>
      <c r="G12" s="14">
        <f t="shared" si="5"/>
        <v>-3.0177181818181817</v>
      </c>
      <c r="H12" s="10">
        <f t="shared" si="0"/>
        <v>0.13975593655856822</v>
      </c>
      <c r="I12" s="10">
        <f>AVERAGE($H$6:H12)</f>
        <v>4.1788135989584758E-2</v>
      </c>
      <c r="J12" s="1" t="s">
        <v>415</v>
      </c>
      <c r="K12" s="1">
        <v>-109</v>
      </c>
      <c r="L12" s="12">
        <f t="shared" si="1"/>
        <v>0.52153110047846885</v>
      </c>
      <c r="M12" s="1">
        <v>1.5</v>
      </c>
      <c r="N12" s="1">
        <v>-116</v>
      </c>
      <c r="O12" s="12">
        <f t="shared" si="2"/>
        <v>0.53703703703703709</v>
      </c>
      <c r="P12" s="1">
        <v>-2</v>
      </c>
    </row>
    <row r="13" spans="1:16" x14ac:dyDescent="0.2">
      <c r="A13" s="1" t="s">
        <v>428</v>
      </c>
      <c r="B13" s="1">
        <f t="shared" si="4"/>
        <v>8</v>
      </c>
      <c r="C13" s="1" t="s">
        <v>389</v>
      </c>
      <c r="D13" s="1" t="s">
        <v>437</v>
      </c>
      <c r="E13" s="1">
        <v>1.0744</v>
      </c>
      <c r="F13" s="14">
        <f t="shared" ref="F13:F16" si="6">IF(C13="P",0,IF(C13="L",-E13,IF(K13&lt;0,E13*(100/-K13),E13*(K13/100)))/1)</f>
        <v>-1.0744</v>
      </c>
      <c r="G13" s="14">
        <f t="shared" ref="G13:G16" si="7">F13+G12</f>
        <v>-4.092118181818182</v>
      </c>
      <c r="H13" s="10">
        <f t="shared" ref="H13:H16" si="8">((M13-P13)*3.55%)+(O13-L13)</f>
        <v>-1.7749999999999998E-2</v>
      </c>
      <c r="I13" s="10">
        <f>AVERAGE($H$6:H13)</f>
        <v>3.4345868990886666E-2</v>
      </c>
      <c r="J13" s="1" t="s">
        <v>415</v>
      </c>
      <c r="K13" s="1">
        <v>-107</v>
      </c>
      <c r="L13" s="12">
        <f t="shared" si="1"/>
        <v>0.51690821256038644</v>
      </c>
      <c r="M13" s="1">
        <v>2</v>
      </c>
      <c r="N13" s="1">
        <v>-107</v>
      </c>
      <c r="O13" s="12">
        <f t="shared" si="2"/>
        <v>0.51690821256038644</v>
      </c>
      <c r="P13" s="1">
        <v>2.5</v>
      </c>
    </row>
    <row r="14" spans="1:16" x14ac:dyDescent="0.2">
      <c r="A14" s="1" t="s">
        <v>438</v>
      </c>
      <c r="B14" s="1">
        <f t="shared" si="4"/>
        <v>9</v>
      </c>
      <c r="C14" s="1" t="s">
        <v>388</v>
      </c>
      <c r="D14" s="1" t="s">
        <v>439</v>
      </c>
      <c r="E14" s="1">
        <v>1.0632999999999999</v>
      </c>
      <c r="F14" s="14">
        <f t="shared" si="6"/>
        <v>0.96663636363636352</v>
      </c>
      <c r="G14" s="14">
        <f t="shared" si="7"/>
        <v>-3.1254818181818185</v>
      </c>
      <c r="H14" s="10">
        <f>((M14-P14)*3.55%)+(O14-L14)</f>
        <v>2.6650756564307886E-2</v>
      </c>
      <c r="I14" s="10">
        <f>AVERAGE($H$6:H14)</f>
        <v>3.3490856499044576E-2</v>
      </c>
      <c r="J14" s="1" t="s">
        <v>415</v>
      </c>
      <c r="K14" s="1">
        <v>-110</v>
      </c>
      <c r="L14" s="12">
        <f t="shared" si="1"/>
        <v>0.52380952380952384</v>
      </c>
      <c r="M14" s="1">
        <v>-6</v>
      </c>
      <c r="N14" s="1">
        <v>-114</v>
      </c>
      <c r="O14" s="12">
        <f t="shared" si="2"/>
        <v>0.53271028037383172</v>
      </c>
      <c r="P14" s="1">
        <v>-6.5</v>
      </c>
    </row>
    <row r="15" spans="1:16" x14ac:dyDescent="0.2">
      <c r="A15" s="1" t="s">
        <v>438</v>
      </c>
      <c r="B15" s="1">
        <f t="shared" si="4"/>
        <v>10</v>
      </c>
      <c r="C15" s="1" t="s">
        <v>389</v>
      </c>
      <c r="D15" s="1" t="s">
        <v>440</v>
      </c>
      <c r="E15" s="1">
        <v>0.82620000000000005</v>
      </c>
      <c r="F15" s="14">
        <f t="shared" si="6"/>
        <v>-0.82620000000000005</v>
      </c>
      <c r="G15" s="14">
        <f t="shared" si="7"/>
        <v>-3.9516818181818185</v>
      </c>
      <c r="H15" s="10">
        <f t="shared" si="8"/>
        <v>-3.3221576668945006E-2</v>
      </c>
      <c r="I15" s="10">
        <f>AVERAGE($H$6:H15)</f>
        <v>2.681961318224562E-2</v>
      </c>
      <c r="J15" s="1" t="s">
        <v>415</v>
      </c>
      <c r="K15" s="1">
        <v>-109</v>
      </c>
      <c r="L15" s="12">
        <f t="shared" si="1"/>
        <v>0.52153110047846885</v>
      </c>
      <c r="M15" s="1">
        <v>-9.5</v>
      </c>
      <c r="N15" s="1">
        <v>-110</v>
      </c>
      <c r="O15" s="12">
        <f t="shared" si="2"/>
        <v>0.52380952380952384</v>
      </c>
      <c r="P15" s="1">
        <v>-8.5</v>
      </c>
    </row>
    <row r="16" spans="1:16" x14ac:dyDescent="0.2">
      <c r="A16" s="1" t="s">
        <v>438</v>
      </c>
      <c r="B16" s="1">
        <f t="shared" si="4"/>
        <v>11</v>
      </c>
      <c r="C16" s="1" t="s">
        <v>388</v>
      </c>
      <c r="D16" s="1" t="s">
        <v>441</v>
      </c>
      <c r="E16" s="1">
        <v>0.72199999999999998</v>
      </c>
      <c r="F16" s="14">
        <f t="shared" si="6"/>
        <v>0.65636363636363637</v>
      </c>
      <c r="G16" s="14">
        <f t="shared" si="7"/>
        <v>-3.2953181818181823</v>
      </c>
      <c r="H16" s="10">
        <f t="shared" si="8"/>
        <v>1.3296387520525636E-3</v>
      </c>
      <c r="I16" s="10">
        <f>AVERAGE($H$6:H16)</f>
        <v>2.4502342779500797E-2</v>
      </c>
      <c r="J16" s="1" t="s">
        <v>415</v>
      </c>
      <c r="K16" s="1">
        <v>-110</v>
      </c>
      <c r="L16" s="12">
        <f t="shared" si="1"/>
        <v>0.52380952380952384</v>
      </c>
      <c r="M16" s="1">
        <v>-1.5</v>
      </c>
      <c r="N16" s="1">
        <v>-103</v>
      </c>
      <c r="O16" s="12">
        <f t="shared" si="2"/>
        <v>0.5073891625615764</v>
      </c>
      <c r="P16" s="1">
        <v>-2</v>
      </c>
    </row>
    <row r="17" spans="1:16" x14ac:dyDescent="0.2">
      <c r="A17" s="1" t="s">
        <v>452</v>
      </c>
      <c r="B17" s="1">
        <f t="shared" si="4"/>
        <v>12</v>
      </c>
      <c r="C17" s="1" t="s">
        <v>388</v>
      </c>
      <c r="D17" s="1" t="s">
        <v>453</v>
      </c>
      <c r="E17" s="1">
        <v>0.70909999999999995</v>
      </c>
      <c r="F17" s="14">
        <f t="shared" ref="F17" si="9">IF(C17="P",0,IF(C17="L",-E17,IF(K17&lt;0,E17*(100/-K17),E17*(K17/100)))/1)</f>
        <v>0.67533333333333323</v>
      </c>
      <c r="G17" s="14">
        <f t="shared" ref="G17" si="10">F17+G16</f>
        <v>-2.6199848484848491</v>
      </c>
      <c r="H17" s="10">
        <f t="shared" ref="H17" si="11">((M17-P17)*3.55%)+(O17-L17)</f>
        <v>0.10410879961740788</v>
      </c>
      <c r="I17" s="10">
        <f>AVERAGE($H$6:H17)</f>
        <v>3.113621418265972E-2</v>
      </c>
      <c r="J17" s="1" t="s">
        <v>415</v>
      </c>
      <c r="K17" s="1">
        <v>-105</v>
      </c>
      <c r="L17" s="12">
        <f t="shared" ref="L17" si="12">IF(K17&lt;0,K17/(K17-100),100/(K17+100))</f>
        <v>0.51219512195121952</v>
      </c>
      <c r="M17" s="1">
        <v>2</v>
      </c>
      <c r="N17" s="1">
        <v>-104</v>
      </c>
      <c r="O17" s="12">
        <f t="shared" ref="O17" si="13">IF(N17&lt;0,N17/(N17-100),100/(N17+100))</f>
        <v>0.50980392156862742</v>
      </c>
      <c r="P17" s="1">
        <v>-1</v>
      </c>
    </row>
    <row r="18" spans="1:16" x14ac:dyDescent="0.2">
      <c r="A18" s="1" t="s">
        <v>454</v>
      </c>
      <c r="B18" s="1">
        <f t="shared" si="4"/>
        <v>13</v>
      </c>
      <c r="C18" s="1" t="s">
        <v>388</v>
      </c>
      <c r="D18" s="1" t="s">
        <v>457</v>
      </c>
      <c r="E18" s="1">
        <v>1.0296000000000001</v>
      </c>
      <c r="F18" s="14">
        <f t="shared" ref="F18" si="14">IF(C18="P",0,IF(C18="L",-E18,IF(K18&lt;0,E18*(100/-K18),E18*(K18/100)))/1)</f>
        <v>1.0296000000000001</v>
      </c>
      <c r="G18" s="14">
        <f t="shared" ref="G18" si="15">F18+G17</f>
        <v>-1.5903848484848491</v>
      </c>
      <c r="H18" s="10">
        <f t="shared" ref="H18" si="16">((M18-P18)*3.55%)+(O18-L18)</f>
        <v>6.0595238095238375E-3</v>
      </c>
      <c r="I18" s="10">
        <f>AVERAGE($H$6:H18)</f>
        <v>2.9207238000110807E-2</v>
      </c>
      <c r="J18" s="1" t="s">
        <v>415</v>
      </c>
      <c r="K18" s="1">
        <v>-100</v>
      </c>
      <c r="L18" s="12">
        <f t="shared" ref="L18" si="17">IF(K18&lt;0,K18/(K18-100),100/(K18+100))</f>
        <v>0.5</v>
      </c>
      <c r="M18" s="1">
        <v>-13.5</v>
      </c>
      <c r="N18" s="1">
        <v>-110</v>
      </c>
      <c r="O18" s="12">
        <f t="shared" ref="O18" si="18">IF(N18&lt;0,N18/(N18-100),100/(N18+100))</f>
        <v>0.52380952380952384</v>
      </c>
      <c r="P18" s="1">
        <v>-13</v>
      </c>
    </row>
    <row r="19" spans="1:16" x14ac:dyDescent="0.2">
      <c r="A19" s="1" t="s">
        <v>454</v>
      </c>
      <c r="B19" s="1">
        <f t="shared" si="4"/>
        <v>14</v>
      </c>
      <c r="C19" s="1" t="s">
        <v>389</v>
      </c>
      <c r="D19" s="1" t="s">
        <v>458</v>
      </c>
      <c r="E19" s="1">
        <v>0.77980000000000005</v>
      </c>
      <c r="F19" s="14">
        <f t="shared" ref="F19:F21" si="19">IF(C19="P",0,IF(C19="L",-E19,IF(K19&lt;0,E19*(100/-K19),E19*(K19/100)))/1)</f>
        <v>-0.77980000000000005</v>
      </c>
      <c r="G19" s="14">
        <f t="shared" ref="G19:G21" si="20">F19+G18</f>
        <v>-2.3701848484848491</v>
      </c>
      <c r="H19" s="10">
        <f t="shared" ref="H19:H21" si="21">((M19-P19)*3.55%)+(O19-L19)</f>
        <v>5.9309523809523833E-2</v>
      </c>
      <c r="I19" s="10">
        <f>AVERAGE($H$6:H19)</f>
        <v>3.1357401272211739E-2</v>
      </c>
      <c r="J19" s="1" t="s">
        <v>415</v>
      </c>
      <c r="K19" s="1">
        <v>100</v>
      </c>
      <c r="L19" s="12">
        <f t="shared" ref="L19:L21" si="22">IF(K19&lt;0,K19/(K19-100),100/(K19+100))</f>
        <v>0.5</v>
      </c>
      <c r="M19" s="1">
        <v>-11.5</v>
      </c>
      <c r="N19" s="1">
        <v>-110</v>
      </c>
      <c r="O19" s="12">
        <f t="shared" ref="O19:O21" si="23">IF(N19&lt;0,N19/(N19-100),100/(N19+100))</f>
        <v>0.52380952380952384</v>
      </c>
      <c r="P19" s="1">
        <v>-12.5</v>
      </c>
    </row>
    <row r="20" spans="1:16" x14ac:dyDescent="0.2">
      <c r="A20" s="1" t="s">
        <v>454</v>
      </c>
      <c r="B20" s="1">
        <f t="shared" si="4"/>
        <v>15</v>
      </c>
      <c r="C20" s="1" t="s">
        <v>388</v>
      </c>
      <c r="D20" s="1" t="s">
        <v>456</v>
      </c>
      <c r="E20" s="1">
        <v>0.83009999999999995</v>
      </c>
      <c r="F20" s="14">
        <f t="shared" si="19"/>
        <v>0.74116071428571428</v>
      </c>
      <c r="G20" s="14">
        <f t="shared" si="20"/>
        <v>-1.6290241341991347</v>
      </c>
      <c r="H20" s="10">
        <f t="shared" si="21"/>
        <v>4.4083935813788999E-3</v>
      </c>
      <c r="I20" s="10">
        <f>AVERAGE($H$6:H20)</f>
        <v>2.9560800759489546E-2</v>
      </c>
      <c r="J20" s="1" t="s">
        <v>415</v>
      </c>
      <c r="K20" s="1">
        <v>-112</v>
      </c>
      <c r="L20" s="12">
        <f t="shared" si="22"/>
        <v>0.52830188679245282</v>
      </c>
      <c r="M20" s="1">
        <v>-16</v>
      </c>
      <c r="N20" s="1">
        <v>-114</v>
      </c>
      <c r="O20" s="12">
        <f t="shared" si="23"/>
        <v>0.53271028037383172</v>
      </c>
      <c r="P20" s="1">
        <v>-16</v>
      </c>
    </row>
    <row r="21" spans="1:16" x14ac:dyDescent="0.2">
      <c r="A21" s="1" t="s">
        <v>454</v>
      </c>
      <c r="B21" s="1">
        <f t="shared" si="4"/>
        <v>16</v>
      </c>
      <c r="C21" s="1" t="s">
        <v>388</v>
      </c>
      <c r="D21" s="1" t="s">
        <v>455</v>
      </c>
      <c r="E21" s="1">
        <v>0.87029999999999996</v>
      </c>
      <c r="F21" s="14">
        <f t="shared" si="19"/>
        <v>0.81336448598130839</v>
      </c>
      <c r="G21" s="14">
        <f t="shared" si="20"/>
        <v>-0.81565964821782633</v>
      </c>
      <c r="H21" s="10">
        <f t="shared" si="21"/>
        <v>-3.0877112081917589E-2</v>
      </c>
      <c r="I21" s="10">
        <f>AVERAGE($H$6:H21)</f>
        <v>2.5783431206901603E-2</v>
      </c>
      <c r="J21" s="1" t="s">
        <v>415</v>
      </c>
      <c r="K21" s="1">
        <v>-107</v>
      </c>
      <c r="L21" s="12">
        <f t="shared" si="22"/>
        <v>0.51690821256038644</v>
      </c>
      <c r="M21" s="1">
        <v>-15</v>
      </c>
      <c r="N21" s="1">
        <v>-109</v>
      </c>
      <c r="O21" s="12">
        <f t="shared" si="23"/>
        <v>0.52153110047846885</v>
      </c>
      <c r="P21" s="1">
        <v>-14</v>
      </c>
    </row>
    <row r="22" spans="1:16" x14ac:dyDescent="0.2">
      <c r="A22" s="1" t="s">
        <v>459</v>
      </c>
      <c r="B22" s="1">
        <f t="shared" si="4"/>
        <v>17</v>
      </c>
      <c r="C22" s="1" t="s">
        <v>388</v>
      </c>
      <c r="D22" s="1" t="s">
        <v>460</v>
      </c>
      <c r="E22" s="1">
        <v>0.94599999999999995</v>
      </c>
      <c r="F22" s="14">
        <f t="shared" ref="F22:F24" si="24">IF(C22="P",0,IF(C22="L",-E22,IF(K22&lt;0,E22*(100/-K22),E22*(K22/100)))/1)</f>
        <v>0.94599999999999995</v>
      </c>
      <c r="G22" s="14">
        <f t="shared" ref="G22:G24" si="25">F22+G21</f>
        <v>0.13034035178217362</v>
      </c>
      <c r="H22" s="10">
        <f t="shared" ref="H22:H24" si="26">((M22-P22)*3.55%)+(O22-L22)</f>
        <v>-6.9519230769230722E-2</v>
      </c>
      <c r="I22" s="10">
        <f>AVERAGE($H$6:H22)</f>
        <v>2.0177392267129113E-2</v>
      </c>
      <c r="J22" s="1" t="s">
        <v>415</v>
      </c>
      <c r="K22" s="1">
        <v>-100</v>
      </c>
      <c r="L22" s="12">
        <f t="shared" ref="L22:L24" si="27">IF(K22&lt;0,K22/(K22-100),100/(K22+100))</f>
        <v>0.5</v>
      </c>
      <c r="M22" s="1">
        <v>-14</v>
      </c>
      <c r="N22" s="1">
        <v>-108</v>
      </c>
      <c r="O22" s="12">
        <f t="shared" ref="O22:O24" si="28">IF(N22&lt;0,N22/(N22-100),100/(N22+100))</f>
        <v>0.51923076923076927</v>
      </c>
      <c r="P22" s="1">
        <v>-11.5</v>
      </c>
    </row>
    <row r="23" spans="1:16" x14ac:dyDescent="0.2">
      <c r="A23" s="1" t="s">
        <v>459</v>
      </c>
      <c r="B23" s="1">
        <f t="shared" si="4"/>
        <v>18</v>
      </c>
      <c r="C23" s="1" t="s">
        <v>388</v>
      </c>
      <c r="D23" s="1" t="s">
        <v>460</v>
      </c>
      <c r="E23" s="1">
        <v>0.47299999999999998</v>
      </c>
      <c r="F23" s="14">
        <f t="shared" si="24"/>
        <v>0.42232142857142857</v>
      </c>
      <c r="G23" s="14">
        <f t="shared" si="25"/>
        <v>0.55266178035360225</v>
      </c>
      <c r="H23" s="10">
        <f t="shared" si="26"/>
        <v>1.715265866209259E-2</v>
      </c>
      <c r="I23" s="10">
        <f>AVERAGE($H$6:H23)</f>
        <v>2.0009351511293752E-2</v>
      </c>
      <c r="J23" s="1" t="s">
        <v>415</v>
      </c>
      <c r="K23" s="1">
        <v>-112</v>
      </c>
      <c r="L23" s="12">
        <f t="shared" si="27"/>
        <v>0.52830188679245282</v>
      </c>
      <c r="M23" s="1">
        <v>-11.5</v>
      </c>
      <c r="N23" s="1">
        <v>-120</v>
      </c>
      <c r="O23" s="12">
        <f t="shared" si="28"/>
        <v>0.54545454545454541</v>
      </c>
      <c r="P23" s="1">
        <v>-11.5</v>
      </c>
    </row>
    <row r="24" spans="1:16" x14ac:dyDescent="0.2">
      <c r="A24" s="1" t="s">
        <v>459</v>
      </c>
      <c r="B24" s="1">
        <f t="shared" si="4"/>
        <v>19</v>
      </c>
      <c r="C24" s="1" t="s">
        <v>388</v>
      </c>
      <c r="D24" s="1" t="s">
        <v>461</v>
      </c>
      <c r="E24" s="1">
        <v>0.73099999999999998</v>
      </c>
      <c r="F24" s="14">
        <f t="shared" si="24"/>
        <v>0.68962264150943398</v>
      </c>
      <c r="G24" s="14">
        <f t="shared" si="25"/>
        <v>1.2422844218630362</v>
      </c>
      <c r="H24" s="10">
        <f t="shared" si="26"/>
        <v>4.4746417013407334E-2</v>
      </c>
      <c r="I24" s="10">
        <f>AVERAGE($H$6:H24)</f>
        <v>2.1311302327194463E-2</v>
      </c>
      <c r="J24" s="1" t="s">
        <v>415</v>
      </c>
      <c r="K24" s="1">
        <v>-106</v>
      </c>
      <c r="L24" s="12">
        <f t="shared" si="27"/>
        <v>0.5145631067961165</v>
      </c>
      <c r="M24" s="1">
        <v>-11</v>
      </c>
      <c r="N24" s="1">
        <v>-110</v>
      </c>
      <c r="O24" s="12">
        <f t="shared" si="28"/>
        <v>0.52380952380952384</v>
      </c>
      <c r="P24" s="1">
        <v>-12</v>
      </c>
    </row>
    <row r="25" spans="1:16" x14ac:dyDescent="0.2">
      <c r="F25" s="14"/>
      <c r="G25" s="14"/>
      <c r="H25" s="10"/>
      <c r="I25" s="10"/>
      <c r="J25" s="1"/>
      <c r="K25" s="1"/>
      <c r="L25" s="12"/>
      <c r="M25" s="1"/>
      <c r="N25" s="1"/>
      <c r="O25" s="12"/>
      <c r="P25" s="1"/>
    </row>
    <row r="26" spans="1:16" x14ac:dyDescent="0.2">
      <c r="F26" s="14"/>
      <c r="G26" s="14"/>
      <c r="H26" s="10"/>
      <c r="I26" s="10"/>
      <c r="J26" s="1"/>
      <c r="K26" s="1"/>
      <c r="L26" s="12"/>
      <c r="M26" s="1"/>
      <c r="N26" s="1"/>
      <c r="O26" s="12"/>
      <c r="P26" s="1"/>
    </row>
    <row r="27" spans="1:16" x14ac:dyDescent="0.2">
      <c r="F27" s="14"/>
      <c r="G27" s="14"/>
      <c r="H27" s="10"/>
      <c r="I27" s="10"/>
      <c r="J27" s="1"/>
      <c r="K27" s="1"/>
      <c r="L27" s="12"/>
      <c r="M27" s="1"/>
      <c r="N27" s="1"/>
      <c r="O27" s="12"/>
      <c r="P27" s="1"/>
    </row>
    <row r="28" spans="1:16" x14ac:dyDescent="0.2">
      <c r="F28" s="14"/>
      <c r="G28" s="14"/>
      <c r="H28" s="10"/>
      <c r="I28" s="10"/>
      <c r="J28" s="1"/>
      <c r="K28" s="1"/>
      <c r="L28" s="12"/>
      <c r="M28" s="1"/>
      <c r="N28" s="1"/>
      <c r="O28" s="12"/>
      <c r="P28" s="1"/>
    </row>
    <row r="29" spans="1:16" x14ac:dyDescent="0.2">
      <c r="F29" s="14"/>
      <c r="G29" s="14"/>
      <c r="H29" s="10"/>
      <c r="I29" s="10"/>
      <c r="J29" s="1"/>
      <c r="K29" s="1"/>
      <c r="L29" s="12"/>
      <c r="M29" s="1"/>
      <c r="N29" s="1"/>
      <c r="O29" s="12"/>
      <c r="P29" s="1"/>
    </row>
    <row r="30" spans="1:16" x14ac:dyDescent="0.2">
      <c r="F30" s="14"/>
      <c r="G30" s="14"/>
      <c r="H30" s="10"/>
      <c r="I30" s="10"/>
      <c r="J30" s="1"/>
      <c r="K30" s="1"/>
      <c r="L30" s="12"/>
      <c r="M30" s="1"/>
      <c r="N30" s="1"/>
      <c r="O30" s="12"/>
      <c r="P30" s="1"/>
    </row>
    <row r="31" spans="1:16" x14ac:dyDescent="0.2">
      <c r="F31" s="14"/>
      <c r="G31" s="14"/>
      <c r="H31" s="10"/>
      <c r="I31" s="10"/>
      <c r="J31" s="1"/>
      <c r="K31" s="1"/>
      <c r="L31" s="12"/>
      <c r="M31" s="1"/>
      <c r="N31" s="1"/>
      <c r="O31" s="12"/>
      <c r="P31" s="1"/>
    </row>
    <row r="32" spans="1:16" x14ac:dyDescent="0.2">
      <c r="F32" s="14"/>
      <c r="G32" s="14"/>
      <c r="H32" s="10"/>
      <c r="I32" s="10"/>
      <c r="J32" s="1"/>
      <c r="K32" s="1"/>
      <c r="L32" s="12"/>
      <c r="M32" s="1"/>
      <c r="N32" s="1"/>
      <c r="O32" s="12"/>
      <c r="P32" s="1"/>
    </row>
    <row r="33" spans="6:16" x14ac:dyDescent="0.2">
      <c r="F33" s="14"/>
      <c r="G33" s="14"/>
      <c r="H33" s="10"/>
      <c r="I33" s="10"/>
      <c r="J33" s="1"/>
      <c r="K33" s="1"/>
      <c r="L33" s="12"/>
      <c r="M33" s="1"/>
      <c r="N33" s="1"/>
      <c r="O33" s="12"/>
      <c r="P33" s="1"/>
    </row>
    <row r="34" spans="6:16" x14ac:dyDescent="0.2">
      <c r="F34" s="14"/>
      <c r="G34" s="14"/>
      <c r="H34" s="10"/>
      <c r="I34" s="10"/>
      <c r="J34" s="1"/>
      <c r="K34" s="1"/>
      <c r="L34" s="12"/>
      <c r="M34" s="1"/>
      <c r="N34" s="1"/>
      <c r="O34" s="12"/>
      <c r="P34" s="1"/>
    </row>
    <row r="35" spans="6:16" x14ac:dyDescent="0.2">
      <c r="F35" s="14"/>
      <c r="G35" s="14"/>
      <c r="H35" s="10"/>
      <c r="I35" s="10"/>
      <c r="J35" s="1"/>
      <c r="K35" s="1"/>
      <c r="L35" s="12"/>
      <c r="M35" s="1"/>
      <c r="N35" s="1"/>
      <c r="O35" s="12"/>
      <c r="P35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5527B6-58FD-524E-85CF-A53FB2DF16C9}">
  <dimension ref="A1:K12"/>
  <sheetViews>
    <sheetView workbookViewId="0">
      <selection activeCell="J12" sqref="J12"/>
    </sheetView>
  </sheetViews>
  <sheetFormatPr baseColWidth="10" defaultRowHeight="16" x14ac:dyDescent="0.2"/>
  <cols>
    <col min="1" max="1" width="10.83203125" style="1"/>
    <col min="2" max="2" width="20.1640625" style="1" bestFit="1" customWidth="1"/>
    <col min="3" max="3" width="13.1640625" style="1" bestFit="1" customWidth="1"/>
    <col min="4" max="5" width="10.83203125" style="1"/>
    <col min="6" max="6" width="12" style="1" bestFit="1" customWidth="1"/>
    <col min="7" max="16384" width="10.83203125" style="1"/>
  </cols>
  <sheetData>
    <row r="1" spans="1:11" x14ac:dyDescent="0.2">
      <c r="A1" s="1" t="s">
        <v>414</v>
      </c>
      <c r="B1" s="1" t="s">
        <v>405</v>
      </c>
      <c r="C1" s="1" t="s">
        <v>0</v>
      </c>
      <c r="D1" s="1" t="s">
        <v>406</v>
      </c>
      <c r="E1" s="1" t="s">
        <v>401</v>
      </c>
      <c r="F1" s="1" t="s">
        <v>407</v>
      </c>
      <c r="G1" s="1" t="s">
        <v>408</v>
      </c>
      <c r="H1" s="1" t="s">
        <v>393</v>
      </c>
      <c r="I1" s="1" t="s">
        <v>409</v>
      </c>
      <c r="J1" s="1" t="s">
        <v>410</v>
      </c>
      <c r="K1" s="1" t="s">
        <v>411</v>
      </c>
    </row>
    <row r="2" spans="1:11" x14ac:dyDescent="0.2">
      <c r="A2" s="1" t="s">
        <v>415</v>
      </c>
      <c r="B2" s="1" t="s">
        <v>412</v>
      </c>
      <c r="C2" s="1" t="s">
        <v>2</v>
      </c>
      <c r="D2" s="1">
        <v>2800</v>
      </c>
      <c r="E2" s="1">
        <v>1.111</v>
      </c>
      <c r="F2" s="1">
        <v>475</v>
      </c>
      <c r="G2" s="1" t="s">
        <v>413</v>
      </c>
      <c r="H2" s="11" t="s">
        <v>416</v>
      </c>
      <c r="K2" s="1">
        <f>IF(J2=0,0,IF(J2="P",0,IF(J2="L",-E2,IF(D2&lt;0,E2*(100/-D2),E2*(D2/100)))/1))</f>
        <v>0</v>
      </c>
    </row>
    <row r="3" spans="1:11" x14ac:dyDescent="0.2">
      <c r="A3" s="1" t="s">
        <v>415</v>
      </c>
      <c r="B3" s="1" t="s">
        <v>412</v>
      </c>
      <c r="C3" s="1" t="s">
        <v>30</v>
      </c>
      <c r="D3" s="1">
        <v>2000</v>
      </c>
      <c r="E3" s="1">
        <v>1.58</v>
      </c>
      <c r="F3" s="1">
        <v>6000</v>
      </c>
      <c r="G3" s="1" t="s">
        <v>413</v>
      </c>
      <c r="H3" s="11" t="s">
        <v>417</v>
      </c>
      <c r="K3" s="1">
        <f t="shared" ref="K3:K12" si="0">IF(J3=0,0,IF(J3="P",0,IF(J3="L",-E3,IF(D3&lt;0,E3*(100/-D3),E3*(D3/100)))/1))</f>
        <v>0</v>
      </c>
    </row>
    <row r="4" spans="1:11" x14ac:dyDescent="0.2">
      <c r="A4" s="1" t="s">
        <v>415</v>
      </c>
      <c r="B4" s="1" t="s">
        <v>412</v>
      </c>
      <c r="C4" s="1" t="s">
        <v>13</v>
      </c>
      <c r="D4" s="1">
        <v>7000</v>
      </c>
      <c r="E4" s="1">
        <v>0.45</v>
      </c>
      <c r="F4" s="1">
        <v>1800</v>
      </c>
      <c r="G4" s="1" t="s">
        <v>413</v>
      </c>
      <c r="H4" s="11" t="s">
        <v>417</v>
      </c>
      <c r="K4" s="1">
        <f t="shared" si="0"/>
        <v>0</v>
      </c>
    </row>
    <row r="5" spans="1:11" x14ac:dyDescent="0.2">
      <c r="A5" s="1" t="s">
        <v>415</v>
      </c>
      <c r="B5" s="1" t="s">
        <v>412</v>
      </c>
      <c r="C5" s="1" t="s">
        <v>48</v>
      </c>
      <c r="D5" s="1">
        <v>20000</v>
      </c>
      <c r="E5" s="1">
        <v>0.15</v>
      </c>
      <c r="F5" s="1">
        <v>50000</v>
      </c>
      <c r="G5" s="1" t="s">
        <v>447</v>
      </c>
      <c r="H5" s="11" t="s">
        <v>417</v>
      </c>
      <c r="J5" s="1" t="s">
        <v>389</v>
      </c>
      <c r="K5" s="1">
        <f t="shared" si="0"/>
        <v>-0.15</v>
      </c>
    </row>
    <row r="6" spans="1:11" x14ac:dyDescent="0.2">
      <c r="A6" s="1" t="s">
        <v>415</v>
      </c>
      <c r="B6" s="1" t="s">
        <v>445</v>
      </c>
      <c r="C6" s="1" t="s">
        <v>9</v>
      </c>
      <c r="D6" s="1">
        <v>816</v>
      </c>
      <c r="E6" s="1">
        <v>0.85</v>
      </c>
      <c r="F6" s="1">
        <v>816</v>
      </c>
      <c r="G6" s="1" t="s">
        <v>413</v>
      </c>
      <c r="H6" s="1" t="s">
        <v>448</v>
      </c>
      <c r="K6" s="1">
        <f t="shared" si="0"/>
        <v>0</v>
      </c>
    </row>
    <row r="7" spans="1:11" x14ac:dyDescent="0.2">
      <c r="A7" s="1" t="s">
        <v>415</v>
      </c>
      <c r="B7" s="1" t="s">
        <v>446</v>
      </c>
      <c r="C7" s="1" t="s">
        <v>10</v>
      </c>
      <c r="D7" s="1">
        <v>1725</v>
      </c>
      <c r="E7" s="1">
        <v>0.45</v>
      </c>
      <c r="F7" s="1">
        <v>1725</v>
      </c>
      <c r="G7" s="1" t="s">
        <v>413</v>
      </c>
      <c r="H7" s="1" t="s">
        <v>448</v>
      </c>
      <c r="K7" s="1">
        <f t="shared" si="0"/>
        <v>0</v>
      </c>
    </row>
    <row r="8" spans="1:11" x14ac:dyDescent="0.2">
      <c r="A8" s="1" t="s">
        <v>415</v>
      </c>
      <c r="B8" s="1" t="s">
        <v>449</v>
      </c>
      <c r="C8" s="1" t="s">
        <v>23</v>
      </c>
      <c r="D8" s="1">
        <v>281</v>
      </c>
      <c r="E8" s="1">
        <v>0.65</v>
      </c>
      <c r="F8" s="1">
        <v>281</v>
      </c>
      <c r="G8" s="1" t="s">
        <v>413</v>
      </c>
      <c r="H8" s="1" t="s">
        <v>451</v>
      </c>
      <c r="K8" s="1">
        <f t="shared" si="0"/>
        <v>0</v>
      </c>
    </row>
    <row r="9" spans="1:11" x14ac:dyDescent="0.2">
      <c r="A9" s="1" t="s">
        <v>415</v>
      </c>
      <c r="B9" s="1" t="s">
        <v>449</v>
      </c>
      <c r="C9" s="1" t="s">
        <v>10</v>
      </c>
      <c r="D9" s="1">
        <v>155</v>
      </c>
      <c r="E9" s="1">
        <v>1</v>
      </c>
      <c r="F9" s="1">
        <v>155</v>
      </c>
      <c r="G9" s="1" t="s">
        <v>413</v>
      </c>
      <c r="H9" s="1" t="s">
        <v>451</v>
      </c>
      <c r="K9" s="1">
        <f t="shared" si="0"/>
        <v>0</v>
      </c>
    </row>
    <row r="10" spans="1:11" x14ac:dyDescent="0.2">
      <c r="A10" s="1" t="s">
        <v>415</v>
      </c>
      <c r="B10" s="1" t="s">
        <v>450</v>
      </c>
      <c r="C10" s="1" t="s">
        <v>40</v>
      </c>
      <c r="D10" s="1">
        <v>111</v>
      </c>
      <c r="E10" s="1">
        <v>0.5</v>
      </c>
      <c r="F10" s="1">
        <v>111</v>
      </c>
      <c r="G10" s="1" t="s">
        <v>413</v>
      </c>
      <c r="H10" s="1" t="s">
        <v>451</v>
      </c>
      <c r="K10" s="1">
        <f t="shared" si="0"/>
        <v>0</v>
      </c>
    </row>
    <row r="11" spans="1:11" x14ac:dyDescent="0.2">
      <c r="A11" s="1" t="s">
        <v>415</v>
      </c>
      <c r="B11" s="1" t="s">
        <v>449</v>
      </c>
      <c r="C11" s="1" t="s">
        <v>9</v>
      </c>
      <c r="D11" s="1">
        <v>-144</v>
      </c>
      <c r="E11" s="1">
        <v>1.44</v>
      </c>
      <c r="F11" s="1">
        <v>-144</v>
      </c>
      <c r="G11" s="1" t="s">
        <v>413</v>
      </c>
      <c r="H11" s="1" t="s">
        <v>451</v>
      </c>
      <c r="K11" s="1">
        <f t="shared" si="0"/>
        <v>0</v>
      </c>
    </row>
    <row r="12" spans="1:11" x14ac:dyDescent="0.2">
      <c r="A12" s="1" t="s">
        <v>415</v>
      </c>
      <c r="B12" s="1" t="s">
        <v>450</v>
      </c>
      <c r="C12" s="1" t="s">
        <v>24</v>
      </c>
      <c r="D12" s="1">
        <v>-142</v>
      </c>
      <c r="E12" s="1">
        <v>1.0649999999999999</v>
      </c>
      <c r="F12" s="1">
        <v>-142</v>
      </c>
      <c r="G12" s="1" t="s">
        <v>413</v>
      </c>
      <c r="H12" s="1" t="s">
        <v>451</v>
      </c>
      <c r="K12" s="1">
        <f t="shared" si="0"/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51BAEE-C2FE-D343-91CD-53A70DA99145}">
  <dimension ref="A1:D366"/>
  <sheetViews>
    <sheetView workbookViewId="0">
      <selection activeCell="D2" sqref="D2"/>
    </sheetView>
  </sheetViews>
  <sheetFormatPr baseColWidth="10" defaultRowHeight="16" x14ac:dyDescent="0.2"/>
  <cols>
    <col min="1" max="4" width="10.83203125" style="1"/>
  </cols>
  <sheetData>
    <row r="1" spans="1:4" x14ac:dyDescent="0.2">
      <c r="A1" s="2" t="s">
        <v>0</v>
      </c>
      <c r="B1" s="2" t="s">
        <v>367</v>
      </c>
      <c r="C1" s="2" t="s">
        <v>366</v>
      </c>
      <c r="D1" s="2" t="s">
        <v>404</v>
      </c>
    </row>
    <row r="2" spans="1:4" x14ac:dyDescent="0.2">
      <c r="A2" s="1" t="s">
        <v>1</v>
      </c>
      <c r="B2" s="3">
        <f>VLOOKUP(A2,[3]TeamRtg!$A$3:$G$367,7,FALSE)</f>
        <v>2.374906378088915</v>
      </c>
      <c r="C2" s="1">
        <f>RANK(B2,$B$2:$B$366)</f>
        <v>3</v>
      </c>
      <c r="D2" s="1">
        <v>2</v>
      </c>
    </row>
    <row r="3" spans="1:4" x14ac:dyDescent="0.2">
      <c r="A3" s="1" t="s">
        <v>2</v>
      </c>
      <c r="B3" s="3">
        <f>VLOOKUP(A3,[3]TeamRtg!$A$3:$G$367,7,FALSE)</f>
        <v>2.4427346831240313</v>
      </c>
      <c r="C3" s="1">
        <f t="shared" ref="C3:C66" si="0">RANK(B3,$B$2:$B$366)</f>
        <v>1</v>
      </c>
      <c r="D3" s="1">
        <v>3</v>
      </c>
    </row>
    <row r="4" spans="1:4" x14ac:dyDescent="0.2">
      <c r="A4" s="1" t="s">
        <v>3</v>
      </c>
      <c r="B4" s="3">
        <f>VLOOKUP(A4,[3]TeamRtg!$A$3:$G$367,7,FALSE)</f>
        <v>2.3860634248226917</v>
      </c>
      <c r="C4" s="1">
        <f t="shared" si="0"/>
        <v>2</v>
      </c>
      <c r="D4" s="1">
        <v>1</v>
      </c>
    </row>
    <row r="5" spans="1:4" x14ac:dyDescent="0.2">
      <c r="A5" s="1" t="s">
        <v>4</v>
      </c>
      <c r="B5" s="3">
        <f>VLOOKUP(A5,[3]TeamRtg!$A$3:$G$367,7,FALSE)</f>
        <v>2.3315303175211648</v>
      </c>
      <c r="C5" s="1">
        <f t="shared" si="0"/>
        <v>4</v>
      </c>
      <c r="D5" s="1">
        <v>4</v>
      </c>
    </row>
    <row r="6" spans="1:4" x14ac:dyDescent="0.2">
      <c r="A6" s="1" t="s">
        <v>5</v>
      </c>
      <c r="B6" s="3">
        <f>VLOOKUP(A6,[3]TeamRtg!$A$3:$G$367,7,FALSE)</f>
        <v>2.1502111235486088</v>
      </c>
      <c r="C6" s="1">
        <f t="shared" si="0"/>
        <v>5</v>
      </c>
      <c r="D6" s="1">
        <v>5</v>
      </c>
    </row>
    <row r="7" spans="1:4" x14ac:dyDescent="0.2">
      <c r="A7" s="1" t="s">
        <v>6</v>
      </c>
      <c r="B7" s="3">
        <f>VLOOKUP(A7,[3]TeamRtg!$A$3:$G$367,7,FALSE)</f>
        <v>2.143906315010315</v>
      </c>
      <c r="C7" s="1">
        <f t="shared" si="0"/>
        <v>7</v>
      </c>
      <c r="D7" s="1">
        <v>8</v>
      </c>
    </row>
    <row r="8" spans="1:4" x14ac:dyDescent="0.2">
      <c r="A8" s="1" t="s">
        <v>7</v>
      </c>
      <c r="B8" s="3">
        <f>VLOOKUP(A8,[3]TeamRtg!$A$3:$G$367,7,FALSE)</f>
        <v>2.1473685043186266</v>
      </c>
      <c r="C8" s="1">
        <f t="shared" si="0"/>
        <v>6</v>
      </c>
      <c r="D8" s="1">
        <v>6</v>
      </c>
    </row>
    <row r="9" spans="1:4" x14ac:dyDescent="0.2">
      <c r="A9" s="1" t="s">
        <v>8</v>
      </c>
      <c r="B9" s="3">
        <f>VLOOKUP(A9,[3]TeamRtg!$A$3:$G$367,7,FALSE)</f>
        <v>2.0364411684484489</v>
      </c>
      <c r="C9" s="1">
        <f t="shared" si="0"/>
        <v>11</v>
      </c>
      <c r="D9" s="1">
        <v>10</v>
      </c>
    </row>
    <row r="10" spans="1:4" x14ac:dyDescent="0.2">
      <c r="A10" s="1" t="s">
        <v>9</v>
      </c>
      <c r="B10" s="3">
        <f>VLOOKUP(A10,[3]TeamRtg!$A$3:$G$367,7,FALSE)</f>
        <v>2.0453513501822935</v>
      </c>
      <c r="C10" s="1">
        <f t="shared" si="0"/>
        <v>10</v>
      </c>
      <c r="D10" s="1">
        <v>9</v>
      </c>
    </row>
    <row r="11" spans="1:4" x14ac:dyDescent="0.2">
      <c r="A11" s="1" t="s">
        <v>10</v>
      </c>
      <c r="B11" s="3">
        <f>VLOOKUP(A11,[3]TeamRtg!$A$3:$G$367,7,FALSE)</f>
        <v>2.109734681404317</v>
      </c>
      <c r="C11" s="1">
        <f t="shared" si="0"/>
        <v>9</v>
      </c>
      <c r="D11" s="1">
        <v>7</v>
      </c>
    </row>
    <row r="12" spans="1:4" x14ac:dyDescent="0.2">
      <c r="A12" s="1" t="s">
        <v>11</v>
      </c>
      <c r="B12" s="3">
        <f>VLOOKUP(A12,[3]TeamRtg!$A$3:$G$367,7,FALSE)</f>
        <v>1.7311282388766018</v>
      </c>
      <c r="C12" s="1">
        <f t="shared" si="0"/>
        <v>17</v>
      </c>
      <c r="D12" s="1">
        <v>17</v>
      </c>
    </row>
    <row r="13" spans="1:4" x14ac:dyDescent="0.2">
      <c r="A13" s="1" t="s">
        <v>12</v>
      </c>
      <c r="B13" s="3">
        <f>VLOOKUP(A13,[3]TeamRtg!$A$3:$G$367,7,FALSE)</f>
        <v>2.0122599105258288</v>
      </c>
      <c r="C13" s="1">
        <f t="shared" si="0"/>
        <v>12</v>
      </c>
      <c r="D13" s="1">
        <v>11</v>
      </c>
    </row>
    <row r="14" spans="1:4" x14ac:dyDescent="0.2">
      <c r="A14" s="1" t="s">
        <v>13</v>
      </c>
      <c r="B14" s="3">
        <f>VLOOKUP(A14,[3]TeamRtg!$A$3:$G$367,7,FALSE)</f>
        <v>1.9213889289746828</v>
      </c>
      <c r="C14" s="1">
        <f t="shared" si="0"/>
        <v>14</v>
      </c>
      <c r="D14" s="1">
        <v>14</v>
      </c>
    </row>
    <row r="15" spans="1:4" x14ac:dyDescent="0.2">
      <c r="A15" s="1" t="s">
        <v>14</v>
      </c>
      <c r="B15" s="3">
        <f>VLOOKUP(A15,[3]TeamRtg!$A$3:$G$367,7,FALSE)</f>
        <v>2.1160664557016808</v>
      </c>
      <c r="C15" s="1">
        <f t="shared" si="0"/>
        <v>8</v>
      </c>
      <c r="D15" s="1">
        <v>12</v>
      </c>
    </row>
    <row r="16" spans="1:4" x14ac:dyDescent="0.2">
      <c r="A16" s="1" t="s">
        <v>15</v>
      </c>
      <c r="B16" s="3">
        <f>VLOOKUP(A16,[3]TeamRtg!$A$3:$G$367,7,FALSE)</f>
        <v>1.9758460838277705</v>
      </c>
      <c r="C16" s="1">
        <f t="shared" si="0"/>
        <v>13</v>
      </c>
      <c r="D16" s="1">
        <v>13</v>
      </c>
    </row>
    <row r="17" spans="1:4" x14ac:dyDescent="0.2">
      <c r="A17" s="1" t="s">
        <v>16</v>
      </c>
      <c r="B17" s="3">
        <f>VLOOKUP(A17,[3]TeamRtg!$A$3:$G$367,7,FALSE)</f>
        <v>1.8456789156035616</v>
      </c>
      <c r="C17" s="1">
        <f t="shared" si="0"/>
        <v>15</v>
      </c>
      <c r="D17" s="1">
        <v>16</v>
      </c>
    </row>
    <row r="18" spans="1:4" x14ac:dyDescent="0.2">
      <c r="A18" s="1" t="s">
        <v>17</v>
      </c>
      <c r="B18" s="3">
        <f>VLOOKUP(A18,[3]TeamRtg!$A$3:$G$367,7,FALSE)</f>
        <v>1.8364651719629081</v>
      </c>
      <c r="C18" s="1">
        <f t="shared" si="0"/>
        <v>16</v>
      </c>
      <c r="D18" s="1">
        <v>15</v>
      </c>
    </row>
    <row r="19" spans="1:4" x14ac:dyDescent="0.2">
      <c r="A19" s="1" t="s">
        <v>18</v>
      </c>
      <c r="B19" s="3">
        <f>VLOOKUP(A19,[3]TeamRtg!$A$3:$G$367,7,FALSE)</f>
        <v>1.6859480545783385</v>
      </c>
      <c r="C19" s="1">
        <f t="shared" si="0"/>
        <v>21</v>
      </c>
      <c r="D19" s="1">
        <v>18</v>
      </c>
    </row>
    <row r="20" spans="1:4" x14ac:dyDescent="0.2">
      <c r="A20" s="1" t="s">
        <v>19</v>
      </c>
      <c r="B20" s="3">
        <f>VLOOKUP(A20,[3]TeamRtg!$A$3:$G$367,7,FALSE)</f>
        <v>1.7306420774264573</v>
      </c>
      <c r="C20" s="1">
        <f t="shared" si="0"/>
        <v>18</v>
      </c>
      <c r="D20" s="1">
        <v>19</v>
      </c>
    </row>
    <row r="21" spans="1:4" x14ac:dyDescent="0.2">
      <c r="A21" s="1" t="s">
        <v>20</v>
      </c>
      <c r="B21" s="3">
        <f>VLOOKUP(A21,[3]TeamRtg!$A$3:$G$367,7,FALSE)</f>
        <v>1.7050769906273366</v>
      </c>
      <c r="C21" s="1">
        <f t="shared" si="0"/>
        <v>20</v>
      </c>
      <c r="D21" s="1">
        <v>20</v>
      </c>
    </row>
    <row r="22" spans="1:4" x14ac:dyDescent="0.2">
      <c r="A22" s="1" t="s">
        <v>21</v>
      </c>
      <c r="B22" s="3">
        <f>VLOOKUP(A22,[3]TeamRtg!$A$3:$G$367,7,FALSE)</f>
        <v>1.6491275897688296</v>
      </c>
      <c r="C22" s="1">
        <f t="shared" si="0"/>
        <v>22</v>
      </c>
      <c r="D22" s="1">
        <v>22</v>
      </c>
    </row>
    <row r="23" spans="1:4" x14ac:dyDescent="0.2">
      <c r="A23" s="1" t="s">
        <v>22</v>
      </c>
      <c r="B23" s="3">
        <f>VLOOKUP(A23,[3]TeamRtg!$A$3:$G$367,7,FALSE)</f>
        <v>1.7211046845780766</v>
      </c>
      <c r="C23" s="1">
        <f t="shared" si="0"/>
        <v>19</v>
      </c>
      <c r="D23" s="1">
        <v>21</v>
      </c>
    </row>
    <row r="24" spans="1:4" x14ac:dyDescent="0.2">
      <c r="A24" s="1" t="s">
        <v>23</v>
      </c>
      <c r="B24" s="3">
        <f>VLOOKUP(A24,[3]TeamRtg!$A$3:$G$367,7,FALSE)</f>
        <v>1.6121899227318626</v>
      </c>
      <c r="C24" s="1">
        <f t="shared" si="0"/>
        <v>24</v>
      </c>
      <c r="D24" s="1">
        <v>24</v>
      </c>
    </row>
    <row r="25" spans="1:4" x14ac:dyDescent="0.2">
      <c r="A25" s="1" t="s">
        <v>24</v>
      </c>
      <c r="B25" s="3">
        <f>VLOOKUP(A25,[3]TeamRtg!$A$3:$G$367,7,FALSE)</f>
        <v>1.5996319583409651</v>
      </c>
      <c r="C25" s="1">
        <f t="shared" si="0"/>
        <v>25</v>
      </c>
      <c r="D25" s="1">
        <v>25</v>
      </c>
    </row>
    <row r="26" spans="1:4" x14ac:dyDescent="0.2">
      <c r="A26" s="1" t="s">
        <v>25</v>
      </c>
      <c r="B26" s="3">
        <f>VLOOKUP(A26,[3]TeamRtg!$A$3:$G$367,7,FALSE)</f>
        <v>1.4608200972565963</v>
      </c>
      <c r="C26" s="1">
        <f t="shared" si="0"/>
        <v>31</v>
      </c>
      <c r="D26" s="1">
        <v>28</v>
      </c>
    </row>
    <row r="27" spans="1:4" x14ac:dyDescent="0.2">
      <c r="A27" s="1" t="s">
        <v>26</v>
      </c>
      <c r="B27" s="3">
        <f>VLOOKUP(A27,[3]TeamRtg!$A$3:$G$367,7,FALSE)</f>
        <v>1.6341399417225639</v>
      </c>
      <c r="C27" s="1">
        <f t="shared" si="0"/>
        <v>23</v>
      </c>
      <c r="D27" s="1">
        <v>26</v>
      </c>
    </row>
    <row r="28" spans="1:4" x14ac:dyDescent="0.2">
      <c r="A28" s="1" t="s">
        <v>27</v>
      </c>
      <c r="B28" s="3">
        <f>VLOOKUP(A28,[3]TeamRtg!$A$3:$G$367,7,FALSE)</f>
        <v>1.5900934996824778</v>
      </c>
      <c r="C28" s="1">
        <f t="shared" si="0"/>
        <v>26</v>
      </c>
      <c r="D28" s="1">
        <v>27</v>
      </c>
    </row>
    <row r="29" spans="1:4" x14ac:dyDescent="0.2">
      <c r="A29" s="1" t="s">
        <v>28</v>
      </c>
      <c r="B29" s="3">
        <f>VLOOKUP(A29,[3]TeamRtg!$A$3:$G$367,7,FALSE)</f>
        <v>1.5662553314477887</v>
      </c>
      <c r="C29" s="1">
        <f t="shared" si="0"/>
        <v>27</v>
      </c>
      <c r="D29" s="1">
        <v>23</v>
      </c>
    </row>
    <row r="30" spans="1:4" x14ac:dyDescent="0.2">
      <c r="A30" s="1" t="s">
        <v>29</v>
      </c>
      <c r="B30" s="3">
        <f>VLOOKUP(A30,[3]TeamRtg!$A$3:$G$367,7,FALSE)</f>
        <v>1.4160075341596905</v>
      </c>
      <c r="C30" s="1">
        <f t="shared" si="0"/>
        <v>33</v>
      </c>
      <c r="D30" s="1">
        <v>32</v>
      </c>
    </row>
    <row r="31" spans="1:4" x14ac:dyDescent="0.2">
      <c r="A31" s="1" t="s">
        <v>30</v>
      </c>
      <c r="B31" s="3">
        <f>VLOOKUP(A31,[3]TeamRtg!$A$3:$G$367,7,FALSE)</f>
        <v>1.5243037871893734</v>
      </c>
      <c r="C31" s="1">
        <f t="shared" si="0"/>
        <v>28</v>
      </c>
      <c r="D31" s="1">
        <v>29</v>
      </c>
    </row>
    <row r="32" spans="1:4" x14ac:dyDescent="0.2">
      <c r="A32" s="1" t="s">
        <v>31</v>
      </c>
      <c r="B32" s="3">
        <f>VLOOKUP(A32,[3]TeamRtg!$A$3:$G$367,7,FALSE)</f>
        <v>1.5129611168726278</v>
      </c>
      <c r="C32" s="1">
        <f t="shared" si="0"/>
        <v>29</v>
      </c>
      <c r="D32" s="1">
        <v>30</v>
      </c>
    </row>
    <row r="33" spans="1:4" x14ac:dyDescent="0.2">
      <c r="A33" s="1" t="s">
        <v>32</v>
      </c>
      <c r="B33" s="3">
        <f>VLOOKUP(A33,[3]TeamRtg!$A$3:$G$367,7,FALSE)</f>
        <v>1.4363021834994452</v>
      </c>
      <c r="C33" s="1">
        <f t="shared" si="0"/>
        <v>32</v>
      </c>
      <c r="D33" s="1">
        <v>33</v>
      </c>
    </row>
    <row r="34" spans="1:4" x14ac:dyDescent="0.2">
      <c r="A34" s="1" t="s">
        <v>33</v>
      </c>
      <c r="B34" s="3">
        <f>VLOOKUP(A34,[3]TeamRtg!$A$3:$G$367,7,FALSE)</f>
        <v>1.4819884633977598</v>
      </c>
      <c r="C34" s="1">
        <f t="shared" si="0"/>
        <v>30</v>
      </c>
      <c r="D34" s="1">
        <v>31</v>
      </c>
    </row>
    <row r="35" spans="1:4" x14ac:dyDescent="0.2">
      <c r="A35" s="1" t="s">
        <v>34</v>
      </c>
      <c r="B35" s="3">
        <f>VLOOKUP(A35,[3]TeamRtg!$A$3:$G$367,7,FALSE)</f>
        <v>1.3739060089926272</v>
      </c>
      <c r="C35" s="1">
        <f t="shared" si="0"/>
        <v>35</v>
      </c>
      <c r="D35" s="1">
        <v>37</v>
      </c>
    </row>
    <row r="36" spans="1:4" x14ac:dyDescent="0.2">
      <c r="A36" s="1" t="s">
        <v>35</v>
      </c>
      <c r="B36" s="3">
        <f>VLOOKUP(A36,[3]TeamRtg!$A$3:$G$367,7,FALSE)</f>
        <v>1.4012349696170687</v>
      </c>
      <c r="C36" s="1">
        <f t="shared" si="0"/>
        <v>34</v>
      </c>
      <c r="D36" s="1">
        <v>34</v>
      </c>
    </row>
    <row r="37" spans="1:4" x14ac:dyDescent="0.2">
      <c r="A37" s="1" t="s">
        <v>36</v>
      </c>
      <c r="B37" s="3">
        <f>VLOOKUP(A37,[3]TeamRtg!$A$3:$G$367,7,FALSE)</f>
        <v>1.3271904281967373</v>
      </c>
      <c r="C37" s="1">
        <f t="shared" si="0"/>
        <v>37</v>
      </c>
      <c r="D37" s="1">
        <v>35</v>
      </c>
    </row>
    <row r="38" spans="1:4" x14ac:dyDescent="0.2">
      <c r="A38" s="1" t="s">
        <v>37</v>
      </c>
      <c r="B38" s="3">
        <f>VLOOKUP(A38,[3]TeamRtg!$A$3:$G$367,7,FALSE)</f>
        <v>1.3334797732057642</v>
      </c>
      <c r="C38" s="1">
        <f t="shared" si="0"/>
        <v>36</v>
      </c>
      <c r="D38" s="1">
        <v>36</v>
      </c>
    </row>
    <row r="39" spans="1:4" x14ac:dyDescent="0.2">
      <c r="A39" s="1" t="s">
        <v>38</v>
      </c>
      <c r="B39" s="3">
        <f>VLOOKUP(A39,[3]TeamRtg!$A$3:$G$367,7,FALSE)</f>
        <v>1.2848157261092557</v>
      </c>
      <c r="C39" s="1">
        <f t="shared" si="0"/>
        <v>40</v>
      </c>
      <c r="D39" s="1">
        <v>41</v>
      </c>
    </row>
    <row r="40" spans="1:4" x14ac:dyDescent="0.2">
      <c r="A40" s="1" t="s">
        <v>39</v>
      </c>
      <c r="B40" s="3">
        <f>VLOOKUP(A40,[3]TeamRtg!$A$3:$G$367,7,FALSE)</f>
        <v>1.2531437340851304</v>
      </c>
      <c r="C40" s="1">
        <f t="shared" si="0"/>
        <v>43</v>
      </c>
      <c r="D40" s="1">
        <v>38</v>
      </c>
    </row>
    <row r="41" spans="1:4" x14ac:dyDescent="0.2">
      <c r="A41" s="1" t="s">
        <v>40</v>
      </c>
      <c r="B41" s="3">
        <f>VLOOKUP(A41,[3]TeamRtg!$A$3:$G$367,7,FALSE)</f>
        <v>1.2856654984678415</v>
      </c>
      <c r="C41" s="1">
        <f t="shared" si="0"/>
        <v>39</v>
      </c>
      <c r="D41" s="1">
        <v>39</v>
      </c>
    </row>
    <row r="42" spans="1:4" x14ac:dyDescent="0.2">
      <c r="A42" s="1" t="s">
        <v>41</v>
      </c>
      <c r="B42" s="3">
        <f>VLOOKUP(A42,[3]TeamRtg!$A$3:$G$367,7,FALSE)</f>
        <v>1.231815771797933</v>
      </c>
      <c r="C42" s="1">
        <f t="shared" si="0"/>
        <v>45</v>
      </c>
      <c r="D42" s="1">
        <v>40</v>
      </c>
    </row>
    <row r="43" spans="1:4" x14ac:dyDescent="0.2">
      <c r="A43" s="1" t="s">
        <v>42</v>
      </c>
      <c r="B43" s="3">
        <f>VLOOKUP(A43,[3]TeamRtg!$A$3:$G$367,7,FALSE)</f>
        <v>1.2107277333827458</v>
      </c>
      <c r="C43" s="1">
        <f t="shared" si="0"/>
        <v>47</v>
      </c>
      <c r="D43" s="1">
        <v>42</v>
      </c>
    </row>
    <row r="44" spans="1:4" x14ac:dyDescent="0.2">
      <c r="A44" s="1" t="s">
        <v>43</v>
      </c>
      <c r="B44" s="3">
        <f>VLOOKUP(A44,[3]TeamRtg!$A$3:$G$367,7,FALSE)</f>
        <v>1.2729552720632695</v>
      </c>
      <c r="C44" s="1">
        <f t="shared" si="0"/>
        <v>41</v>
      </c>
      <c r="D44" s="1">
        <v>43</v>
      </c>
    </row>
    <row r="45" spans="1:4" x14ac:dyDescent="0.2">
      <c r="A45" s="1" t="s">
        <v>44</v>
      </c>
      <c r="B45" s="3">
        <f>VLOOKUP(A45,[3]TeamRtg!$A$3:$G$367,7,FALSE)</f>
        <v>1.1722001723402886</v>
      </c>
      <c r="C45" s="1">
        <f t="shared" si="0"/>
        <v>50</v>
      </c>
      <c r="D45" s="1">
        <v>46</v>
      </c>
    </row>
    <row r="46" spans="1:4" x14ac:dyDescent="0.2">
      <c r="A46" s="1" t="s">
        <v>45</v>
      </c>
      <c r="B46" s="3">
        <f>VLOOKUP(A46,[3]TeamRtg!$A$3:$G$367,7,FALSE)</f>
        <v>1.2430427757716034</v>
      </c>
      <c r="C46" s="1">
        <f t="shared" si="0"/>
        <v>44</v>
      </c>
      <c r="D46" s="1">
        <v>44</v>
      </c>
    </row>
    <row r="47" spans="1:4" x14ac:dyDescent="0.2">
      <c r="A47" s="1" t="s">
        <v>46</v>
      </c>
      <c r="B47" s="3">
        <f>VLOOKUP(A47,[3]TeamRtg!$A$3:$G$367,7,FALSE)</f>
        <v>1.2617940839971844</v>
      </c>
      <c r="C47" s="1">
        <f t="shared" si="0"/>
        <v>42</v>
      </c>
      <c r="D47" s="1">
        <v>45</v>
      </c>
    </row>
    <row r="48" spans="1:4" x14ac:dyDescent="0.2">
      <c r="A48" s="1" t="s">
        <v>47</v>
      </c>
      <c r="B48" s="3">
        <f>VLOOKUP(A48,[3]TeamRtg!$A$3:$G$367,7,FALSE)</f>
        <v>1.3157101233234196</v>
      </c>
      <c r="C48" s="1">
        <f t="shared" si="0"/>
        <v>38</v>
      </c>
      <c r="D48" s="1">
        <v>47</v>
      </c>
    </row>
    <row r="49" spans="1:4" x14ac:dyDescent="0.2">
      <c r="A49" s="1" t="s">
        <v>48</v>
      </c>
      <c r="B49" s="3">
        <f>VLOOKUP(A49,[3]TeamRtg!$A$3:$G$367,7,FALSE)</f>
        <v>1.1281823361073529</v>
      </c>
      <c r="C49" s="1">
        <f t="shared" si="0"/>
        <v>51</v>
      </c>
      <c r="D49" s="1">
        <v>54</v>
      </c>
    </row>
    <row r="50" spans="1:4" x14ac:dyDescent="0.2">
      <c r="A50" s="1" t="s">
        <v>49</v>
      </c>
      <c r="B50" s="3">
        <f>VLOOKUP(A50,[3]TeamRtg!$A$3:$G$367,7,FALSE)</f>
        <v>1.1734261836755968</v>
      </c>
      <c r="C50" s="1">
        <f t="shared" si="0"/>
        <v>49</v>
      </c>
      <c r="D50" s="1">
        <v>49</v>
      </c>
    </row>
    <row r="51" spans="1:4" x14ac:dyDescent="0.2">
      <c r="A51" s="1" t="s">
        <v>50</v>
      </c>
      <c r="B51" s="3">
        <f>VLOOKUP(A51,[3]TeamRtg!$A$3:$G$367,7,FALSE)</f>
        <v>1.1826713862994798</v>
      </c>
      <c r="C51" s="1">
        <f t="shared" si="0"/>
        <v>48</v>
      </c>
      <c r="D51" s="1">
        <v>48</v>
      </c>
    </row>
    <row r="52" spans="1:4" x14ac:dyDescent="0.2">
      <c r="A52" s="1" t="s">
        <v>51</v>
      </c>
      <c r="B52" s="3">
        <f>VLOOKUP(A52,[3]TeamRtg!$A$3:$G$367,7,FALSE)</f>
        <v>1.0406076058347336</v>
      </c>
      <c r="C52" s="1">
        <f t="shared" si="0"/>
        <v>56</v>
      </c>
      <c r="D52" s="1">
        <v>51</v>
      </c>
    </row>
    <row r="53" spans="1:4" x14ac:dyDescent="0.2">
      <c r="A53" s="1" t="s">
        <v>52</v>
      </c>
      <c r="B53" s="3">
        <f>VLOOKUP(A53,[3]TeamRtg!$A$3:$G$367,7,FALSE)</f>
        <v>1.0252710047261573</v>
      </c>
      <c r="C53" s="1">
        <f t="shared" si="0"/>
        <v>57</v>
      </c>
      <c r="D53" s="1">
        <v>53</v>
      </c>
    </row>
    <row r="54" spans="1:4" x14ac:dyDescent="0.2">
      <c r="A54" s="1" t="s">
        <v>53</v>
      </c>
      <c r="B54" s="3">
        <f>VLOOKUP(A54,[3]TeamRtg!$A$3:$G$367,7,FALSE)</f>
        <v>1.2148752308501618</v>
      </c>
      <c r="C54" s="1">
        <f t="shared" si="0"/>
        <v>46</v>
      </c>
      <c r="D54" s="1">
        <v>50</v>
      </c>
    </row>
    <row r="55" spans="1:4" x14ac:dyDescent="0.2">
      <c r="A55" s="1" t="s">
        <v>54</v>
      </c>
      <c r="B55" s="3">
        <f>VLOOKUP(A55,[3]TeamRtg!$A$3:$G$367,7,FALSE)</f>
        <v>1.0651910207751212</v>
      </c>
      <c r="C55" s="1">
        <f t="shared" si="0"/>
        <v>53</v>
      </c>
      <c r="D55" s="1">
        <v>52</v>
      </c>
    </row>
    <row r="56" spans="1:4" x14ac:dyDescent="0.2">
      <c r="A56" s="1" t="s">
        <v>55</v>
      </c>
      <c r="B56" s="3">
        <f>VLOOKUP(A56,[3]TeamRtg!$A$3:$G$367,7,FALSE)</f>
        <v>1.0417914151390366</v>
      </c>
      <c r="C56" s="1">
        <f t="shared" si="0"/>
        <v>55</v>
      </c>
      <c r="D56" s="1">
        <v>55</v>
      </c>
    </row>
    <row r="57" spans="1:4" x14ac:dyDescent="0.2">
      <c r="A57" s="1" t="s">
        <v>56</v>
      </c>
      <c r="B57" s="3">
        <f>VLOOKUP(A57,[3]TeamRtg!$A$3:$G$367,7,FALSE)</f>
        <v>1.0847433841960661</v>
      </c>
      <c r="C57" s="1">
        <f t="shared" si="0"/>
        <v>52</v>
      </c>
      <c r="D57" s="1">
        <v>59</v>
      </c>
    </row>
    <row r="58" spans="1:4" x14ac:dyDescent="0.2">
      <c r="A58" s="1" t="s">
        <v>57</v>
      </c>
      <c r="B58" s="3">
        <f>VLOOKUP(A58,[3]TeamRtg!$A$3:$G$367,7,FALSE)</f>
        <v>1.0136285340491191</v>
      </c>
      <c r="C58" s="1">
        <f t="shared" si="0"/>
        <v>59</v>
      </c>
      <c r="D58" s="1">
        <v>56</v>
      </c>
    </row>
    <row r="59" spans="1:4" x14ac:dyDescent="0.2">
      <c r="A59" s="1" t="s">
        <v>58</v>
      </c>
      <c r="B59" s="3">
        <f>VLOOKUP(A59,[3]TeamRtg!$A$3:$G$367,7,FALSE)</f>
        <v>1.0422108942579202</v>
      </c>
      <c r="C59" s="1">
        <f t="shared" si="0"/>
        <v>54</v>
      </c>
      <c r="D59" s="1">
        <v>57</v>
      </c>
    </row>
    <row r="60" spans="1:4" x14ac:dyDescent="0.2">
      <c r="A60" s="1" t="s">
        <v>59</v>
      </c>
      <c r="B60" s="3">
        <f>VLOOKUP(A60,[3]TeamRtg!$A$3:$G$367,7,FALSE)</f>
        <v>1.0214687451455049</v>
      </c>
      <c r="C60" s="1">
        <f t="shared" si="0"/>
        <v>58</v>
      </c>
      <c r="D60" s="1">
        <v>58</v>
      </c>
    </row>
    <row r="61" spans="1:4" x14ac:dyDescent="0.2">
      <c r="A61" s="1" t="s">
        <v>60</v>
      </c>
      <c r="B61" s="3">
        <f>VLOOKUP(A61,[3]TeamRtg!$A$3:$G$367,7,FALSE)</f>
        <v>0.95237908070768207</v>
      </c>
      <c r="C61" s="1">
        <f t="shared" si="0"/>
        <v>63</v>
      </c>
      <c r="D61" s="1">
        <v>65</v>
      </c>
    </row>
    <row r="62" spans="1:4" x14ac:dyDescent="0.2">
      <c r="A62" s="1" t="s">
        <v>61</v>
      </c>
      <c r="B62" s="3">
        <f>VLOOKUP(A62,[3]TeamRtg!$A$3:$G$367,7,FALSE)</f>
        <v>0.93822773575143892</v>
      </c>
      <c r="C62" s="1">
        <f t="shared" si="0"/>
        <v>64</v>
      </c>
      <c r="D62" s="1">
        <v>61</v>
      </c>
    </row>
    <row r="63" spans="1:4" x14ac:dyDescent="0.2">
      <c r="A63" s="1" t="s">
        <v>62</v>
      </c>
      <c r="B63" s="3">
        <f>VLOOKUP(A63,[3]TeamRtg!$A$3:$G$367,7,FALSE)</f>
        <v>1.0114037024556306</v>
      </c>
      <c r="C63" s="1">
        <f t="shared" si="0"/>
        <v>60</v>
      </c>
      <c r="D63" s="1">
        <v>62</v>
      </c>
    </row>
    <row r="64" spans="1:4" x14ac:dyDescent="0.2">
      <c r="A64" s="1" t="s">
        <v>63</v>
      </c>
      <c r="B64" s="3">
        <f>VLOOKUP(A64,[3]TeamRtg!$A$3:$G$367,7,FALSE)</f>
        <v>1.0048388576909064</v>
      </c>
      <c r="C64" s="1">
        <f t="shared" si="0"/>
        <v>61</v>
      </c>
      <c r="D64" s="1">
        <v>60</v>
      </c>
    </row>
    <row r="65" spans="1:4" x14ac:dyDescent="0.2">
      <c r="A65" s="1" t="s">
        <v>64</v>
      </c>
      <c r="B65" s="3">
        <f>VLOOKUP(A65,[3]TeamRtg!$A$3:$G$367,7,FALSE)</f>
        <v>0.88564806627631754</v>
      </c>
      <c r="C65" s="1">
        <f t="shared" si="0"/>
        <v>67</v>
      </c>
      <c r="D65" s="1">
        <v>68</v>
      </c>
    </row>
    <row r="66" spans="1:4" x14ac:dyDescent="0.2">
      <c r="A66" s="1" t="s">
        <v>65</v>
      </c>
      <c r="B66" s="3">
        <f>VLOOKUP(A66,[3]TeamRtg!$A$3:$G$367,7,FALSE)</f>
        <v>0.90729831470944655</v>
      </c>
      <c r="C66" s="1">
        <f t="shared" si="0"/>
        <v>66</v>
      </c>
      <c r="D66" s="1">
        <v>63</v>
      </c>
    </row>
    <row r="67" spans="1:4" x14ac:dyDescent="0.2">
      <c r="A67" s="1" t="s">
        <v>66</v>
      </c>
      <c r="B67" s="3">
        <f>VLOOKUP(A67,[3]TeamRtg!$A$3:$G$367,7,FALSE)</f>
        <v>0.88201731882297485</v>
      </c>
      <c r="C67" s="1">
        <f t="shared" ref="C67:C130" si="1">RANK(B67,$B$2:$B$366)</f>
        <v>68</v>
      </c>
      <c r="D67" s="1">
        <v>66</v>
      </c>
    </row>
    <row r="68" spans="1:4" x14ac:dyDescent="0.2">
      <c r="A68" s="1" t="s">
        <v>67</v>
      </c>
      <c r="B68" s="3">
        <f>VLOOKUP(A68,[3]TeamRtg!$A$3:$G$367,7,FALSE)</f>
        <v>0.86714200264272934</v>
      </c>
      <c r="C68" s="1">
        <f t="shared" si="1"/>
        <v>72</v>
      </c>
      <c r="D68" s="1">
        <v>73</v>
      </c>
    </row>
    <row r="69" spans="1:4" x14ac:dyDescent="0.2">
      <c r="A69" s="1" t="s">
        <v>68</v>
      </c>
      <c r="B69" s="3">
        <f>VLOOKUP(A69,[3]TeamRtg!$A$3:$G$367,7,FALSE)</f>
        <v>0.85380718366745101</v>
      </c>
      <c r="C69" s="1">
        <f t="shared" si="1"/>
        <v>73</v>
      </c>
      <c r="D69" s="1">
        <v>74</v>
      </c>
    </row>
    <row r="70" spans="1:4" x14ac:dyDescent="0.2">
      <c r="A70" s="1" t="s">
        <v>69</v>
      </c>
      <c r="B70" s="3">
        <f>VLOOKUP(A70,[3]TeamRtg!$A$3:$G$367,7,FALSE)</f>
        <v>0.9366204677240596</v>
      </c>
      <c r="C70" s="1">
        <f t="shared" si="1"/>
        <v>65</v>
      </c>
      <c r="D70" s="1">
        <v>64</v>
      </c>
    </row>
    <row r="71" spans="1:4" x14ac:dyDescent="0.2">
      <c r="A71" s="1" t="s">
        <v>70</v>
      </c>
      <c r="B71" s="3">
        <f>VLOOKUP(A71,[3]TeamRtg!$A$3:$G$367,7,FALSE)</f>
        <v>0.80613622140145991</v>
      </c>
      <c r="C71" s="1">
        <f t="shared" si="1"/>
        <v>75</v>
      </c>
      <c r="D71" s="1">
        <v>70</v>
      </c>
    </row>
    <row r="72" spans="1:4" x14ac:dyDescent="0.2">
      <c r="A72" s="1" t="s">
        <v>71</v>
      </c>
      <c r="B72" s="3">
        <f>VLOOKUP(A72,[3]TeamRtg!$A$3:$G$367,7,FALSE)</f>
        <v>0.98101470389464662</v>
      </c>
      <c r="C72" s="1">
        <f t="shared" si="1"/>
        <v>62</v>
      </c>
      <c r="D72" s="1">
        <v>71</v>
      </c>
    </row>
    <row r="73" spans="1:4" x14ac:dyDescent="0.2">
      <c r="A73" s="1" t="s">
        <v>72</v>
      </c>
      <c r="B73" s="3">
        <f>VLOOKUP(A73,[3]TeamRtg!$A$3:$G$367,7,FALSE)</f>
        <v>0.87220376463309468</v>
      </c>
      <c r="C73" s="1">
        <f t="shared" si="1"/>
        <v>71</v>
      </c>
      <c r="D73" s="1">
        <v>69</v>
      </c>
    </row>
    <row r="74" spans="1:4" x14ac:dyDescent="0.2">
      <c r="A74" s="1" t="s">
        <v>73</v>
      </c>
      <c r="B74" s="3">
        <f>VLOOKUP(A74,[3]TeamRtg!$A$3:$G$367,7,FALSE)</f>
        <v>0.85205361775740229</v>
      </c>
      <c r="C74" s="1">
        <f t="shared" si="1"/>
        <v>74</v>
      </c>
      <c r="D74" s="1">
        <v>67</v>
      </c>
    </row>
    <row r="75" spans="1:4" x14ac:dyDescent="0.2">
      <c r="A75" s="1" t="s">
        <v>74</v>
      </c>
      <c r="B75" s="3">
        <f>VLOOKUP(A75,[3]TeamRtg!$A$3:$G$367,7,FALSE)</f>
        <v>0.78042675583321808</v>
      </c>
      <c r="C75" s="1">
        <f t="shared" si="1"/>
        <v>78</v>
      </c>
      <c r="D75" s="1">
        <v>78</v>
      </c>
    </row>
    <row r="76" spans="1:4" x14ac:dyDescent="0.2">
      <c r="A76" s="1" t="s">
        <v>75</v>
      </c>
      <c r="B76" s="3">
        <f>VLOOKUP(A76,[3]TeamRtg!$A$3:$G$367,7,FALSE)</f>
        <v>0.79641187860490525</v>
      </c>
      <c r="C76" s="1">
        <f t="shared" si="1"/>
        <v>77</v>
      </c>
      <c r="D76" s="1">
        <v>75</v>
      </c>
    </row>
    <row r="77" spans="1:4" x14ac:dyDescent="0.2">
      <c r="A77" s="1" t="s">
        <v>76</v>
      </c>
      <c r="B77" s="3">
        <f>VLOOKUP(A77,[3]TeamRtg!$A$3:$G$367,7,FALSE)</f>
        <v>0.80403485562824517</v>
      </c>
      <c r="C77" s="1">
        <f t="shared" si="1"/>
        <v>76</v>
      </c>
      <c r="D77" s="1">
        <v>76</v>
      </c>
    </row>
    <row r="78" spans="1:4" x14ac:dyDescent="0.2">
      <c r="A78" s="1" t="s">
        <v>77</v>
      </c>
      <c r="B78" s="3">
        <f>VLOOKUP(A78,[3]TeamRtg!$A$3:$G$367,7,FALSE)</f>
        <v>0.87230346496363032</v>
      </c>
      <c r="C78" s="1">
        <f t="shared" si="1"/>
        <v>70</v>
      </c>
      <c r="D78" s="1">
        <v>72</v>
      </c>
    </row>
    <row r="79" spans="1:4" x14ac:dyDescent="0.2">
      <c r="A79" s="1" t="s">
        <v>78</v>
      </c>
      <c r="B79" s="3">
        <f>VLOOKUP(A79,[3]TeamRtg!$A$3:$G$367,7,FALSE)</f>
        <v>0.73168772327759546</v>
      </c>
      <c r="C79" s="1">
        <f t="shared" si="1"/>
        <v>80</v>
      </c>
      <c r="D79" s="1">
        <v>79</v>
      </c>
    </row>
    <row r="80" spans="1:4" x14ac:dyDescent="0.2">
      <c r="A80" s="1" t="s">
        <v>79</v>
      </c>
      <c r="B80" s="3">
        <f>VLOOKUP(A80,[3]TeamRtg!$A$3:$G$367,7,FALSE)</f>
        <v>0.70280930213441972</v>
      </c>
      <c r="C80" s="1">
        <f t="shared" si="1"/>
        <v>84</v>
      </c>
      <c r="D80" s="1">
        <v>83</v>
      </c>
    </row>
    <row r="81" spans="1:4" x14ac:dyDescent="0.2">
      <c r="A81" s="1" t="s">
        <v>80</v>
      </c>
      <c r="B81" s="3">
        <f>VLOOKUP(A81,[3]TeamRtg!$A$3:$G$367,7,FALSE)</f>
        <v>0.737002279045324</v>
      </c>
      <c r="C81" s="1">
        <f t="shared" si="1"/>
        <v>79</v>
      </c>
      <c r="D81" s="1">
        <v>81</v>
      </c>
    </row>
    <row r="82" spans="1:4" x14ac:dyDescent="0.2">
      <c r="A82" s="1" t="s">
        <v>81</v>
      </c>
      <c r="B82" s="3">
        <f>VLOOKUP(A82,[3]TeamRtg!$A$3:$G$367,7,FALSE)</f>
        <v>0.72860567991905312</v>
      </c>
      <c r="C82" s="1">
        <f t="shared" si="1"/>
        <v>82</v>
      </c>
      <c r="D82" s="1">
        <v>77</v>
      </c>
    </row>
    <row r="83" spans="1:4" x14ac:dyDescent="0.2">
      <c r="A83" s="1" t="s">
        <v>82</v>
      </c>
      <c r="B83" s="3">
        <f>VLOOKUP(A83,[3]TeamRtg!$A$3:$G$367,7,FALSE)</f>
        <v>0.87691156766204681</v>
      </c>
      <c r="C83" s="1">
        <f t="shared" si="1"/>
        <v>69</v>
      </c>
      <c r="D83" s="1">
        <v>80</v>
      </c>
    </row>
    <row r="84" spans="1:4" x14ac:dyDescent="0.2">
      <c r="A84" s="1" t="s">
        <v>83</v>
      </c>
      <c r="B84" s="3">
        <f>VLOOKUP(A84,[3]TeamRtg!$A$3:$G$367,7,FALSE)</f>
        <v>0.62663251627289718</v>
      </c>
      <c r="C84" s="1">
        <f t="shared" si="1"/>
        <v>91</v>
      </c>
      <c r="D84" s="1">
        <v>90</v>
      </c>
    </row>
    <row r="85" spans="1:4" x14ac:dyDescent="0.2">
      <c r="A85" s="1" t="s">
        <v>84</v>
      </c>
      <c r="B85" s="3">
        <f>VLOOKUP(A85,[3]TeamRtg!$A$3:$G$367,7,FALSE)</f>
        <v>0.65932373566636249</v>
      </c>
      <c r="C85" s="1">
        <f t="shared" si="1"/>
        <v>88</v>
      </c>
      <c r="D85" s="1">
        <v>84</v>
      </c>
    </row>
    <row r="86" spans="1:4" x14ac:dyDescent="0.2">
      <c r="A86" s="1" t="s">
        <v>85</v>
      </c>
      <c r="B86" s="3">
        <f>VLOOKUP(A86,[3]TeamRtg!$A$3:$G$367,7,FALSE)</f>
        <v>0.63302326069571224</v>
      </c>
      <c r="C86" s="1">
        <f t="shared" si="1"/>
        <v>90</v>
      </c>
      <c r="D86" s="1">
        <v>87</v>
      </c>
    </row>
    <row r="87" spans="1:4" x14ac:dyDescent="0.2">
      <c r="A87" s="1" t="s">
        <v>86</v>
      </c>
      <c r="B87" s="3">
        <f>VLOOKUP(A87,[3]TeamRtg!$A$3:$G$367,7,FALSE)</f>
        <v>0.72879576052535677</v>
      </c>
      <c r="C87" s="1">
        <f t="shared" si="1"/>
        <v>81</v>
      </c>
      <c r="D87" s="1">
        <v>82</v>
      </c>
    </row>
    <row r="88" spans="1:4" x14ac:dyDescent="0.2">
      <c r="A88" s="1" t="s">
        <v>87</v>
      </c>
      <c r="B88" s="3">
        <f>VLOOKUP(A88,[3]TeamRtg!$A$3:$G$367,7,FALSE)</f>
        <v>0.62369906094353422</v>
      </c>
      <c r="C88" s="1">
        <f t="shared" si="1"/>
        <v>92</v>
      </c>
      <c r="D88" s="1">
        <v>91</v>
      </c>
    </row>
    <row r="89" spans="1:4" x14ac:dyDescent="0.2">
      <c r="A89" s="1" t="s">
        <v>88</v>
      </c>
      <c r="B89" s="3">
        <f>VLOOKUP(A89,[3]TeamRtg!$A$3:$G$367,7,FALSE)</f>
        <v>0.69590256788972915</v>
      </c>
      <c r="C89" s="1">
        <f t="shared" si="1"/>
        <v>85</v>
      </c>
      <c r="D89" s="1">
        <v>88</v>
      </c>
    </row>
    <row r="90" spans="1:4" x14ac:dyDescent="0.2">
      <c r="A90" s="1" t="s">
        <v>89</v>
      </c>
      <c r="B90" s="3">
        <f>VLOOKUP(A90,[3]TeamRtg!$A$3:$G$367,7,FALSE)</f>
        <v>0.6892718005471149</v>
      </c>
      <c r="C90" s="1">
        <f t="shared" si="1"/>
        <v>86</v>
      </c>
      <c r="D90" s="1">
        <v>86</v>
      </c>
    </row>
    <row r="91" spans="1:4" x14ac:dyDescent="0.2">
      <c r="A91" s="1" t="s">
        <v>90</v>
      </c>
      <c r="B91" s="3">
        <f>VLOOKUP(A91,[3]TeamRtg!$A$3:$G$367,7,FALSE)</f>
        <v>0.62046638237551222</v>
      </c>
      <c r="C91" s="1">
        <f t="shared" si="1"/>
        <v>93</v>
      </c>
      <c r="D91" s="1">
        <v>93</v>
      </c>
    </row>
    <row r="92" spans="1:4" x14ac:dyDescent="0.2">
      <c r="A92" s="1" t="s">
        <v>91</v>
      </c>
      <c r="B92" s="3">
        <f>VLOOKUP(A92,[3]TeamRtg!$A$3:$G$367,7,FALSE)</f>
        <v>0.71369188674522754</v>
      </c>
      <c r="C92" s="1">
        <f t="shared" si="1"/>
        <v>83</v>
      </c>
      <c r="D92" s="1">
        <v>85</v>
      </c>
    </row>
    <row r="93" spans="1:4" x14ac:dyDescent="0.2">
      <c r="A93" s="1" t="s">
        <v>92</v>
      </c>
      <c r="B93" s="3">
        <f>VLOOKUP(A93,[3]TeamRtg!$A$3:$G$367,7,FALSE)</f>
        <v>0.64835429002392242</v>
      </c>
      <c r="C93" s="1">
        <f t="shared" si="1"/>
        <v>89</v>
      </c>
      <c r="D93" s="1">
        <v>95</v>
      </c>
    </row>
    <row r="94" spans="1:4" x14ac:dyDescent="0.2">
      <c r="A94" s="1" t="s">
        <v>93</v>
      </c>
      <c r="B94" s="3">
        <f>VLOOKUP(A94,[3]TeamRtg!$A$3:$G$367,7,FALSE)</f>
        <v>0.57626324999565492</v>
      </c>
      <c r="C94" s="1">
        <f t="shared" si="1"/>
        <v>94</v>
      </c>
      <c r="D94" s="1">
        <v>92</v>
      </c>
    </row>
    <row r="95" spans="1:4" x14ac:dyDescent="0.2">
      <c r="A95" s="1" t="s">
        <v>94</v>
      </c>
      <c r="B95" s="3">
        <f>VLOOKUP(A95,[3]TeamRtg!$A$3:$G$367,7,FALSE)</f>
        <v>0.68367518106106262</v>
      </c>
      <c r="C95" s="1">
        <f t="shared" si="1"/>
        <v>87</v>
      </c>
      <c r="D95" s="1">
        <v>89</v>
      </c>
    </row>
    <row r="96" spans="1:4" x14ac:dyDescent="0.2">
      <c r="A96" s="1" t="s">
        <v>95</v>
      </c>
      <c r="B96" s="3">
        <f>VLOOKUP(A96,[3]TeamRtg!$A$3:$G$367,7,FALSE)</f>
        <v>0.50547478416385683</v>
      </c>
      <c r="C96" s="1">
        <f t="shared" si="1"/>
        <v>107</v>
      </c>
      <c r="D96" s="1">
        <v>106</v>
      </c>
    </row>
    <row r="97" spans="1:4" x14ac:dyDescent="0.2">
      <c r="A97" s="1" t="s">
        <v>96</v>
      </c>
      <c r="B97" s="3">
        <f>VLOOKUP(A97,[3]TeamRtg!$A$3:$G$367,7,FALSE)</f>
        <v>0.56511439669373531</v>
      </c>
      <c r="C97" s="1">
        <f t="shared" si="1"/>
        <v>97</v>
      </c>
      <c r="D97" s="1">
        <v>96</v>
      </c>
    </row>
    <row r="98" spans="1:4" x14ac:dyDescent="0.2">
      <c r="A98" s="1" t="s">
        <v>97</v>
      </c>
      <c r="B98" s="3">
        <f>VLOOKUP(A98,[3]TeamRtg!$A$3:$G$367,7,FALSE)</f>
        <v>0.5425869865828632</v>
      </c>
      <c r="C98" s="1">
        <f t="shared" si="1"/>
        <v>99</v>
      </c>
      <c r="D98" s="1">
        <v>98</v>
      </c>
    </row>
    <row r="99" spans="1:4" x14ac:dyDescent="0.2">
      <c r="A99" s="1" t="s">
        <v>98</v>
      </c>
      <c r="B99" s="3">
        <f>VLOOKUP(A99,[3]TeamRtg!$A$3:$G$367,7,FALSE)</f>
        <v>0.50647471659344501</v>
      </c>
      <c r="C99" s="1">
        <f t="shared" si="1"/>
        <v>106</v>
      </c>
      <c r="D99" s="1">
        <v>105</v>
      </c>
    </row>
    <row r="100" spans="1:4" x14ac:dyDescent="0.2">
      <c r="A100" s="1" t="s">
        <v>99</v>
      </c>
      <c r="B100" s="3">
        <f>VLOOKUP(A100,[3]TeamRtg!$A$3:$G$367,7,FALSE)</f>
        <v>0.53133726976560003</v>
      </c>
      <c r="C100" s="1">
        <f t="shared" si="1"/>
        <v>101</v>
      </c>
      <c r="D100" s="1">
        <v>94</v>
      </c>
    </row>
    <row r="101" spans="1:4" x14ac:dyDescent="0.2">
      <c r="A101" s="1" t="s">
        <v>100</v>
      </c>
      <c r="B101" s="3">
        <f>VLOOKUP(A101,[3]TeamRtg!$A$3:$G$367,7,FALSE)</f>
        <v>0.56786713761456542</v>
      </c>
      <c r="C101" s="1">
        <f t="shared" si="1"/>
        <v>96</v>
      </c>
      <c r="D101" s="1">
        <v>99</v>
      </c>
    </row>
    <row r="102" spans="1:4" x14ac:dyDescent="0.2">
      <c r="A102" s="1" t="s">
        <v>101</v>
      </c>
      <c r="B102" s="3">
        <f>VLOOKUP(A102,[3]TeamRtg!$A$3:$G$367,7,FALSE)</f>
        <v>0.56915073488348444</v>
      </c>
      <c r="C102" s="1">
        <f t="shared" si="1"/>
        <v>95</v>
      </c>
      <c r="D102" s="1">
        <v>97</v>
      </c>
    </row>
    <row r="103" spans="1:4" x14ac:dyDescent="0.2">
      <c r="A103" s="1" t="s">
        <v>102</v>
      </c>
      <c r="B103" s="3">
        <f>VLOOKUP(A103,[3]TeamRtg!$A$3:$G$367,7,FALSE)</f>
        <v>0.53002446512078849</v>
      </c>
      <c r="C103" s="1">
        <f t="shared" si="1"/>
        <v>103</v>
      </c>
      <c r="D103" s="1">
        <v>100</v>
      </c>
    </row>
    <row r="104" spans="1:4" x14ac:dyDescent="0.2">
      <c r="A104" s="1" t="s">
        <v>103</v>
      </c>
      <c r="B104" s="3">
        <f>VLOOKUP(A104,[3]TeamRtg!$A$3:$G$367,7,FALSE)</f>
        <v>0.53074848376948291</v>
      </c>
      <c r="C104" s="1">
        <f t="shared" si="1"/>
        <v>102</v>
      </c>
      <c r="D104" s="1">
        <v>104</v>
      </c>
    </row>
    <row r="105" spans="1:4" x14ac:dyDescent="0.2">
      <c r="A105" s="1" t="s">
        <v>104</v>
      </c>
      <c r="B105" s="3">
        <f>VLOOKUP(A105,[3]TeamRtg!$A$3:$G$367,7,FALSE)</f>
        <v>0.49080925621649601</v>
      </c>
      <c r="C105" s="1">
        <f t="shared" si="1"/>
        <v>109</v>
      </c>
      <c r="D105" s="1">
        <v>108</v>
      </c>
    </row>
    <row r="106" spans="1:4" x14ac:dyDescent="0.2">
      <c r="A106" s="1" t="s">
        <v>105</v>
      </c>
      <c r="B106" s="3">
        <f>VLOOKUP(A106,[3]TeamRtg!$A$3:$G$367,7,FALSE)</f>
        <v>0.53934256160609961</v>
      </c>
      <c r="C106" s="1">
        <f t="shared" si="1"/>
        <v>100</v>
      </c>
      <c r="D106" s="1">
        <v>103</v>
      </c>
    </row>
    <row r="107" spans="1:4" x14ac:dyDescent="0.2">
      <c r="A107" s="1" t="s">
        <v>106</v>
      </c>
      <c r="B107" s="3">
        <f>VLOOKUP(A107,[3]TeamRtg!$A$3:$G$367,7,FALSE)</f>
        <v>0.54910036846134902</v>
      </c>
      <c r="C107" s="1">
        <f t="shared" si="1"/>
        <v>98</v>
      </c>
      <c r="D107" s="1">
        <v>102</v>
      </c>
    </row>
    <row r="108" spans="1:4" x14ac:dyDescent="0.2">
      <c r="A108" s="1" t="s">
        <v>107</v>
      </c>
      <c r="B108" s="3">
        <f>VLOOKUP(A108,[3]TeamRtg!$A$3:$G$367,7,FALSE)</f>
        <v>0.45283440939364894</v>
      </c>
      <c r="C108" s="1">
        <f t="shared" si="1"/>
        <v>118</v>
      </c>
      <c r="D108" s="1">
        <v>113</v>
      </c>
    </row>
    <row r="109" spans="1:4" x14ac:dyDescent="0.2">
      <c r="A109" s="1" t="s">
        <v>108</v>
      </c>
      <c r="B109" s="3">
        <f>VLOOKUP(A109,[3]TeamRtg!$A$3:$G$367,7,FALSE)</f>
        <v>0.40684022980108558</v>
      </c>
      <c r="C109" s="1">
        <f t="shared" si="1"/>
        <v>125</v>
      </c>
      <c r="D109" s="1">
        <v>116</v>
      </c>
    </row>
    <row r="110" spans="1:4" x14ac:dyDescent="0.2">
      <c r="A110" s="1" t="s">
        <v>109</v>
      </c>
      <c r="B110" s="3">
        <f>VLOOKUP(A110,[3]TeamRtg!$A$3:$G$367,7,FALSE)</f>
        <v>0.46929750801309505</v>
      </c>
      <c r="C110" s="1">
        <f t="shared" si="1"/>
        <v>116</v>
      </c>
      <c r="D110" s="1">
        <v>107</v>
      </c>
    </row>
    <row r="111" spans="1:4" x14ac:dyDescent="0.2">
      <c r="A111" s="1" t="s">
        <v>110</v>
      </c>
      <c r="B111" s="3">
        <f>VLOOKUP(A111,[3]TeamRtg!$A$3:$G$367,7,FALSE)</f>
        <v>0.44898524669121082</v>
      </c>
      <c r="C111" s="1">
        <f t="shared" si="1"/>
        <v>120</v>
      </c>
      <c r="D111" s="1">
        <v>120</v>
      </c>
    </row>
    <row r="112" spans="1:4" x14ac:dyDescent="0.2">
      <c r="A112" s="1" t="s">
        <v>111</v>
      </c>
      <c r="B112" s="3">
        <f>VLOOKUP(A112,[3]TeamRtg!$A$3:$G$367,7,FALSE)</f>
        <v>0.49002951586968513</v>
      </c>
      <c r="C112" s="1">
        <f t="shared" si="1"/>
        <v>110</v>
      </c>
      <c r="D112" s="1">
        <v>109</v>
      </c>
    </row>
    <row r="113" spans="1:4" x14ac:dyDescent="0.2">
      <c r="A113" s="1" t="s">
        <v>112</v>
      </c>
      <c r="B113" s="3">
        <f>VLOOKUP(A113,[3]TeamRtg!$A$3:$G$367,7,FALSE)</f>
        <v>0.48296113300728111</v>
      </c>
      <c r="C113" s="1">
        <f t="shared" si="1"/>
        <v>113</v>
      </c>
      <c r="D113" s="1">
        <v>117</v>
      </c>
    </row>
    <row r="114" spans="1:4" x14ac:dyDescent="0.2">
      <c r="A114" s="1" t="s">
        <v>113</v>
      </c>
      <c r="B114" s="3">
        <f>VLOOKUP(A114,[3]TeamRtg!$A$3:$G$367,7,FALSE)</f>
        <v>0.48191416878682641</v>
      </c>
      <c r="C114" s="1">
        <f t="shared" si="1"/>
        <v>114</v>
      </c>
      <c r="D114" s="1">
        <v>112</v>
      </c>
    </row>
    <row r="115" spans="1:4" x14ac:dyDescent="0.2">
      <c r="A115" s="1" t="s">
        <v>114</v>
      </c>
      <c r="B115" s="3">
        <f>VLOOKUP(A115,[3]TeamRtg!$A$3:$G$367,7,FALSE)</f>
        <v>0.46317143686583623</v>
      </c>
      <c r="C115" s="1">
        <f t="shared" si="1"/>
        <v>117</v>
      </c>
      <c r="D115" s="1">
        <v>111</v>
      </c>
    </row>
    <row r="116" spans="1:4" x14ac:dyDescent="0.2">
      <c r="A116" s="1" t="s">
        <v>115</v>
      </c>
      <c r="B116" s="3">
        <f>VLOOKUP(A116,[3]TeamRtg!$A$3:$G$367,7,FALSE)</f>
        <v>0.5173970286413927</v>
      </c>
      <c r="C116" s="1">
        <f t="shared" si="1"/>
        <v>105</v>
      </c>
      <c r="D116" s="1">
        <v>101</v>
      </c>
    </row>
    <row r="117" spans="1:4" x14ac:dyDescent="0.2">
      <c r="A117" s="1" t="s">
        <v>116</v>
      </c>
      <c r="B117" s="3">
        <f>VLOOKUP(A117,[3]TeamRtg!$A$3:$G$367,7,FALSE)</f>
        <v>0.47945400603013344</v>
      </c>
      <c r="C117" s="1">
        <f t="shared" si="1"/>
        <v>115</v>
      </c>
      <c r="D117" s="1">
        <v>115</v>
      </c>
    </row>
    <row r="118" spans="1:4" x14ac:dyDescent="0.2">
      <c r="A118" s="1" t="s">
        <v>117</v>
      </c>
      <c r="B118" s="3">
        <f>VLOOKUP(A118,[3]TeamRtg!$A$3:$G$367,7,FALSE)</f>
        <v>0.52775212900917789</v>
      </c>
      <c r="C118" s="1">
        <f t="shared" si="1"/>
        <v>104</v>
      </c>
      <c r="D118" s="1">
        <v>118</v>
      </c>
    </row>
    <row r="119" spans="1:4" x14ac:dyDescent="0.2">
      <c r="A119" s="1" t="s">
        <v>118</v>
      </c>
      <c r="B119" s="3">
        <f>VLOOKUP(A119,[3]TeamRtg!$A$3:$G$367,7,FALSE)</f>
        <v>0.4427689460047648</v>
      </c>
      <c r="C119" s="1">
        <f t="shared" si="1"/>
        <v>121</v>
      </c>
      <c r="D119" s="1">
        <v>119</v>
      </c>
    </row>
    <row r="120" spans="1:4" x14ac:dyDescent="0.2">
      <c r="A120" s="1" t="s">
        <v>119</v>
      </c>
      <c r="B120" s="3">
        <f>VLOOKUP(A120,[3]TeamRtg!$A$3:$G$367,7,FALSE)</f>
        <v>0.36760048544728408</v>
      </c>
      <c r="C120" s="1">
        <f t="shared" si="1"/>
        <v>131</v>
      </c>
      <c r="D120" s="1">
        <v>125</v>
      </c>
    </row>
    <row r="121" spans="1:4" x14ac:dyDescent="0.2">
      <c r="A121" s="1" t="s">
        <v>120</v>
      </c>
      <c r="B121" s="3">
        <f>VLOOKUP(A121,[3]TeamRtg!$A$3:$G$367,7,FALSE)</f>
        <v>0.37582004442755573</v>
      </c>
      <c r="C121" s="1">
        <f t="shared" si="1"/>
        <v>129</v>
      </c>
      <c r="D121" s="1">
        <v>124</v>
      </c>
    </row>
    <row r="122" spans="1:4" x14ac:dyDescent="0.2">
      <c r="A122" s="1" t="s">
        <v>121</v>
      </c>
      <c r="B122" s="3">
        <f>VLOOKUP(A122,[3]TeamRtg!$A$3:$G$367,7,FALSE)</f>
        <v>0.42740005876184384</v>
      </c>
      <c r="C122" s="1">
        <f t="shared" si="1"/>
        <v>123</v>
      </c>
      <c r="D122" s="1">
        <v>123</v>
      </c>
    </row>
    <row r="123" spans="1:4" x14ac:dyDescent="0.2">
      <c r="A123" s="1" t="s">
        <v>122</v>
      </c>
      <c r="B123" s="3">
        <f>VLOOKUP(A123,[3]TeamRtg!$A$3:$G$367,7,FALSE)</f>
        <v>0.38228350284611173</v>
      </c>
      <c r="C123" s="1">
        <f t="shared" si="1"/>
        <v>128</v>
      </c>
      <c r="D123" s="1">
        <v>126</v>
      </c>
    </row>
    <row r="124" spans="1:4" x14ac:dyDescent="0.2">
      <c r="A124" s="1" t="s">
        <v>123</v>
      </c>
      <c r="B124" s="3">
        <f>VLOOKUP(A124,[3]TeamRtg!$A$3:$G$367,7,FALSE)</f>
        <v>0.48938997719207139</v>
      </c>
      <c r="C124" s="1">
        <f t="shared" si="1"/>
        <v>112</v>
      </c>
      <c r="D124" s="1">
        <v>122</v>
      </c>
    </row>
    <row r="125" spans="1:4" x14ac:dyDescent="0.2">
      <c r="A125" s="1" t="s">
        <v>124</v>
      </c>
      <c r="B125" s="3">
        <f>VLOOKUP(A125,[3]TeamRtg!$A$3:$G$367,7,FALSE)</f>
        <v>0.48993626464441487</v>
      </c>
      <c r="C125" s="1">
        <f t="shared" si="1"/>
        <v>111</v>
      </c>
      <c r="D125" s="1">
        <v>110</v>
      </c>
    </row>
    <row r="126" spans="1:4" x14ac:dyDescent="0.2">
      <c r="A126" s="1" t="s">
        <v>125</v>
      </c>
      <c r="B126" s="3">
        <f>VLOOKUP(A126,[3]TeamRtg!$A$3:$G$367,7,FALSE)</f>
        <v>0.49917043198807076</v>
      </c>
      <c r="C126" s="1">
        <f t="shared" si="1"/>
        <v>108</v>
      </c>
      <c r="D126" s="1">
        <v>114</v>
      </c>
    </row>
    <row r="127" spans="1:4" x14ac:dyDescent="0.2">
      <c r="A127" s="1" t="s">
        <v>126</v>
      </c>
      <c r="B127" s="3">
        <f>VLOOKUP(A127,[3]TeamRtg!$A$3:$G$367,7,FALSE)</f>
        <v>0.45176887551069733</v>
      </c>
      <c r="C127" s="1">
        <f t="shared" si="1"/>
        <v>119</v>
      </c>
      <c r="D127" s="1">
        <v>128</v>
      </c>
    </row>
    <row r="128" spans="1:4" x14ac:dyDescent="0.2">
      <c r="A128" s="1" t="s">
        <v>127</v>
      </c>
      <c r="B128" s="3">
        <f>VLOOKUP(A128,[3]TeamRtg!$A$3:$G$367,7,FALSE)</f>
        <v>0.29086242004464374</v>
      </c>
      <c r="C128" s="1">
        <f t="shared" si="1"/>
        <v>142</v>
      </c>
      <c r="D128" s="1">
        <v>134</v>
      </c>
    </row>
    <row r="129" spans="1:4" x14ac:dyDescent="0.2">
      <c r="A129" s="1" t="s">
        <v>128</v>
      </c>
      <c r="B129" s="3">
        <f>VLOOKUP(A129,[3]TeamRtg!$A$3:$G$367,7,FALSE)</f>
        <v>0.38334834730994394</v>
      </c>
      <c r="C129" s="1">
        <f t="shared" si="1"/>
        <v>127</v>
      </c>
      <c r="D129" s="1">
        <v>129</v>
      </c>
    </row>
    <row r="130" spans="1:4" x14ac:dyDescent="0.2">
      <c r="A130" s="1" t="s">
        <v>129</v>
      </c>
      <c r="B130" s="3">
        <f>VLOOKUP(A130,[3]TeamRtg!$A$3:$G$367,7,FALSE)</f>
        <v>0.25250184275488102</v>
      </c>
      <c r="C130" s="1">
        <f t="shared" si="1"/>
        <v>145</v>
      </c>
      <c r="D130" s="1">
        <v>133</v>
      </c>
    </row>
    <row r="131" spans="1:4" x14ac:dyDescent="0.2">
      <c r="A131" s="1" t="s">
        <v>130</v>
      </c>
      <c r="B131" s="3">
        <f>VLOOKUP(A131,[3]TeamRtg!$A$3:$G$367,7,FALSE)</f>
        <v>0.37126240280302319</v>
      </c>
      <c r="C131" s="1">
        <f t="shared" ref="C131:C194" si="2">RANK(B131,$B$2:$B$366)</f>
        <v>130</v>
      </c>
      <c r="D131" s="1">
        <v>130</v>
      </c>
    </row>
    <row r="132" spans="1:4" x14ac:dyDescent="0.2">
      <c r="A132" s="1" t="s">
        <v>131</v>
      </c>
      <c r="B132" s="3">
        <f>VLOOKUP(A132,[3]TeamRtg!$A$3:$G$367,7,FALSE)</f>
        <v>0.24288733741611931</v>
      </c>
      <c r="C132" s="1">
        <f t="shared" si="2"/>
        <v>148</v>
      </c>
      <c r="D132" s="1">
        <v>146</v>
      </c>
    </row>
    <row r="133" spans="1:4" x14ac:dyDescent="0.2">
      <c r="A133" s="1" t="s">
        <v>132</v>
      </c>
      <c r="B133" s="3">
        <f>VLOOKUP(A133,[3]TeamRtg!$A$3:$G$367,7,FALSE)</f>
        <v>0.40472174709307729</v>
      </c>
      <c r="C133" s="1">
        <f t="shared" si="2"/>
        <v>126</v>
      </c>
      <c r="D133" s="1">
        <v>127</v>
      </c>
    </row>
    <row r="134" spans="1:4" x14ac:dyDescent="0.2">
      <c r="A134" s="1" t="s">
        <v>133</v>
      </c>
      <c r="B134" s="3">
        <f>VLOOKUP(A134,[3]TeamRtg!$A$3:$G$367,7,FALSE)</f>
        <v>0.29933568237699409</v>
      </c>
      <c r="C134" s="1">
        <f t="shared" si="2"/>
        <v>141</v>
      </c>
      <c r="D134" s="1">
        <v>135</v>
      </c>
    </row>
    <row r="135" spans="1:4" x14ac:dyDescent="0.2">
      <c r="A135" s="1" t="s">
        <v>134</v>
      </c>
      <c r="B135" s="3">
        <f>VLOOKUP(A135,[3]TeamRtg!$A$3:$G$367,7,FALSE)</f>
        <v>0.27093969223941161</v>
      </c>
      <c r="C135" s="1">
        <f t="shared" si="2"/>
        <v>144</v>
      </c>
      <c r="D135" s="1">
        <v>137</v>
      </c>
    </row>
    <row r="136" spans="1:4" x14ac:dyDescent="0.2">
      <c r="A136" s="1" t="s">
        <v>135</v>
      </c>
      <c r="B136" s="3">
        <f>VLOOKUP(A136,[3]TeamRtg!$A$3:$G$367,7,FALSE)</f>
        <v>0.31249105779065378</v>
      </c>
      <c r="C136" s="1">
        <f t="shared" si="2"/>
        <v>139</v>
      </c>
      <c r="D136" s="1">
        <v>138</v>
      </c>
    </row>
    <row r="137" spans="1:4" x14ac:dyDescent="0.2">
      <c r="A137" s="1" t="s">
        <v>136</v>
      </c>
      <c r="B137" s="3">
        <f>VLOOKUP(A137,[3]TeamRtg!$A$3:$G$367,7,FALSE)</f>
        <v>0.33258722819094994</v>
      </c>
      <c r="C137" s="1">
        <f t="shared" si="2"/>
        <v>133</v>
      </c>
      <c r="D137" s="1">
        <v>143</v>
      </c>
    </row>
    <row r="138" spans="1:4" x14ac:dyDescent="0.2">
      <c r="A138" s="1" t="s">
        <v>137</v>
      </c>
      <c r="B138" s="3">
        <f>VLOOKUP(A138,[3]TeamRtg!$A$3:$G$367,7,FALSE)</f>
        <v>0.41054810370768774</v>
      </c>
      <c r="C138" s="1">
        <f t="shared" si="2"/>
        <v>124</v>
      </c>
      <c r="D138" s="1">
        <v>131</v>
      </c>
    </row>
    <row r="139" spans="1:4" x14ac:dyDescent="0.2">
      <c r="A139" s="1" t="s">
        <v>138</v>
      </c>
      <c r="B139" s="3">
        <f>VLOOKUP(A139,[3]TeamRtg!$A$3:$G$367,7,FALSE)</f>
        <v>0.31579128312427018</v>
      </c>
      <c r="C139" s="1">
        <f t="shared" si="2"/>
        <v>138</v>
      </c>
      <c r="D139" s="1">
        <v>136</v>
      </c>
    </row>
    <row r="140" spans="1:4" x14ac:dyDescent="0.2">
      <c r="A140" s="1" t="s">
        <v>139</v>
      </c>
      <c r="B140" s="3">
        <f>VLOOKUP(A140,[3]TeamRtg!$A$3:$G$367,7,FALSE)</f>
        <v>0.32355390347504892</v>
      </c>
      <c r="C140" s="1">
        <f t="shared" si="2"/>
        <v>136</v>
      </c>
      <c r="D140" s="1">
        <v>141</v>
      </c>
    </row>
    <row r="141" spans="1:4" x14ac:dyDescent="0.2">
      <c r="A141" s="1" t="s">
        <v>140</v>
      </c>
      <c r="B141" s="3">
        <f>VLOOKUP(A141,[3]TeamRtg!$A$3:$G$367,7,FALSE)</f>
        <v>0.23686158269073607</v>
      </c>
      <c r="C141" s="1">
        <f t="shared" si="2"/>
        <v>149</v>
      </c>
      <c r="D141" s="1">
        <v>150</v>
      </c>
    </row>
    <row r="142" spans="1:4" x14ac:dyDescent="0.2">
      <c r="A142" s="1" t="s">
        <v>141</v>
      </c>
      <c r="B142" s="3">
        <f>VLOOKUP(A142,[3]TeamRtg!$A$3:$G$367,7,FALSE)</f>
        <v>0.33817632374283435</v>
      </c>
      <c r="C142" s="1">
        <f t="shared" si="2"/>
        <v>132</v>
      </c>
      <c r="D142" s="1">
        <v>144</v>
      </c>
    </row>
    <row r="143" spans="1:4" x14ac:dyDescent="0.2">
      <c r="A143" s="1" t="s">
        <v>142</v>
      </c>
      <c r="B143" s="3">
        <f>VLOOKUP(A143,[3]TeamRtg!$A$3:$G$367,7,FALSE)</f>
        <v>0.32971753711607216</v>
      </c>
      <c r="C143" s="1">
        <f t="shared" si="2"/>
        <v>134</v>
      </c>
      <c r="D143" s="1">
        <v>132</v>
      </c>
    </row>
    <row r="144" spans="1:4" x14ac:dyDescent="0.2">
      <c r="A144" s="1" t="s">
        <v>143</v>
      </c>
      <c r="B144" s="3">
        <f>VLOOKUP(A144,[3]TeamRtg!$A$3:$G$367,7,FALSE)</f>
        <v>0.44172766529408669</v>
      </c>
      <c r="C144" s="1">
        <f t="shared" si="2"/>
        <v>122</v>
      </c>
      <c r="D144" s="1">
        <v>121</v>
      </c>
    </row>
    <row r="145" spans="1:4" x14ac:dyDescent="0.2">
      <c r="A145" s="1" t="s">
        <v>144</v>
      </c>
      <c r="B145" s="3">
        <f>VLOOKUP(A145,[3]TeamRtg!$A$3:$G$367,7,FALSE)</f>
        <v>0.3018525360036311</v>
      </c>
      <c r="C145" s="1">
        <f t="shared" si="2"/>
        <v>140</v>
      </c>
      <c r="D145" s="1">
        <v>140</v>
      </c>
    </row>
    <row r="146" spans="1:4" x14ac:dyDescent="0.2">
      <c r="A146" s="1" t="s">
        <v>145</v>
      </c>
      <c r="B146" s="3">
        <f>VLOOKUP(A146,[3]TeamRtg!$A$3:$G$367,7,FALSE)</f>
        <v>0.14351488134921958</v>
      </c>
      <c r="C146" s="1">
        <f t="shared" si="2"/>
        <v>162</v>
      </c>
      <c r="D146" s="1">
        <v>160</v>
      </c>
    </row>
    <row r="147" spans="1:4" x14ac:dyDescent="0.2">
      <c r="A147" s="1" t="s">
        <v>146</v>
      </c>
      <c r="B147" s="3">
        <f>VLOOKUP(A147,[3]TeamRtg!$A$3:$G$367,7,FALSE)</f>
        <v>0.27170174494227578</v>
      </c>
      <c r="C147" s="1">
        <f t="shared" si="2"/>
        <v>143</v>
      </c>
      <c r="D147" s="1">
        <v>145</v>
      </c>
    </row>
    <row r="148" spans="1:4" x14ac:dyDescent="0.2">
      <c r="A148" s="1" t="s">
        <v>147</v>
      </c>
      <c r="B148" s="3">
        <f>VLOOKUP(A148,[3]TeamRtg!$A$3:$G$367,7,FALSE)</f>
        <v>0.24344637781743497</v>
      </c>
      <c r="C148" s="1">
        <f t="shared" si="2"/>
        <v>147</v>
      </c>
      <c r="D148" s="1">
        <v>149</v>
      </c>
    </row>
    <row r="149" spans="1:4" x14ac:dyDescent="0.2">
      <c r="A149" s="1" t="s">
        <v>148</v>
      </c>
      <c r="B149" s="3">
        <f>VLOOKUP(A149,[3]TeamRtg!$A$3:$G$367,7,FALSE)</f>
        <v>0.22149815695294234</v>
      </c>
      <c r="C149" s="1">
        <f t="shared" si="2"/>
        <v>152</v>
      </c>
      <c r="D149" s="1">
        <v>148</v>
      </c>
    </row>
    <row r="150" spans="1:4" x14ac:dyDescent="0.2">
      <c r="A150" s="1" t="s">
        <v>149</v>
      </c>
      <c r="B150" s="3">
        <f>VLOOKUP(A150,[3]TeamRtg!$A$3:$G$367,7,FALSE)</f>
        <v>0.22553367747483496</v>
      </c>
      <c r="C150" s="1">
        <f t="shared" si="2"/>
        <v>151</v>
      </c>
      <c r="D150" s="1">
        <v>147</v>
      </c>
    </row>
    <row r="151" spans="1:4" x14ac:dyDescent="0.2">
      <c r="A151" s="1" t="s">
        <v>150</v>
      </c>
      <c r="B151" s="3">
        <f>VLOOKUP(A151,[3]TeamRtg!$A$3:$G$367,7,FALSE)</f>
        <v>0.16820514931695554</v>
      </c>
      <c r="C151" s="1">
        <f t="shared" si="2"/>
        <v>159</v>
      </c>
      <c r="D151" s="1">
        <v>152</v>
      </c>
    </row>
    <row r="152" spans="1:4" x14ac:dyDescent="0.2">
      <c r="A152" s="1" t="s">
        <v>151</v>
      </c>
      <c r="B152" s="3">
        <f>VLOOKUP(A152,[3]TeamRtg!$A$3:$G$367,7,FALSE)</f>
        <v>0.18579123822034721</v>
      </c>
      <c r="C152" s="1">
        <f t="shared" si="2"/>
        <v>154</v>
      </c>
      <c r="D152" s="1">
        <v>151</v>
      </c>
    </row>
    <row r="153" spans="1:4" x14ac:dyDescent="0.2">
      <c r="A153" s="1" t="s">
        <v>152</v>
      </c>
      <c r="B153" s="3">
        <f>VLOOKUP(A153,[3]TeamRtg!$A$3:$G$367,7,FALSE)</f>
        <v>0.32543325998728018</v>
      </c>
      <c r="C153" s="1">
        <f t="shared" si="2"/>
        <v>135</v>
      </c>
      <c r="D153" s="1">
        <v>139</v>
      </c>
    </row>
    <row r="154" spans="1:4" x14ac:dyDescent="0.2">
      <c r="A154" s="1" t="s">
        <v>153</v>
      </c>
      <c r="B154" s="3">
        <f>VLOOKUP(A154,[3]TeamRtg!$A$3:$G$367,7,FALSE)</f>
        <v>0.3217379813555491</v>
      </c>
      <c r="C154" s="1">
        <f t="shared" si="2"/>
        <v>137</v>
      </c>
      <c r="D154" s="1">
        <v>142</v>
      </c>
    </row>
    <row r="155" spans="1:4" x14ac:dyDescent="0.2">
      <c r="A155" s="1" t="s">
        <v>154</v>
      </c>
      <c r="B155" s="3">
        <f>VLOOKUP(A155,[3]TeamRtg!$A$3:$G$367,7,FALSE)</f>
        <v>0.18059351991023373</v>
      </c>
      <c r="C155" s="1">
        <f t="shared" si="2"/>
        <v>155</v>
      </c>
      <c r="D155" s="1">
        <v>162</v>
      </c>
    </row>
    <row r="156" spans="1:4" x14ac:dyDescent="0.2">
      <c r="A156" s="1" t="s">
        <v>155</v>
      </c>
      <c r="B156" s="3">
        <f>VLOOKUP(A156,[3]TeamRtg!$A$3:$G$367,7,FALSE)</f>
        <v>0.15722779588802774</v>
      </c>
      <c r="C156" s="1">
        <f t="shared" si="2"/>
        <v>160</v>
      </c>
      <c r="D156" s="1">
        <v>153</v>
      </c>
    </row>
    <row r="157" spans="1:4" x14ac:dyDescent="0.2">
      <c r="A157" s="1" t="s">
        <v>156</v>
      </c>
      <c r="B157" s="3">
        <f>VLOOKUP(A157,[3]TeamRtg!$A$3:$G$367,7,FALSE)</f>
        <v>0.12435287555454966</v>
      </c>
      <c r="C157" s="1">
        <f t="shared" si="2"/>
        <v>165</v>
      </c>
      <c r="D157" s="1">
        <v>159</v>
      </c>
    </row>
    <row r="158" spans="1:4" x14ac:dyDescent="0.2">
      <c r="A158" s="1" t="s">
        <v>157</v>
      </c>
      <c r="B158" s="3">
        <f>VLOOKUP(A158,[3]TeamRtg!$A$3:$G$367,7,FALSE)</f>
        <v>0.14511305503528124</v>
      </c>
      <c r="C158" s="1">
        <f t="shared" si="2"/>
        <v>161</v>
      </c>
      <c r="D158" s="1">
        <v>156</v>
      </c>
    </row>
    <row r="159" spans="1:4" x14ac:dyDescent="0.2">
      <c r="A159" s="1" t="s">
        <v>158</v>
      </c>
      <c r="B159" s="3">
        <f>VLOOKUP(A159,[3]TeamRtg!$A$3:$G$367,7,FALSE)</f>
        <v>0.17435872075024483</v>
      </c>
      <c r="C159" s="1">
        <f t="shared" si="2"/>
        <v>156</v>
      </c>
      <c r="D159" s="1">
        <v>154</v>
      </c>
    </row>
    <row r="160" spans="1:4" x14ac:dyDescent="0.2">
      <c r="A160" s="1" t="s">
        <v>159</v>
      </c>
      <c r="B160" s="3">
        <f>VLOOKUP(A160,[3]TeamRtg!$A$3:$G$367,7,FALSE)</f>
        <v>0.18595743578465049</v>
      </c>
      <c r="C160" s="1">
        <f t="shared" si="2"/>
        <v>153</v>
      </c>
      <c r="D160" s="1">
        <v>161</v>
      </c>
    </row>
    <row r="161" spans="1:4" x14ac:dyDescent="0.2">
      <c r="A161" s="1" t="s">
        <v>160</v>
      </c>
      <c r="B161" s="3">
        <f>VLOOKUP(A161,[3]TeamRtg!$A$3:$G$367,7,FALSE)</f>
        <v>0.23265263956235716</v>
      </c>
      <c r="C161" s="1">
        <f t="shared" si="2"/>
        <v>150</v>
      </c>
      <c r="D161" s="1">
        <v>155</v>
      </c>
    </row>
    <row r="162" spans="1:4" x14ac:dyDescent="0.2">
      <c r="A162" s="1" t="s">
        <v>161</v>
      </c>
      <c r="B162" s="3">
        <f>VLOOKUP(A162,[3]TeamRtg!$A$3:$G$367,7,FALSE)</f>
        <v>0.14067618436135196</v>
      </c>
      <c r="C162" s="1">
        <f t="shared" si="2"/>
        <v>163</v>
      </c>
      <c r="D162" s="1">
        <v>158</v>
      </c>
    </row>
    <row r="163" spans="1:4" x14ac:dyDescent="0.2">
      <c r="A163" s="1" t="s">
        <v>162</v>
      </c>
      <c r="B163" s="3">
        <f>VLOOKUP(A163,[3]TeamRtg!$A$3:$G$367,7,FALSE)</f>
        <v>2.9403922024735296E-2</v>
      </c>
      <c r="C163" s="1">
        <f t="shared" si="2"/>
        <v>178</v>
      </c>
      <c r="D163" s="1">
        <v>170</v>
      </c>
    </row>
    <row r="164" spans="1:4" x14ac:dyDescent="0.2">
      <c r="A164" s="1" t="s">
        <v>163</v>
      </c>
      <c r="B164" s="3">
        <f>VLOOKUP(A164,[3]TeamRtg!$A$3:$G$367,7,FALSE)</f>
        <v>5.8838413220408142E-2</v>
      </c>
      <c r="C164" s="1">
        <f t="shared" si="2"/>
        <v>174</v>
      </c>
      <c r="D164" s="1">
        <v>168</v>
      </c>
    </row>
    <row r="165" spans="1:4" x14ac:dyDescent="0.2">
      <c r="A165" s="1" t="s">
        <v>164</v>
      </c>
      <c r="B165" s="3">
        <f>VLOOKUP(A165,[3]TeamRtg!$A$3:$G$367,7,FALSE)</f>
        <v>0.1726462468419924</v>
      </c>
      <c r="C165" s="1">
        <f t="shared" si="2"/>
        <v>158</v>
      </c>
      <c r="D165" s="1">
        <v>165</v>
      </c>
    </row>
    <row r="166" spans="1:4" x14ac:dyDescent="0.2">
      <c r="A166" s="1" t="s">
        <v>165</v>
      </c>
      <c r="B166" s="3">
        <f>VLOOKUP(A166,[3]TeamRtg!$A$3:$G$367,7,FALSE)</f>
        <v>9.8206471237118925E-2</v>
      </c>
      <c r="C166" s="1">
        <f t="shared" si="2"/>
        <v>167</v>
      </c>
      <c r="D166" s="1">
        <v>163</v>
      </c>
    </row>
    <row r="167" spans="1:4" x14ac:dyDescent="0.2">
      <c r="A167" s="1" t="s">
        <v>166</v>
      </c>
      <c r="B167" s="3">
        <f>VLOOKUP(A167,[3]TeamRtg!$A$3:$G$367,7,FALSE)</f>
        <v>0.17415821415794699</v>
      </c>
      <c r="C167" s="1">
        <f t="shared" si="2"/>
        <v>157</v>
      </c>
      <c r="D167" s="1">
        <v>166</v>
      </c>
    </row>
    <row r="168" spans="1:4" x14ac:dyDescent="0.2">
      <c r="A168" s="1" t="s">
        <v>167</v>
      </c>
      <c r="B168" s="3">
        <f>VLOOKUP(A168,[3]TeamRtg!$A$3:$G$367,7,FALSE)</f>
        <v>0.24358833196203306</v>
      </c>
      <c r="C168" s="1">
        <f t="shared" si="2"/>
        <v>146</v>
      </c>
      <c r="D168" s="1">
        <v>157</v>
      </c>
    </row>
    <row r="169" spans="1:4" x14ac:dyDescent="0.2">
      <c r="A169" s="1" t="s">
        <v>168</v>
      </c>
      <c r="B169" s="3">
        <f>VLOOKUP(A169,[3]TeamRtg!$A$3:$G$367,7,FALSE)</f>
        <v>7.624069490358687E-2</v>
      </c>
      <c r="C169" s="1">
        <f t="shared" si="2"/>
        <v>171</v>
      </c>
      <c r="D169" s="1">
        <v>169</v>
      </c>
    </row>
    <row r="170" spans="1:4" x14ac:dyDescent="0.2">
      <c r="A170" s="1" t="s">
        <v>169</v>
      </c>
      <c r="B170" s="3">
        <f>VLOOKUP(A170,[3]TeamRtg!$A$3:$G$367,7,FALSE)</f>
        <v>8.11551297706323E-2</v>
      </c>
      <c r="C170" s="1">
        <f t="shared" si="2"/>
        <v>170</v>
      </c>
      <c r="D170" s="1">
        <v>164</v>
      </c>
    </row>
    <row r="171" spans="1:4" x14ac:dyDescent="0.2">
      <c r="A171" s="1" t="s">
        <v>170</v>
      </c>
      <c r="B171" s="3">
        <f>VLOOKUP(A171,[3]TeamRtg!$A$3:$G$367,7,FALSE)</f>
        <v>8.2367602883300778E-2</v>
      </c>
      <c r="C171" s="1">
        <f t="shared" si="2"/>
        <v>169</v>
      </c>
      <c r="D171" s="1">
        <v>173</v>
      </c>
    </row>
    <row r="172" spans="1:4" x14ac:dyDescent="0.2">
      <c r="A172" s="1" t="s">
        <v>171</v>
      </c>
      <c r="B172" s="3">
        <f>VLOOKUP(A172,[3]TeamRtg!$A$3:$G$367,7,FALSE)</f>
        <v>0.11461231563857774</v>
      </c>
      <c r="C172" s="1">
        <f t="shared" si="2"/>
        <v>166</v>
      </c>
      <c r="D172" s="1">
        <v>167</v>
      </c>
    </row>
    <row r="173" spans="1:4" x14ac:dyDescent="0.2">
      <c r="A173" s="1" t="s">
        <v>172</v>
      </c>
      <c r="B173" s="3">
        <f>VLOOKUP(A173,[3]TeamRtg!$A$3:$G$367,7,FALSE)</f>
        <v>-7.5922194985251947E-4</v>
      </c>
      <c r="C173" s="1">
        <f t="shared" si="2"/>
        <v>184</v>
      </c>
      <c r="D173" s="1">
        <v>177</v>
      </c>
    </row>
    <row r="174" spans="1:4" x14ac:dyDescent="0.2">
      <c r="A174" s="1" t="s">
        <v>173</v>
      </c>
      <c r="B174" s="3">
        <f>VLOOKUP(A174,[3]TeamRtg!$A$3:$G$367,7,FALSE)</f>
        <v>6.2777555443150515E-2</v>
      </c>
      <c r="C174" s="1">
        <f t="shared" si="2"/>
        <v>173</v>
      </c>
      <c r="D174" s="1">
        <v>171</v>
      </c>
    </row>
    <row r="175" spans="1:4" x14ac:dyDescent="0.2">
      <c r="A175" s="1" t="s">
        <v>174</v>
      </c>
      <c r="B175" s="3">
        <f>VLOOKUP(A175,[3]TeamRtg!$A$3:$G$367,7,FALSE)</f>
        <v>-5.9407174639656342E-2</v>
      </c>
      <c r="C175" s="1">
        <f t="shared" si="2"/>
        <v>193</v>
      </c>
      <c r="D175" s="1">
        <v>193</v>
      </c>
    </row>
    <row r="176" spans="1:4" x14ac:dyDescent="0.2">
      <c r="A176" s="1" t="s">
        <v>175</v>
      </c>
      <c r="B176" s="3">
        <f>VLOOKUP(A176,[3]TeamRtg!$A$3:$G$367,7,FALSE)</f>
        <v>5.4255721110254763E-2</v>
      </c>
      <c r="C176" s="1">
        <f t="shared" si="2"/>
        <v>175</v>
      </c>
      <c r="D176" s="1">
        <v>172</v>
      </c>
    </row>
    <row r="177" spans="1:4" x14ac:dyDescent="0.2">
      <c r="A177" s="1" t="s">
        <v>176</v>
      </c>
      <c r="B177" s="3">
        <f>VLOOKUP(A177,[3]TeamRtg!$A$3:$G$367,7,FALSE)</f>
        <v>-8.9583090790043909E-3</v>
      </c>
      <c r="C177" s="1">
        <f t="shared" si="2"/>
        <v>187</v>
      </c>
      <c r="D177" s="1">
        <v>181</v>
      </c>
    </row>
    <row r="178" spans="1:4" x14ac:dyDescent="0.2">
      <c r="A178" s="1" t="s">
        <v>177</v>
      </c>
      <c r="B178" s="3">
        <f>VLOOKUP(A178,[3]TeamRtg!$A$3:$G$367,7,FALSE)</f>
        <v>5.4082207078276136E-2</v>
      </c>
      <c r="C178" s="1">
        <f t="shared" si="2"/>
        <v>176</v>
      </c>
      <c r="D178" s="1">
        <v>174</v>
      </c>
    </row>
    <row r="179" spans="1:4" x14ac:dyDescent="0.2">
      <c r="A179" s="1" t="s">
        <v>178</v>
      </c>
      <c r="B179" s="3">
        <f>VLOOKUP(A179,[3]TeamRtg!$A$3:$G$367,7,FALSE)</f>
        <v>8.65416166923349E-2</v>
      </c>
      <c r="C179" s="1">
        <f t="shared" si="2"/>
        <v>168</v>
      </c>
      <c r="D179" s="1">
        <v>176</v>
      </c>
    </row>
    <row r="180" spans="1:4" x14ac:dyDescent="0.2">
      <c r="A180" s="1" t="s">
        <v>179</v>
      </c>
      <c r="B180" s="3">
        <f>VLOOKUP(A180,[3]TeamRtg!$A$3:$G$367,7,FALSE)</f>
        <v>4.3158885947052181E-2</v>
      </c>
      <c r="C180" s="1">
        <f t="shared" si="2"/>
        <v>177</v>
      </c>
      <c r="D180" s="1">
        <v>180</v>
      </c>
    </row>
    <row r="181" spans="1:4" x14ac:dyDescent="0.2">
      <c r="A181" s="1" t="s">
        <v>180</v>
      </c>
      <c r="B181" s="3">
        <f>VLOOKUP(A181,[3]TeamRtg!$A$3:$G$367,7,FALSE)</f>
        <v>-8.5403827664969605E-3</v>
      </c>
      <c r="C181" s="1">
        <f t="shared" si="2"/>
        <v>186</v>
      </c>
      <c r="D181" s="1">
        <v>179</v>
      </c>
    </row>
    <row r="182" spans="1:4" x14ac:dyDescent="0.2">
      <c r="A182" s="1" t="s">
        <v>181</v>
      </c>
      <c r="B182" s="3">
        <f>VLOOKUP(A182,[3]TeamRtg!$A$3:$G$367,7,FALSE)</f>
        <v>7.206179131966432E-4</v>
      </c>
      <c r="C182" s="1">
        <f t="shared" si="2"/>
        <v>183</v>
      </c>
      <c r="D182" s="1">
        <v>183</v>
      </c>
    </row>
    <row r="183" spans="1:4" x14ac:dyDescent="0.2">
      <c r="A183" s="1" t="s">
        <v>182</v>
      </c>
      <c r="B183" s="3">
        <f>VLOOKUP(A183,[3]TeamRtg!$A$3:$G$367,7,FALSE)</f>
        <v>0.13128293392634055</v>
      </c>
      <c r="C183" s="1">
        <f t="shared" si="2"/>
        <v>164</v>
      </c>
      <c r="D183" s="1">
        <v>182</v>
      </c>
    </row>
    <row r="184" spans="1:4" x14ac:dyDescent="0.2">
      <c r="A184" s="1" t="s">
        <v>183</v>
      </c>
      <c r="B184" s="3">
        <f>VLOOKUP(A184,[3]TeamRtg!$A$3:$G$367,7,FALSE)</f>
        <v>-5.9972993456580935E-2</v>
      </c>
      <c r="C184" s="1">
        <f t="shared" si="2"/>
        <v>194</v>
      </c>
      <c r="D184" s="1">
        <v>196</v>
      </c>
    </row>
    <row r="185" spans="1:4" x14ac:dyDescent="0.2">
      <c r="A185" s="1" t="s">
        <v>184</v>
      </c>
      <c r="B185" s="3">
        <f>VLOOKUP(A185,[3]TeamRtg!$A$3:$G$367,7,FALSE)</f>
        <v>-1.1429335259895481E-2</v>
      </c>
      <c r="C185" s="1">
        <f t="shared" si="2"/>
        <v>188</v>
      </c>
      <c r="D185" s="1">
        <v>184</v>
      </c>
    </row>
    <row r="186" spans="1:4" x14ac:dyDescent="0.2">
      <c r="A186" s="1" t="s">
        <v>185</v>
      </c>
      <c r="B186" s="3">
        <f>VLOOKUP(A186,[3]TeamRtg!$A$3:$G$367,7,FALSE)</f>
        <v>-6.2199022529467393E-3</v>
      </c>
      <c r="C186" s="1">
        <f t="shared" si="2"/>
        <v>185</v>
      </c>
      <c r="D186" s="1">
        <v>187</v>
      </c>
    </row>
    <row r="187" spans="1:4" x14ac:dyDescent="0.2">
      <c r="A187" s="1" t="s">
        <v>186</v>
      </c>
      <c r="B187" s="3">
        <f>VLOOKUP(A187,[3]TeamRtg!$A$3:$G$367,7,FALSE)</f>
        <v>1.6345424675851396E-2</v>
      </c>
      <c r="C187" s="1">
        <f t="shared" si="2"/>
        <v>179</v>
      </c>
      <c r="D187" s="1">
        <v>178</v>
      </c>
    </row>
    <row r="188" spans="1:4" x14ac:dyDescent="0.2">
      <c r="A188" s="1" t="s">
        <v>187</v>
      </c>
      <c r="B188" s="3">
        <f>VLOOKUP(A188,[3]TeamRtg!$A$3:$G$367,7,FALSE)</f>
        <v>-4.4300217017066087E-2</v>
      </c>
      <c r="C188" s="1">
        <f t="shared" si="2"/>
        <v>189</v>
      </c>
      <c r="D188" s="1">
        <v>191</v>
      </c>
    </row>
    <row r="189" spans="1:4" x14ac:dyDescent="0.2">
      <c r="A189" s="1" t="s">
        <v>188</v>
      </c>
      <c r="B189" s="3">
        <f>VLOOKUP(A189,[3]TeamRtg!$A$3:$G$367,7,FALSE)</f>
        <v>7.0998641607832605E-2</v>
      </c>
      <c r="C189" s="1">
        <f t="shared" si="2"/>
        <v>172</v>
      </c>
      <c r="D189" s="1">
        <v>175</v>
      </c>
    </row>
    <row r="190" spans="1:4" x14ac:dyDescent="0.2">
      <c r="A190" s="1" t="s">
        <v>189</v>
      </c>
      <c r="B190" s="3">
        <f>VLOOKUP(A190,[3]TeamRtg!$A$3:$G$367,7,FALSE)</f>
        <v>-4.7263426499680343E-2</v>
      </c>
      <c r="C190" s="1">
        <f t="shared" si="2"/>
        <v>190</v>
      </c>
      <c r="D190" s="1">
        <v>186</v>
      </c>
    </row>
    <row r="191" spans="1:4" x14ac:dyDescent="0.2">
      <c r="A191" s="1" t="s">
        <v>190</v>
      </c>
      <c r="B191" s="3">
        <f>VLOOKUP(A191,[3]TeamRtg!$A$3:$G$367,7,FALSE)</f>
        <v>-7.3789703422436972E-2</v>
      </c>
      <c r="C191" s="1">
        <f t="shared" si="2"/>
        <v>195</v>
      </c>
      <c r="D191" s="1">
        <v>194</v>
      </c>
    </row>
    <row r="192" spans="1:4" x14ac:dyDescent="0.2">
      <c r="A192" s="1" t="s">
        <v>191</v>
      </c>
      <c r="B192" s="3">
        <f>VLOOKUP(A192,[3]TeamRtg!$A$3:$G$367,7,FALSE)</f>
        <v>-5.9339262961658173E-2</v>
      </c>
      <c r="C192" s="1">
        <f t="shared" si="2"/>
        <v>192</v>
      </c>
      <c r="D192" s="1">
        <v>190</v>
      </c>
    </row>
    <row r="193" spans="1:4" x14ac:dyDescent="0.2">
      <c r="A193" s="1" t="s">
        <v>192</v>
      </c>
      <c r="B193" s="3">
        <f>VLOOKUP(A193,[3]TeamRtg!$A$3:$G$367,7,FALSE)</f>
        <v>-4.9241764138505492E-2</v>
      </c>
      <c r="C193" s="1">
        <f t="shared" si="2"/>
        <v>191</v>
      </c>
      <c r="D193" s="1">
        <v>189</v>
      </c>
    </row>
    <row r="194" spans="1:4" x14ac:dyDescent="0.2">
      <c r="A194" s="1" t="s">
        <v>193</v>
      </c>
      <c r="B194" s="3">
        <f>VLOOKUP(A194,[3]TeamRtg!$A$3:$G$367,7,FALSE)</f>
        <v>5.937460167045305E-3</v>
      </c>
      <c r="C194" s="1">
        <f t="shared" si="2"/>
        <v>181</v>
      </c>
      <c r="D194" s="1">
        <v>188</v>
      </c>
    </row>
    <row r="195" spans="1:4" x14ac:dyDescent="0.2">
      <c r="A195" s="1" t="s">
        <v>194</v>
      </c>
      <c r="B195" s="3">
        <f>VLOOKUP(A195,[3]TeamRtg!$A$3:$G$367,7,FALSE)</f>
        <v>4.3795391246332274E-3</v>
      </c>
      <c r="C195" s="1">
        <f t="shared" ref="C195:C258" si="3">RANK(B195,$B$2:$B$366)</f>
        <v>182</v>
      </c>
      <c r="D195" s="1">
        <v>185</v>
      </c>
    </row>
    <row r="196" spans="1:4" x14ac:dyDescent="0.2">
      <c r="A196" s="1" t="s">
        <v>195</v>
      </c>
      <c r="B196" s="3">
        <f>VLOOKUP(A196,[3]TeamRtg!$A$3:$G$367,7,FALSE)</f>
        <v>-0.17261429747520821</v>
      </c>
      <c r="C196" s="1">
        <f t="shared" si="3"/>
        <v>207</v>
      </c>
      <c r="D196" s="1">
        <v>200</v>
      </c>
    </row>
    <row r="197" spans="1:4" x14ac:dyDescent="0.2">
      <c r="A197" s="1" t="s">
        <v>196</v>
      </c>
      <c r="B197" s="3">
        <f>VLOOKUP(A197,[3]TeamRtg!$A$3:$G$367,7,FALSE)</f>
        <v>1.1644207541372763E-2</v>
      </c>
      <c r="C197" s="1">
        <f t="shared" si="3"/>
        <v>180</v>
      </c>
      <c r="D197" s="1">
        <v>192</v>
      </c>
    </row>
    <row r="198" spans="1:4" x14ac:dyDescent="0.2">
      <c r="A198" s="1" t="s">
        <v>197</v>
      </c>
      <c r="B198" s="3">
        <f>VLOOKUP(A198,[3]TeamRtg!$A$3:$G$367,7,FALSE)</f>
        <v>-0.13733412452524674</v>
      </c>
      <c r="C198" s="1">
        <f t="shared" si="3"/>
        <v>203</v>
      </c>
      <c r="D198" s="1">
        <v>202</v>
      </c>
    </row>
    <row r="199" spans="1:4" x14ac:dyDescent="0.2">
      <c r="A199" s="1" t="s">
        <v>198</v>
      </c>
      <c r="B199" s="3">
        <f>VLOOKUP(A199,[3]TeamRtg!$A$3:$G$367,7,FALSE)</f>
        <v>-0.13245152208493818</v>
      </c>
      <c r="C199" s="1">
        <f t="shared" si="3"/>
        <v>200</v>
      </c>
      <c r="D199" s="1">
        <v>197</v>
      </c>
    </row>
    <row r="200" spans="1:4" x14ac:dyDescent="0.2">
      <c r="A200" s="1" t="s">
        <v>199</v>
      </c>
      <c r="B200" s="3">
        <f>VLOOKUP(A200,[3]TeamRtg!$A$3:$G$367,7,FALSE)</f>
        <v>-0.12621550546911089</v>
      </c>
      <c r="C200" s="1">
        <f t="shared" si="3"/>
        <v>199</v>
      </c>
      <c r="D200" s="1">
        <v>201</v>
      </c>
    </row>
    <row r="201" spans="1:4" x14ac:dyDescent="0.2">
      <c r="A201" s="1" t="s">
        <v>200</v>
      </c>
      <c r="B201" s="3">
        <f>VLOOKUP(A201,[3]TeamRtg!$A$3:$G$367,7,FALSE)</f>
        <v>-0.14930108683246202</v>
      </c>
      <c r="C201" s="1">
        <f t="shared" si="3"/>
        <v>204</v>
      </c>
      <c r="D201" s="1">
        <v>198</v>
      </c>
    </row>
    <row r="202" spans="1:4" x14ac:dyDescent="0.2">
      <c r="A202" s="1" t="s">
        <v>201</v>
      </c>
      <c r="B202" s="3">
        <f>VLOOKUP(A202,[3]TeamRtg!$A$3:$G$367,7,FALSE)</f>
        <v>-0.1073451355730132</v>
      </c>
      <c r="C202" s="1">
        <f t="shared" si="3"/>
        <v>197</v>
      </c>
      <c r="D202" s="1">
        <v>195</v>
      </c>
    </row>
    <row r="203" spans="1:4" x14ac:dyDescent="0.2">
      <c r="A203" s="1" t="s">
        <v>202</v>
      </c>
      <c r="B203" s="3">
        <f>VLOOKUP(A203,[3]TeamRtg!$A$3:$G$367,7,FALSE)</f>
        <v>-0.210572009295586</v>
      </c>
      <c r="C203" s="1">
        <f t="shared" si="3"/>
        <v>213</v>
      </c>
      <c r="D203" s="1">
        <v>210</v>
      </c>
    </row>
    <row r="204" spans="1:4" x14ac:dyDescent="0.2">
      <c r="A204" s="1" t="s">
        <v>203</v>
      </c>
      <c r="B204" s="3">
        <f>VLOOKUP(A204,[3]TeamRtg!$A$3:$G$367,7,FALSE)</f>
        <v>-0.11146878219444642</v>
      </c>
      <c r="C204" s="1">
        <f t="shared" si="3"/>
        <v>198</v>
      </c>
      <c r="D204" s="1">
        <v>199</v>
      </c>
    </row>
    <row r="205" spans="1:4" x14ac:dyDescent="0.2">
      <c r="A205" s="1" t="s">
        <v>204</v>
      </c>
      <c r="B205" s="3">
        <f>VLOOKUP(A205,[3]TeamRtg!$A$3:$G$367,7,FALSE)</f>
        <v>-0.24997446597718445</v>
      </c>
      <c r="C205" s="1">
        <f t="shared" si="3"/>
        <v>220</v>
      </c>
      <c r="D205" s="1">
        <v>222</v>
      </c>
    </row>
    <row r="206" spans="1:4" x14ac:dyDescent="0.2">
      <c r="A206" s="1" t="s">
        <v>205</v>
      </c>
      <c r="B206" s="3">
        <f>VLOOKUP(A206,[3]TeamRtg!$A$3:$G$367,7,FALSE)</f>
        <v>-0.16773120853943146</v>
      </c>
      <c r="C206" s="1">
        <f t="shared" si="3"/>
        <v>206</v>
      </c>
      <c r="D206" s="1">
        <v>205</v>
      </c>
    </row>
    <row r="207" spans="1:4" x14ac:dyDescent="0.2">
      <c r="A207" s="1" t="s">
        <v>206</v>
      </c>
      <c r="B207" s="3">
        <f>VLOOKUP(A207,[3]TeamRtg!$A$3:$G$367,7,FALSE)</f>
        <v>-7.7001202110282108E-2</v>
      </c>
      <c r="C207" s="1">
        <f t="shared" si="3"/>
        <v>196</v>
      </c>
      <c r="D207" s="1">
        <v>203</v>
      </c>
    </row>
    <row r="208" spans="1:4" x14ac:dyDescent="0.2">
      <c r="A208" s="1" t="s">
        <v>207</v>
      </c>
      <c r="B208" s="3">
        <f>VLOOKUP(A208,[3]TeamRtg!$A$3:$G$367,7,FALSE)</f>
        <v>-0.16722917411577651</v>
      </c>
      <c r="C208" s="1">
        <f t="shared" si="3"/>
        <v>205</v>
      </c>
      <c r="D208" s="1">
        <v>207</v>
      </c>
    </row>
    <row r="209" spans="1:4" x14ac:dyDescent="0.2">
      <c r="A209" s="1" t="s">
        <v>208</v>
      </c>
      <c r="B209" s="3">
        <f>VLOOKUP(A209,[3]TeamRtg!$A$3:$G$367,7,FALSE)</f>
        <v>-0.2074383412309932</v>
      </c>
      <c r="C209" s="1">
        <f t="shared" si="3"/>
        <v>211</v>
      </c>
      <c r="D209" s="1">
        <v>219</v>
      </c>
    </row>
    <row r="210" spans="1:4" x14ac:dyDescent="0.2">
      <c r="A210" s="1" t="s">
        <v>209</v>
      </c>
      <c r="B210" s="3">
        <f>VLOOKUP(A210,[3]TeamRtg!$A$3:$G$367,7,FALSE)</f>
        <v>-0.21010195619870659</v>
      </c>
      <c r="C210" s="1">
        <f t="shared" si="3"/>
        <v>212</v>
      </c>
      <c r="D210" s="1">
        <v>211</v>
      </c>
    </row>
    <row r="211" spans="1:4" x14ac:dyDescent="0.2">
      <c r="A211" s="1" t="s">
        <v>210</v>
      </c>
      <c r="B211" s="3">
        <f>VLOOKUP(A211,[3]TeamRtg!$A$3:$G$367,7,FALSE)</f>
        <v>-0.24850708362436735</v>
      </c>
      <c r="C211" s="1">
        <f t="shared" si="3"/>
        <v>219</v>
      </c>
      <c r="D211" s="1">
        <v>217</v>
      </c>
    </row>
    <row r="212" spans="1:4" x14ac:dyDescent="0.2">
      <c r="A212" s="1" t="s">
        <v>211</v>
      </c>
      <c r="B212" s="3">
        <f>VLOOKUP(A212,[3]TeamRtg!$A$3:$G$367,7,FALSE)</f>
        <v>-0.13256759969815721</v>
      </c>
      <c r="C212" s="1">
        <f t="shared" si="3"/>
        <v>201</v>
      </c>
      <c r="D212" s="1">
        <v>209</v>
      </c>
    </row>
    <row r="213" spans="1:4" x14ac:dyDescent="0.2">
      <c r="A213" s="1" t="s">
        <v>212</v>
      </c>
      <c r="B213" s="3">
        <f>VLOOKUP(A213,[3]TeamRtg!$A$3:$G$367,7,FALSE)</f>
        <v>-0.22144329869887447</v>
      </c>
      <c r="C213" s="1">
        <f t="shared" si="3"/>
        <v>214</v>
      </c>
      <c r="D213" s="1">
        <v>212</v>
      </c>
    </row>
    <row r="214" spans="1:4" x14ac:dyDescent="0.2">
      <c r="A214" s="1" t="s">
        <v>213</v>
      </c>
      <c r="B214" s="3">
        <f>VLOOKUP(A214,[3]TeamRtg!$A$3:$G$367,7,FALSE)</f>
        <v>-0.18430194134067743</v>
      </c>
      <c r="C214" s="1">
        <f t="shared" si="3"/>
        <v>210</v>
      </c>
      <c r="D214" s="1">
        <v>208</v>
      </c>
    </row>
    <row r="215" spans="1:4" x14ac:dyDescent="0.2">
      <c r="A215" s="1" t="s">
        <v>214</v>
      </c>
      <c r="B215" s="3">
        <f>VLOOKUP(A215,[3]TeamRtg!$A$3:$G$367,7,FALSE)</f>
        <v>-0.22853079811958157</v>
      </c>
      <c r="C215" s="1">
        <f t="shared" si="3"/>
        <v>215</v>
      </c>
      <c r="D215" s="1">
        <v>213</v>
      </c>
    </row>
    <row r="216" spans="1:4" x14ac:dyDescent="0.2">
      <c r="A216" s="1" t="s">
        <v>215</v>
      </c>
      <c r="B216" s="3">
        <f>VLOOKUP(A216,[3]TeamRtg!$A$3:$G$367,7,FALSE)</f>
        <v>-0.24537209902666823</v>
      </c>
      <c r="C216" s="1">
        <f t="shared" si="3"/>
        <v>218</v>
      </c>
      <c r="D216" s="1">
        <v>215</v>
      </c>
    </row>
    <row r="217" spans="1:4" x14ac:dyDescent="0.2">
      <c r="A217" s="1" t="s">
        <v>216</v>
      </c>
      <c r="B217" s="3">
        <f>VLOOKUP(A217,[3]TeamRtg!$A$3:$G$367,7,FALSE)</f>
        <v>-0.26686972558596078</v>
      </c>
      <c r="C217" s="1">
        <f t="shared" si="3"/>
        <v>223</v>
      </c>
      <c r="D217" s="1">
        <v>218</v>
      </c>
    </row>
    <row r="218" spans="1:4" x14ac:dyDescent="0.2">
      <c r="A218" s="1" t="s">
        <v>217</v>
      </c>
      <c r="B218" s="3">
        <f>VLOOKUP(A218,[3]TeamRtg!$A$3:$G$367,7,FALSE)</f>
        <v>-0.17939762980807808</v>
      </c>
      <c r="C218" s="1">
        <f t="shared" si="3"/>
        <v>209</v>
      </c>
      <c r="D218" s="1">
        <v>206</v>
      </c>
    </row>
    <row r="219" spans="1:4" x14ac:dyDescent="0.2">
      <c r="A219" s="1" t="s">
        <v>218</v>
      </c>
      <c r="B219" s="3">
        <f>VLOOKUP(A219,[3]TeamRtg!$A$3:$G$367,7,FALSE)</f>
        <v>-0.28036843330269529</v>
      </c>
      <c r="C219" s="1">
        <f t="shared" si="3"/>
        <v>228</v>
      </c>
      <c r="D219" s="1">
        <v>224</v>
      </c>
    </row>
    <row r="220" spans="1:4" x14ac:dyDescent="0.2">
      <c r="A220" s="1" t="s">
        <v>219</v>
      </c>
      <c r="B220" s="3">
        <f>VLOOKUP(A220,[3]TeamRtg!$A$3:$G$367,7,FALSE)</f>
        <v>-0.17620724273244021</v>
      </c>
      <c r="C220" s="1">
        <f t="shared" si="3"/>
        <v>208</v>
      </c>
      <c r="D220" s="1">
        <v>214</v>
      </c>
    </row>
    <row r="221" spans="1:4" x14ac:dyDescent="0.2">
      <c r="A221" s="1" t="s">
        <v>220</v>
      </c>
      <c r="B221" s="3">
        <f>VLOOKUP(A221,[3]TeamRtg!$A$3:$G$367,7,FALSE)</f>
        <v>-0.2438446650295979</v>
      </c>
      <c r="C221" s="1">
        <f t="shared" si="3"/>
        <v>217</v>
      </c>
      <c r="D221" s="1">
        <v>216</v>
      </c>
    </row>
    <row r="222" spans="1:4" x14ac:dyDescent="0.2">
      <c r="A222" s="1" t="s">
        <v>221</v>
      </c>
      <c r="B222" s="3">
        <f>VLOOKUP(A222,[3]TeamRtg!$A$3:$G$367,7,FALSE)</f>
        <v>-0.13498289109576475</v>
      </c>
      <c r="C222" s="1">
        <f t="shared" si="3"/>
        <v>202</v>
      </c>
      <c r="D222" s="1">
        <v>204</v>
      </c>
    </row>
    <row r="223" spans="1:4" x14ac:dyDescent="0.2">
      <c r="A223" s="1" t="s">
        <v>222</v>
      </c>
      <c r="B223" s="3">
        <f>VLOOKUP(A223,[3]TeamRtg!$A$3:$G$367,7,FALSE)</f>
        <v>-0.23725576222710951</v>
      </c>
      <c r="C223" s="1">
        <f t="shared" si="3"/>
        <v>216</v>
      </c>
      <c r="D223" s="1">
        <v>221</v>
      </c>
    </row>
    <row r="224" spans="1:4" x14ac:dyDescent="0.2">
      <c r="A224" s="1" t="s">
        <v>223</v>
      </c>
      <c r="B224" s="3">
        <f>VLOOKUP(A224,[3]TeamRtg!$A$3:$G$367,7,FALSE)</f>
        <v>-0.26752700712331501</v>
      </c>
      <c r="C224" s="1">
        <f t="shared" si="3"/>
        <v>224</v>
      </c>
      <c r="D224" s="1">
        <v>223</v>
      </c>
    </row>
    <row r="225" spans="1:4" x14ac:dyDescent="0.2">
      <c r="A225" s="1" t="s">
        <v>224</v>
      </c>
      <c r="B225" s="3">
        <f>VLOOKUP(A225,[3]TeamRtg!$A$3:$G$367,7,FALSE)</f>
        <v>-0.25866017193182711</v>
      </c>
      <c r="C225" s="1">
        <f t="shared" si="3"/>
        <v>221</v>
      </c>
      <c r="D225" s="1">
        <v>220</v>
      </c>
    </row>
    <row r="226" spans="1:4" x14ac:dyDescent="0.2">
      <c r="A226" s="1" t="s">
        <v>225</v>
      </c>
      <c r="B226" s="3">
        <f>VLOOKUP(A226,[3]TeamRtg!$A$3:$G$367,7,FALSE)</f>
        <v>-0.26883652292129534</v>
      </c>
      <c r="C226" s="1">
        <f t="shared" si="3"/>
        <v>226</v>
      </c>
      <c r="D226" s="1">
        <v>225</v>
      </c>
    </row>
    <row r="227" spans="1:4" x14ac:dyDescent="0.2">
      <c r="A227" s="1" t="s">
        <v>226</v>
      </c>
      <c r="B227" s="3">
        <f>VLOOKUP(A227,[3]TeamRtg!$A$3:$G$367,7,FALSE)</f>
        <v>-0.31145947409236668</v>
      </c>
      <c r="C227" s="1">
        <f t="shared" si="3"/>
        <v>230</v>
      </c>
      <c r="D227" s="1">
        <v>226</v>
      </c>
    </row>
    <row r="228" spans="1:4" x14ac:dyDescent="0.2">
      <c r="A228" s="1" t="s">
        <v>227</v>
      </c>
      <c r="B228" s="3">
        <f>VLOOKUP(A228,[3]TeamRtg!$A$3:$G$367,7,FALSE)</f>
        <v>-0.28392543005944237</v>
      </c>
      <c r="C228" s="1">
        <f t="shared" si="3"/>
        <v>229</v>
      </c>
      <c r="D228" s="1">
        <v>229</v>
      </c>
    </row>
    <row r="229" spans="1:4" x14ac:dyDescent="0.2">
      <c r="A229" s="1" t="s">
        <v>228</v>
      </c>
      <c r="B229" s="3">
        <f>VLOOKUP(A229,[3]TeamRtg!$A$3:$G$367,7,FALSE)</f>
        <v>-0.27295361105514665</v>
      </c>
      <c r="C229" s="1">
        <f t="shared" si="3"/>
        <v>227</v>
      </c>
      <c r="D229" s="1">
        <v>228</v>
      </c>
    </row>
    <row r="230" spans="1:4" x14ac:dyDescent="0.2">
      <c r="A230" s="1" t="s">
        <v>229</v>
      </c>
      <c r="B230" s="3">
        <f>VLOOKUP(A230,[3]TeamRtg!$A$3:$G$367,7,FALSE)</f>
        <v>-0.37080199591229168</v>
      </c>
      <c r="C230" s="1">
        <f t="shared" si="3"/>
        <v>234</v>
      </c>
      <c r="D230" s="1">
        <v>231</v>
      </c>
    </row>
    <row r="231" spans="1:4" x14ac:dyDescent="0.2">
      <c r="A231" s="1" t="s">
        <v>230</v>
      </c>
      <c r="B231" s="3">
        <f>VLOOKUP(A231,[3]TeamRtg!$A$3:$G$367,7,FALSE)</f>
        <v>-0.26845483104804846</v>
      </c>
      <c r="C231" s="1">
        <f t="shared" si="3"/>
        <v>225</v>
      </c>
      <c r="D231" s="1">
        <v>227</v>
      </c>
    </row>
    <row r="232" spans="1:4" x14ac:dyDescent="0.2">
      <c r="A232" s="1" t="s">
        <v>231</v>
      </c>
      <c r="B232" s="3">
        <f>VLOOKUP(A232,[3]TeamRtg!$A$3:$G$367,7,FALSE)</f>
        <v>-0.3764238975024301</v>
      </c>
      <c r="C232" s="1">
        <f t="shared" si="3"/>
        <v>235</v>
      </c>
      <c r="D232" s="1">
        <v>234</v>
      </c>
    </row>
    <row r="233" spans="1:4" x14ac:dyDescent="0.2">
      <c r="A233" s="1" t="s">
        <v>232</v>
      </c>
      <c r="B233" s="3">
        <f>VLOOKUP(A233,[3]TeamRtg!$A$3:$G$367,7,FALSE)</f>
        <v>-0.38864837637166127</v>
      </c>
      <c r="C233" s="1">
        <f t="shared" si="3"/>
        <v>238</v>
      </c>
      <c r="D233" s="1">
        <v>235</v>
      </c>
    </row>
    <row r="234" spans="1:4" x14ac:dyDescent="0.2">
      <c r="A234" s="1" t="s">
        <v>233</v>
      </c>
      <c r="B234" s="3">
        <f>VLOOKUP(A234,[3]TeamRtg!$A$3:$G$367,7,FALSE)</f>
        <v>-0.43390216279338473</v>
      </c>
      <c r="C234" s="1">
        <f t="shared" si="3"/>
        <v>244</v>
      </c>
      <c r="D234" s="1">
        <v>239</v>
      </c>
    </row>
    <row r="235" spans="1:4" x14ac:dyDescent="0.2">
      <c r="A235" s="1" t="s">
        <v>234</v>
      </c>
      <c r="B235" s="3">
        <f>VLOOKUP(A235,[3]TeamRtg!$A$3:$G$367,7,FALSE)</f>
        <v>-0.3624863153957753</v>
      </c>
      <c r="C235" s="1">
        <f t="shared" si="3"/>
        <v>233</v>
      </c>
      <c r="D235" s="1">
        <v>233</v>
      </c>
    </row>
    <row r="236" spans="1:4" x14ac:dyDescent="0.2">
      <c r="A236" s="1" t="s">
        <v>235</v>
      </c>
      <c r="B236" s="3">
        <f>VLOOKUP(A236,[3]TeamRtg!$A$3:$G$367,7,FALSE)</f>
        <v>-0.3593170068993527</v>
      </c>
      <c r="C236" s="1">
        <f t="shared" si="3"/>
        <v>232</v>
      </c>
      <c r="D236" s="1">
        <v>232</v>
      </c>
    </row>
    <row r="237" spans="1:4" x14ac:dyDescent="0.2">
      <c r="A237" s="1" t="s">
        <v>236</v>
      </c>
      <c r="B237" s="3">
        <f>VLOOKUP(A237,[3]TeamRtg!$A$3:$G$367,7,FALSE)</f>
        <v>-0.38190522005557104</v>
      </c>
      <c r="C237" s="1">
        <f t="shared" si="3"/>
        <v>236</v>
      </c>
      <c r="D237" s="1">
        <v>237</v>
      </c>
    </row>
    <row r="238" spans="1:4" x14ac:dyDescent="0.2">
      <c r="A238" s="1" t="s">
        <v>237</v>
      </c>
      <c r="B238" s="3">
        <f>VLOOKUP(A238,[3]TeamRtg!$A$3:$G$367,7,FALSE)</f>
        <v>-0.26626824476425603</v>
      </c>
      <c r="C238" s="1">
        <f t="shared" si="3"/>
        <v>222</v>
      </c>
      <c r="D238" s="1">
        <v>230</v>
      </c>
    </row>
    <row r="239" spans="1:4" x14ac:dyDescent="0.2">
      <c r="A239" s="1" t="s">
        <v>238</v>
      </c>
      <c r="B239" s="3">
        <f>VLOOKUP(A239,[3]TeamRtg!$A$3:$G$367,7,FALSE)</f>
        <v>-0.40711093713202706</v>
      </c>
      <c r="C239" s="1">
        <f t="shared" si="3"/>
        <v>240</v>
      </c>
      <c r="D239" s="1">
        <v>243</v>
      </c>
    </row>
    <row r="240" spans="1:4" x14ac:dyDescent="0.2">
      <c r="A240" s="1" t="s">
        <v>239</v>
      </c>
      <c r="B240" s="3">
        <f>VLOOKUP(A240,[3]TeamRtg!$A$3:$G$367,7,FALSE)</f>
        <v>-0.40870977322717233</v>
      </c>
      <c r="C240" s="1">
        <f t="shared" si="3"/>
        <v>241</v>
      </c>
      <c r="D240" s="1">
        <v>241</v>
      </c>
    </row>
    <row r="241" spans="1:4" x14ac:dyDescent="0.2">
      <c r="A241" s="1" t="s">
        <v>240</v>
      </c>
      <c r="B241" s="3">
        <f>VLOOKUP(A241,[3]TeamRtg!$A$3:$G$367,7,FALSE)</f>
        <v>-0.4041070891426094</v>
      </c>
      <c r="C241" s="1">
        <f t="shared" si="3"/>
        <v>239</v>
      </c>
      <c r="D241" s="1">
        <v>236</v>
      </c>
    </row>
    <row r="242" spans="1:4" x14ac:dyDescent="0.2">
      <c r="A242" s="1" t="s">
        <v>241</v>
      </c>
      <c r="B242" s="3">
        <f>VLOOKUP(A242,[3]TeamRtg!$A$3:$G$367,7,FALSE)</f>
        <v>-0.32551369060519042</v>
      </c>
      <c r="C242" s="1">
        <f t="shared" si="3"/>
        <v>231</v>
      </c>
      <c r="D242" s="1">
        <v>238</v>
      </c>
    </row>
    <row r="243" spans="1:4" x14ac:dyDescent="0.2">
      <c r="A243" s="1" t="s">
        <v>242</v>
      </c>
      <c r="B243" s="3">
        <f>VLOOKUP(A243,[3]TeamRtg!$A$3:$G$367,7,FALSE)</f>
        <v>-0.42585500972069895</v>
      </c>
      <c r="C243" s="1">
        <f t="shared" si="3"/>
        <v>243</v>
      </c>
      <c r="D243" s="1">
        <v>244</v>
      </c>
    </row>
    <row r="244" spans="1:4" x14ac:dyDescent="0.2">
      <c r="A244" s="1" t="s">
        <v>243</v>
      </c>
      <c r="B244" s="3">
        <f>VLOOKUP(A244,[3]TeamRtg!$A$3:$G$367,7,FALSE)</f>
        <v>-0.49417312252345941</v>
      </c>
      <c r="C244" s="1">
        <f t="shared" si="3"/>
        <v>254</v>
      </c>
      <c r="D244" s="1">
        <v>247</v>
      </c>
    </row>
    <row r="245" spans="1:4" x14ac:dyDescent="0.2">
      <c r="A245" s="1" t="s">
        <v>244</v>
      </c>
      <c r="B245" s="3">
        <f>VLOOKUP(A245,[3]TeamRtg!$A$3:$G$367,7,FALSE)</f>
        <v>-0.46902585332117885</v>
      </c>
      <c r="C245" s="1">
        <f t="shared" si="3"/>
        <v>247</v>
      </c>
      <c r="D245" s="1">
        <v>253</v>
      </c>
    </row>
    <row r="246" spans="1:4" x14ac:dyDescent="0.2">
      <c r="A246" s="1" t="s">
        <v>245</v>
      </c>
      <c r="B246" s="3">
        <f>VLOOKUP(A246,[3]TeamRtg!$A$3:$G$367,7,FALSE)</f>
        <v>-0.38463649931158006</v>
      </c>
      <c r="C246" s="1">
        <f t="shared" si="3"/>
        <v>237</v>
      </c>
      <c r="D246" s="1">
        <v>240</v>
      </c>
    </row>
    <row r="247" spans="1:4" x14ac:dyDescent="0.2">
      <c r="A247" s="1" t="s">
        <v>246</v>
      </c>
      <c r="B247" s="3">
        <f>VLOOKUP(A247,[3]TeamRtg!$A$3:$G$367,7,FALSE)</f>
        <v>-0.48450786914071492</v>
      </c>
      <c r="C247" s="1">
        <f t="shared" si="3"/>
        <v>252</v>
      </c>
      <c r="D247" s="1">
        <v>251</v>
      </c>
    </row>
    <row r="248" spans="1:4" x14ac:dyDescent="0.2">
      <c r="A248" s="1" t="s">
        <v>247</v>
      </c>
      <c r="B248" s="3">
        <f>VLOOKUP(A248,[3]TeamRtg!$A$3:$G$367,7,FALSE)</f>
        <v>-0.47554643204349484</v>
      </c>
      <c r="C248" s="1">
        <f t="shared" si="3"/>
        <v>250</v>
      </c>
      <c r="D248" s="1">
        <v>254</v>
      </c>
    </row>
    <row r="249" spans="1:4" x14ac:dyDescent="0.2">
      <c r="A249" s="1" t="s">
        <v>248</v>
      </c>
      <c r="B249" s="3">
        <f>VLOOKUP(A249,[3]TeamRtg!$A$3:$G$367,7,FALSE)</f>
        <v>-0.48254151215700442</v>
      </c>
      <c r="C249" s="1">
        <f t="shared" si="3"/>
        <v>251</v>
      </c>
      <c r="D249" s="1">
        <v>252</v>
      </c>
    </row>
    <row r="250" spans="1:4" x14ac:dyDescent="0.2">
      <c r="A250" s="1" t="s">
        <v>249</v>
      </c>
      <c r="B250" s="3">
        <f>VLOOKUP(A250,[3]TeamRtg!$A$3:$G$367,7,FALSE)</f>
        <v>-0.47222384419243935</v>
      </c>
      <c r="C250" s="1">
        <f t="shared" si="3"/>
        <v>249</v>
      </c>
      <c r="D250" s="1">
        <v>245</v>
      </c>
    </row>
    <row r="251" spans="1:4" x14ac:dyDescent="0.2">
      <c r="A251" s="1" t="s">
        <v>250</v>
      </c>
      <c r="B251" s="3">
        <f>VLOOKUP(A251,[3]TeamRtg!$A$3:$G$367,7,FALSE)</f>
        <v>-0.47048206118598174</v>
      </c>
      <c r="C251" s="1">
        <f t="shared" si="3"/>
        <v>248</v>
      </c>
      <c r="D251" s="1">
        <v>249</v>
      </c>
    </row>
    <row r="252" spans="1:4" x14ac:dyDescent="0.2">
      <c r="A252" s="1" t="s">
        <v>251</v>
      </c>
      <c r="B252" s="3">
        <f>VLOOKUP(A252,[3]TeamRtg!$A$3:$G$367,7,FALSE)</f>
        <v>-0.42021339110300238</v>
      </c>
      <c r="C252" s="1">
        <f t="shared" si="3"/>
        <v>242</v>
      </c>
      <c r="D252" s="1">
        <v>242</v>
      </c>
    </row>
    <row r="253" spans="1:4" x14ac:dyDescent="0.2">
      <c r="A253" s="1" t="s">
        <v>252</v>
      </c>
      <c r="B253" s="3">
        <f>VLOOKUP(A253,[3]TeamRtg!$A$3:$G$367,7,FALSE)</f>
        <v>-0.46449093029795469</v>
      </c>
      <c r="C253" s="1">
        <f t="shared" si="3"/>
        <v>246</v>
      </c>
      <c r="D253" s="1">
        <v>246</v>
      </c>
    </row>
    <row r="254" spans="1:4" x14ac:dyDescent="0.2">
      <c r="A254" s="1" t="s">
        <v>253</v>
      </c>
      <c r="B254" s="3">
        <f>VLOOKUP(A254,[3]TeamRtg!$A$3:$G$367,7,FALSE)</f>
        <v>-0.48518194102643541</v>
      </c>
      <c r="C254" s="1">
        <f t="shared" si="3"/>
        <v>253</v>
      </c>
      <c r="D254" s="1">
        <v>248</v>
      </c>
    </row>
    <row r="255" spans="1:4" x14ac:dyDescent="0.2">
      <c r="A255" s="1" t="s">
        <v>254</v>
      </c>
      <c r="B255" s="3">
        <f>VLOOKUP(A255,[3]TeamRtg!$A$3:$G$367,7,FALSE)</f>
        <v>-0.54218780277096768</v>
      </c>
      <c r="C255" s="1">
        <f t="shared" si="3"/>
        <v>260</v>
      </c>
      <c r="D255" s="1">
        <v>257</v>
      </c>
    </row>
    <row r="256" spans="1:4" x14ac:dyDescent="0.2">
      <c r="A256" s="1" t="s">
        <v>255</v>
      </c>
      <c r="B256" s="3">
        <f>VLOOKUP(A256,[3]TeamRtg!$A$3:$G$367,7,FALSE)</f>
        <v>-0.51195947600968894</v>
      </c>
      <c r="C256" s="1">
        <f t="shared" si="3"/>
        <v>257</v>
      </c>
      <c r="D256" s="1">
        <v>256</v>
      </c>
    </row>
    <row r="257" spans="1:4" x14ac:dyDescent="0.2">
      <c r="A257" s="1" t="s">
        <v>256</v>
      </c>
      <c r="B257" s="3">
        <f>VLOOKUP(A257,[3]TeamRtg!$A$3:$G$367,7,FALSE)</f>
        <v>-0.53388911473486778</v>
      </c>
      <c r="C257" s="1">
        <f t="shared" si="3"/>
        <v>258</v>
      </c>
      <c r="D257" s="1">
        <v>258</v>
      </c>
    </row>
    <row r="258" spans="1:4" x14ac:dyDescent="0.2">
      <c r="A258" s="1" t="s">
        <v>257</v>
      </c>
      <c r="B258" s="3">
        <f>VLOOKUP(A258,[3]TeamRtg!$A$3:$G$367,7,FALSE)</f>
        <v>-0.50066542290182825</v>
      </c>
      <c r="C258" s="1">
        <f t="shared" si="3"/>
        <v>255</v>
      </c>
      <c r="D258" s="1">
        <v>255</v>
      </c>
    </row>
    <row r="259" spans="1:4" x14ac:dyDescent="0.2">
      <c r="A259" s="1" t="s">
        <v>258</v>
      </c>
      <c r="B259" s="3">
        <f>VLOOKUP(A259,[3]TeamRtg!$A$3:$G$367,7,FALSE)</f>
        <v>-0.59846368584855891</v>
      </c>
      <c r="C259" s="1">
        <f t="shared" ref="C259:C322" si="4">RANK(B259,$B$2:$B$366)</f>
        <v>266</v>
      </c>
      <c r="D259" s="1">
        <v>267</v>
      </c>
    </row>
    <row r="260" spans="1:4" x14ac:dyDescent="0.2">
      <c r="A260" s="1" t="s">
        <v>259</v>
      </c>
      <c r="B260" s="3">
        <f>VLOOKUP(A260,[3]TeamRtg!$A$3:$G$367,7,FALSE)</f>
        <v>-0.54311436998025808</v>
      </c>
      <c r="C260" s="1">
        <f t="shared" si="4"/>
        <v>261</v>
      </c>
      <c r="D260" s="1">
        <v>260</v>
      </c>
    </row>
    <row r="261" spans="1:4" x14ac:dyDescent="0.2">
      <c r="A261" s="1" t="s">
        <v>260</v>
      </c>
      <c r="B261" s="3">
        <f>VLOOKUP(A261,[3]TeamRtg!$A$3:$G$367,7,FALSE)</f>
        <v>-0.57679446866714346</v>
      </c>
      <c r="C261" s="1">
        <f t="shared" si="4"/>
        <v>264</v>
      </c>
      <c r="D261" s="1">
        <v>259</v>
      </c>
    </row>
    <row r="262" spans="1:4" x14ac:dyDescent="0.2">
      <c r="A262" s="1" t="s">
        <v>261</v>
      </c>
      <c r="B262" s="3">
        <f>VLOOKUP(A262,[3]TeamRtg!$A$3:$G$367,7,FALSE)</f>
        <v>-0.63926593848796831</v>
      </c>
      <c r="C262" s="1">
        <f t="shared" si="4"/>
        <v>273</v>
      </c>
      <c r="D262" s="1">
        <v>272</v>
      </c>
    </row>
    <row r="263" spans="1:4" x14ac:dyDescent="0.2">
      <c r="A263" s="1" t="s">
        <v>262</v>
      </c>
      <c r="B263" s="3">
        <f>VLOOKUP(A263,[3]TeamRtg!$A$3:$G$367,7,FALSE)</f>
        <v>-0.58768834176997675</v>
      </c>
      <c r="C263" s="1">
        <f t="shared" si="4"/>
        <v>265</v>
      </c>
      <c r="D263" s="1">
        <v>262</v>
      </c>
    </row>
    <row r="264" spans="1:4" x14ac:dyDescent="0.2">
      <c r="A264" s="1" t="s">
        <v>263</v>
      </c>
      <c r="B264" s="3">
        <f>VLOOKUP(A264,[3]TeamRtg!$A$3:$G$367,7,FALSE)</f>
        <v>-0.62663509599529532</v>
      </c>
      <c r="C264" s="1">
        <f t="shared" si="4"/>
        <v>271</v>
      </c>
      <c r="D264" s="1">
        <v>264</v>
      </c>
    </row>
    <row r="265" spans="1:4" x14ac:dyDescent="0.2">
      <c r="A265" s="1" t="s">
        <v>264</v>
      </c>
      <c r="B265" s="3">
        <f>VLOOKUP(A265,[3]TeamRtg!$A$3:$G$367,7,FALSE)</f>
        <v>-0.60542469350407513</v>
      </c>
      <c r="C265" s="1">
        <f t="shared" si="4"/>
        <v>268</v>
      </c>
      <c r="D265" s="1">
        <v>263</v>
      </c>
    </row>
    <row r="266" spans="1:4" x14ac:dyDescent="0.2">
      <c r="A266" s="1" t="s">
        <v>265</v>
      </c>
      <c r="B266" s="3">
        <f>VLOOKUP(A266,[3]TeamRtg!$A$3:$G$367,7,FALSE)</f>
        <v>-0.6032223001174678</v>
      </c>
      <c r="C266" s="1">
        <f t="shared" si="4"/>
        <v>267</v>
      </c>
      <c r="D266" s="1">
        <v>268</v>
      </c>
    </row>
    <row r="267" spans="1:4" x14ac:dyDescent="0.2">
      <c r="A267" s="1" t="s">
        <v>266</v>
      </c>
      <c r="B267" s="3">
        <f>VLOOKUP(A267,[3]TeamRtg!$A$3:$G$367,7,FALSE)</f>
        <v>-0.63902377268127197</v>
      </c>
      <c r="C267" s="1">
        <f t="shared" si="4"/>
        <v>272</v>
      </c>
      <c r="D267" s="1">
        <v>274</v>
      </c>
    </row>
    <row r="268" spans="1:4" x14ac:dyDescent="0.2">
      <c r="A268" s="1" t="s">
        <v>267</v>
      </c>
      <c r="B268" s="3">
        <f>VLOOKUP(A268,[3]TeamRtg!$A$3:$G$367,7,FALSE)</f>
        <v>-0.61035150863823584</v>
      </c>
      <c r="C268" s="1">
        <f t="shared" si="4"/>
        <v>269</v>
      </c>
      <c r="D268" s="1">
        <v>269</v>
      </c>
    </row>
    <row r="269" spans="1:4" x14ac:dyDescent="0.2">
      <c r="A269" s="1" t="s">
        <v>268</v>
      </c>
      <c r="B269" s="3">
        <f>VLOOKUP(A269,[3]TeamRtg!$A$3:$G$367,7,FALSE)</f>
        <v>-0.56599519917606356</v>
      </c>
      <c r="C269" s="1">
        <f t="shared" si="4"/>
        <v>263</v>
      </c>
      <c r="D269" s="1">
        <v>266</v>
      </c>
    </row>
    <row r="270" spans="1:4" x14ac:dyDescent="0.2">
      <c r="A270" s="1" t="s">
        <v>269</v>
      </c>
      <c r="B270" s="3">
        <f>VLOOKUP(A270,[3]TeamRtg!$A$3:$G$367,7,FALSE)</f>
        <v>-0.62062982414592194</v>
      </c>
      <c r="C270" s="1">
        <f t="shared" si="4"/>
        <v>270</v>
      </c>
      <c r="D270" s="1">
        <v>271</v>
      </c>
    </row>
    <row r="271" spans="1:4" x14ac:dyDescent="0.2">
      <c r="A271" s="1" t="s">
        <v>270</v>
      </c>
      <c r="B271" s="3">
        <f>VLOOKUP(A271,[3]TeamRtg!$A$3:$G$367,7,FALSE)</f>
        <v>-0.44633469061309949</v>
      </c>
      <c r="C271" s="1">
        <f t="shared" si="4"/>
        <v>245</v>
      </c>
      <c r="D271" s="1">
        <v>250</v>
      </c>
    </row>
    <row r="272" spans="1:4" x14ac:dyDescent="0.2">
      <c r="A272" s="1" t="s">
        <v>271</v>
      </c>
      <c r="B272" s="3">
        <f>VLOOKUP(A272,[3]TeamRtg!$A$3:$G$367,7,FALSE)</f>
        <v>-0.56419319849461558</v>
      </c>
      <c r="C272" s="1">
        <f t="shared" si="4"/>
        <v>262</v>
      </c>
      <c r="D272" s="1">
        <v>265</v>
      </c>
    </row>
    <row r="273" spans="1:4" x14ac:dyDescent="0.2">
      <c r="A273" s="1" t="s">
        <v>272</v>
      </c>
      <c r="B273" s="3">
        <f>VLOOKUP(A273,[3]TeamRtg!$A$3:$G$367,7,FALSE)</f>
        <v>-0.65499347960601284</v>
      </c>
      <c r="C273" s="1">
        <f t="shared" si="4"/>
        <v>275</v>
      </c>
      <c r="D273" s="1">
        <v>273</v>
      </c>
    </row>
    <row r="274" spans="1:4" x14ac:dyDescent="0.2">
      <c r="A274" s="1" t="s">
        <v>273</v>
      </c>
      <c r="B274" s="3">
        <f>VLOOKUP(A274,[3]TeamRtg!$A$3:$G$367,7,FALSE)</f>
        <v>-0.53746828693957405</v>
      </c>
      <c r="C274" s="1">
        <f t="shared" si="4"/>
        <v>259</v>
      </c>
      <c r="D274" s="1">
        <v>261</v>
      </c>
    </row>
    <row r="275" spans="1:4" x14ac:dyDescent="0.2">
      <c r="A275" s="1" t="s">
        <v>274</v>
      </c>
      <c r="B275" s="3">
        <f>VLOOKUP(A275,[3]TeamRtg!$A$3:$G$367,7,FALSE)</f>
        <v>-0.64165426178111085</v>
      </c>
      <c r="C275" s="1">
        <f t="shared" si="4"/>
        <v>274</v>
      </c>
      <c r="D275" s="1">
        <v>275</v>
      </c>
    </row>
    <row r="276" spans="1:4" x14ac:dyDescent="0.2">
      <c r="A276" s="1" t="s">
        <v>275</v>
      </c>
      <c r="B276" s="3">
        <f>VLOOKUP(A276,[3]TeamRtg!$A$3:$G$367,7,FALSE)</f>
        <v>-0.66704647548682006</v>
      </c>
      <c r="C276" s="1">
        <f t="shared" si="4"/>
        <v>276</v>
      </c>
      <c r="D276" s="1">
        <v>276</v>
      </c>
    </row>
    <row r="277" spans="1:4" x14ac:dyDescent="0.2">
      <c r="A277" s="1" t="s">
        <v>276</v>
      </c>
      <c r="B277" s="3">
        <f>VLOOKUP(A277,[3]TeamRtg!$A$3:$G$367,7,FALSE)</f>
        <v>-0.74194371445029028</v>
      </c>
      <c r="C277" s="1">
        <f t="shared" si="4"/>
        <v>285</v>
      </c>
      <c r="D277" s="1">
        <v>283</v>
      </c>
    </row>
    <row r="278" spans="1:4" x14ac:dyDescent="0.2">
      <c r="A278" s="1" t="s">
        <v>277</v>
      </c>
      <c r="B278" s="3">
        <f>VLOOKUP(A278,[3]TeamRtg!$A$3:$G$367,7,FALSE)</f>
        <v>-0.51180670084375079</v>
      </c>
      <c r="C278" s="1">
        <f t="shared" si="4"/>
        <v>256</v>
      </c>
      <c r="D278" s="1">
        <v>270</v>
      </c>
    </row>
    <row r="279" spans="1:4" x14ac:dyDescent="0.2">
      <c r="A279" s="1" t="s">
        <v>278</v>
      </c>
      <c r="B279" s="3">
        <f>VLOOKUP(A279,[3]TeamRtg!$A$3:$G$367,7,FALSE)</f>
        <v>-0.70723705596477127</v>
      </c>
      <c r="C279" s="1">
        <f t="shared" si="4"/>
        <v>278</v>
      </c>
      <c r="D279" s="1">
        <v>280</v>
      </c>
    </row>
    <row r="280" spans="1:4" x14ac:dyDescent="0.2">
      <c r="A280" s="1" t="s">
        <v>279</v>
      </c>
      <c r="B280" s="3">
        <f>VLOOKUP(A280,[3]TeamRtg!$A$3:$G$367,7,FALSE)</f>
        <v>-0.74108004414888495</v>
      </c>
      <c r="C280" s="1">
        <f t="shared" si="4"/>
        <v>284</v>
      </c>
      <c r="D280" s="1">
        <v>279</v>
      </c>
    </row>
    <row r="281" spans="1:4" x14ac:dyDescent="0.2">
      <c r="A281" s="1" t="s">
        <v>280</v>
      </c>
      <c r="B281" s="3">
        <f>VLOOKUP(A281,[3]TeamRtg!$A$3:$G$367,7,FALSE)</f>
        <v>-0.72999113860846887</v>
      </c>
      <c r="C281" s="1">
        <f t="shared" si="4"/>
        <v>282</v>
      </c>
      <c r="D281" s="1">
        <v>277</v>
      </c>
    </row>
    <row r="282" spans="1:4" x14ac:dyDescent="0.2">
      <c r="A282" s="1" t="s">
        <v>281</v>
      </c>
      <c r="B282" s="3">
        <f>VLOOKUP(A282,[3]TeamRtg!$A$3:$G$367,7,FALSE)</f>
        <v>-0.68399013878655346</v>
      </c>
      <c r="C282" s="1">
        <f t="shared" si="4"/>
        <v>277</v>
      </c>
      <c r="D282" s="1">
        <v>278</v>
      </c>
    </row>
    <row r="283" spans="1:4" x14ac:dyDescent="0.2">
      <c r="A283" s="1" t="s">
        <v>282</v>
      </c>
      <c r="B283" s="3">
        <f>VLOOKUP(A283,[3]TeamRtg!$A$3:$G$367,7,FALSE)</f>
        <v>-0.74027728843009277</v>
      </c>
      <c r="C283" s="1">
        <f t="shared" si="4"/>
        <v>283</v>
      </c>
      <c r="D283" s="1">
        <v>286</v>
      </c>
    </row>
    <row r="284" spans="1:4" x14ac:dyDescent="0.2">
      <c r="A284" s="1" t="s">
        <v>283</v>
      </c>
      <c r="B284" s="3">
        <f>VLOOKUP(A284,[3]TeamRtg!$A$3:$G$367,7,FALSE)</f>
        <v>-0.75834000191860207</v>
      </c>
      <c r="C284" s="1">
        <f t="shared" si="4"/>
        <v>288</v>
      </c>
      <c r="D284" s="1">
        <v>288</v>
      </c>
    </row>
    <row r="285" spans="1:4" x14ac:dyDescent="0.2">
      <c r="A285" s="1" t="s">
        <v>284</v>
      </c>
      <c r="B285" s="3">
        <f>VLOOKUP(A285,[3]TeamRtg!$A$3:$G$367,7,FALSE)</f>
        <v>-0.75775052618721417</v>
      </c>
      <c r="C285" s="1">
        <f t="shared" si="4"/>
        <v>287</v>
      </c>
      <c r="D285" s="1">
        <v>289</v>
      </c>
    </row>
    <row r="286" spans="1:4" x14ac:dyDescent="0.2">
      <c r="A286" s="1" t="s">
        <v>285</v>
      </c>
      <c r="B286" s="3">
        <f>VLOOKUP(A286,[3]TeamRtg!$A$3:$G$367,7,FALSE)</f>
        <v>-0.72226254114520894</v>
      </c>
      <c r="C286" s="1">
        <f t="shared" si="4"/>
        <v>281</v>
      </c>
      <c r="D286" s="1">
        <v>284</v>
      </c>
    </row>
    <row r="287" spans="1:4" x14ac:dyDescent="0.2">
      <c r="A287" s="1" t="s">
        <v>286</v>
      </c>
      <c r="B287" s="3">
        <f>VLOOKUP(A287,[3]TeamRtg!$A$3:$G$367,7,FALSE)</f>
        <v>-0.71624830755557067</v>
      </c>
      <c r="C287" s="1">
        <f t="shared" si="4"/>
        <v>279</v>
      </c>
      <c r="D287" s="1">
        <v>282</v>
      </c>
    </row>
    <row r="288" spans="1:4" x14ac:dyDescent="0.2">
      <c r="A288" s="1" t="s">
        <v>287</v>
      </c>
      <c r="B288" s="3">
        <f>VLOOKUP(A288,[3]TeamRtg!$A$3:$G$367,7,FALSE)</f>
        <v>-0.71677936570952838</v>
      </c>
      <c r="C288" s="1">
        <f t="shared" si="4"/>
        <v>280</v>
      </c>
      <c r="D288" s="1">
        <v>281</v>
      </c>
    </row>
    <row r="289" spans="1:4" x14ac:dyDescent="0.2">
      <c r="A289" s="1" t="s">
        <v>288</v>
      </c>
      <c r="B289" s="3">
        <f>VLOOKUP(A289,[3]TeamRtg!$A$3:$G$367,7,FALSE)</f>
        <v>-0.7554859792131049</v>
      </c>
      <c r="C289" s="1">
        <f t="shared" si="4"/>
        <v>286</v>
      </c>
      <c r="D289" s="1">
        <v>287</v>
      </c>
    </row>
    <row r="290" spans="1:4" x14ac:dyDescent="0.2">
      <c r="A290" s="1" t="s">
        <v>289</v>
      </c>
      <c r="B290" s="3">
        <f>VLOOKUP(A290,[3]TeamRtg!$A$3:$G$367,7,FALSE)</f>
        <v>-0.76427523082984883</v>
      </c>
      <c r="C290" s="1">
        <f t="shared" si="4"/>
        <v>289</v>
      </c>
      <c r="D290" s="1">
        <v>285</v>
      </c>
    </row>
    <row r="291" spans="1:4" x14ac:dyDescent="0.2">
      <c r="A291" s="1" t="s">
        <v>290</v>
      </c>
      <c r="B291" s="3">
        <f>VLOOKUP(A291,[3]TeamRtg!$A$3:$G$367,7,FALSE)</f>
        <v>-0.87622512254129514</v>
      </c>
      <c r="C291" s="1">
        <f t="shared" si="4"/>
        <v>293</v>
      </c>
      <c r="D291" s="1">
        <v>291</v>
      </c>
    </row>
    <row r="292" spans="1:4" x14ac:dyDescent="0.2">
      <c r="A292" s="1" t="s">
        <v>291</v>
      </c>
      <c r="B292" s="3">
        <f>VLOOKUP(A292,[3]TeamRtg!$A$3:$G$367,7,FALSE)</f>
        <v>-0.88183080288564242</v>
      </c>
      <c r="C292" s="1">
        <f t="shared" si="4"/>
        <v>294</v>
      </c>
      <c r="D292" s="1">
        <v>294</v>
      </c>
    </row>
    <row r="293" spans="1:4" x14ac:dyDescent="0.2">
      <c r="A293" s="1" t="s">
        <v>292</v>
      </c>
      <c r="B293" s="3">
        <f>VLOOKUP(A293,[3]TeamRtg!$A$3:$G$367,7,FALSE)</f>
        <v>-0.82440127151075915</v>
      </c>
      <c r="C293" s="1">
        <f t="shared" si="4"/>
        <v>291</v>
      </c>
      <c r="D293" s="1">
        <v>292</v>
      </c>
    </row>
    <row r="294" spans="1:4" x14ac:dyDescent="0.2">
      <c r="A294" s="1" t="s">
        <v>293</v>
      </c>
      <c r="B294" s="3">
        <f>VLOOKUP(A294,[3]TeamRtg!$A$3:$G$367,7,FALSE)</f>
        <v>-0.87169646132701495</v>
      </c>
      <c r="C294" s="1">
        <f t="shared" si="4"/>
        <v>292</v>
      </c>
      <c r="D294" s="1">
        <v>293</v>
      </c>
    </row>
    <row r="295" spans="1:4" x14ac:dyDescent="0.2">
      <c r="A295" s="1" t="s">
        <v>294</v>
      </c>
      <c r="B295" s="3">
        <f>VLOOKUP(A295,[3]TeamRtg!$A$3:$G$367,7,FALSE)</f>
        <v>-0.78614962623207607</v>
      </c>
      <c r="C295" s="1">
        <f t="shared" si="4"/>
        <v>290</v>
      </c>
      <c r="D295" s="1">
        <v>290</v>
      </c>
    </row>
    <row r="296" spans="1:4" x14ac:dyDescent="0.2">
      <c r="A296" s="1" t="s">
        <v>295</v>
      </c>
      <c r="B296" s="3">
        <f>VLOOKUP(A296,[3]TeamRtg!$A$3:$G$367,7,FALSE)</f>
        <v>-0.90527304333408054</v>
      </c>
      <c r="C296" s="1">
        <f t="shared" si="4"/>
        <v>295</v>
      </c>
      <c r="D296" s="1">
        <v>295</v>
      </c>
    </row>
    <row r="297" spans="1:4" x14ac:dyDescent="0.2">
      <c r="A297" s="1" t="s">
        <v>296</v>
      </c>
      <c r="B297" s="3">
        <f>VLOOKUP(A297,[3]TeamRtg!$A$3:$G$367,7,FALSE)</f>
        <v>-0.99320499695179332</v>
      </c>
      <c r="C297" s="1">
        <f t="shared" si="4"/>
        <v>300</v>
      </c>
      <c r="D297" s="1">
        <v>298</v>
      </c>
    </row>
    <row r="298" spans="1:4" x14ac:dyDescent="0.2">
      <c r="A298" s="1" t="s">
        <v>297</v>
      </c>
      <c r="B298" s="3">
        <f>VLOOKUP(A298,[3]TeamRtg!$A$3:$G$367,7,FALSE)</f>
        <v>-0.98739678279908805</v>
      </c>
      <c r="C298" s="1">
        <f t="shared" si="4"/>
        <v>298</v>
      </c>
      <c r="D298" s="1">
        <v>296</v>
      </c>
    </row>
    <row r="299" spans="1:4" x14ac:dyDescent="0.2">
      <c r="A299" s="1" t="s">
        <v>298</v>
      </c>
      <c r="B299" s="3">
        <f>VLOOKUP(A299,[3]TeamRtg!$A$3:$G$367,7,FALSE)</f>
        <v>-1.0396214737817158</v>
      </c>
      <c r="C299" s="1">
        <f t="shared" si="4"/>
        <v>303</v>
      </c>
      <c r="D299" s="1">
        <v>302</v>
      </c>
    </row>
    <row r="300" spans="1:4" x14ac:dyDescent="0.2">
      <c r="A300" s="1" t="s">
        <v>299</v>
      </c>
      <c r="B300" s="3">
        <f>VLOOKUP(A300,[3]TeamRtg!$A$3:$G$367,7,FALSE)</f>
        <v>-0.99024320163924484</v>
      </c>
      <c r="C300" s="1">
        <f t="shared" si="4"/>
        <v>299</v>
      </c>
      <c r="D300" s="1">
        <v>297</v>
      </c>
    </row>
    <row r="301" spans="1:4" x14ac:dyDescent="0.2">
      <c r="A301" s="1" t="s">
        <v>300</v>
      </c>
      <c r="B301" s="3">
        <f>VLOOKUP(A301,[3]TeamRtg!$A$3:$G$367,7,FALSE)</f>
        <v>-0.98667913242428307</v>
      </c>
      <c r="C301" s="1">
        <f t="shared" si="4"/>
        <v>297</v>
      </c>
      <c r="D301" s="1">
        <v>300</v>
      </c>
    </row>
    <row r="302" spans="1:4" x14ac:dyDescent="0.2">
      <c r="A302" s="1" t="s">
        <v>301</v>
      </c>
      <c r="B302" s="3">
        <f>VLOOKUP(A302,[3]TeamRtg!$A$3:$G$367,7,FALSE)</f>
        <v>-1.0187952047573423</v>
      </c>
      <c r="C302" s="1">
        <f t="shared" si="4"/>
        <v>301</v>
      </c>
      <c r="D302" s="1">
        <v>303</v>
      </c>
    </row>
    <row r="303" spans="1:4" x14ac:dyDescent="0.2">
      <c r="A303" s="1" t="s">
        <v>302</v>
      </c>
      <c r="B303" s="3">
        <f>VLOOKUP(A303,[3]TeamRtg!$A$3:$G$367,7,FALSE)</f>
        <v>-1.102100232965417</v>
      </c>
      <c r="C303" s="1">
        <f t="shared" si="4"/>
        <v>307</v>
      </c>
      <c r="D303" s="1">
        <v>301</v>
      </c>
    </row>
    <row r="304" spans="1:4" x14ac:dyDescent="0.2">
      <c r="A304" s="1" t="s">
        <v>303</v>
      </c>
      <c r="B304" s="3">
        <f>VLOOKUP(A304,[3]TeamRtg!$A$3:$G$367,7,FALSE)</f>
        <v>-1.0603828957493084</v>
      </c>
      <c r="C304" s="1">
        <f t="shared" si="4"/>
        <v>306</v>
      </c>
      <c r="D304" s="1">
        <v>306</v>
      </c>
    </row>
    <row r="305" spans="1:4" x14ac:dyDescent="0.2">
      <c r="A305" s="1" t="s">
        <v>304</v>
      </c>
      <c r="B305" s="3">
        <f>VLOOKUP(A305,[3]TeamRtg!$A$3:$G$367,7,FALSE)</f>
        <v>-1.0536228515462838</v>
      </c>
      <c r="C305" s="1">
        <f t="shared" si="4"/>
        <v>305</v>
      </c>
      <c r="D305" s="1">
        <v>305</v>
      </c>
    </row>
    <row r="306" spans="1:4" x14ac:dyDescent="0.2">
      <c r="A306" s="1" t="s">
        <v>305</v>
      </c>
      <c r="B306" s="3">
        <f>VLOOKUP(A306,[3]TeamRtg!$A$3:$G$367,7,FALSE)</f>
        <v>-0.92162895490684071</v>
      </c>
      <c r="C306" s="1">
        <f t="shared" si="4"/>
        <v>296</v>
      </c>
      <c r="D306" s="1">
        <v>299</v>
      </c>
    </row>
    <row r="307" spans="1:4" x14ac:dyDescent="0.2">
      <c r="A307" s="1" t="s">
        <v>306</v>
      </c>
      <c r="B307" s="3">
        <f>VLOOKUP(A307,[3]TeamRtg!$A$3:$G$367,7,FALSE)</f>
        <v>-1.0483843424090324</v>
      </c>
      <c r="C307" s="1">
        <f t="shared" si="4"/>
        <v>304</v>
      </c>
      <c r="D307" s="1">
        <v>304</v>
      </c>
    </row>
    <row r="308" spans="1:4" x14ac:dyDescent="0.2">
      <c r="A308" s="1" t="s">
        <v>307</v>
      </c>
      <c r="B308" s="3">
        <f>VLOOKUP(A308,[3]TeamRtg!$A$3:$G$367,7,FALSE)</f>
        <v>-1.1482543175213835</v>
      </c>
      <c r="C308" s="1">
        <f t="shared" si="4"/>
        <v>313</v>
      </c>
      <c r="D308" s="1">
        <v>309</v>
      </c>
    </row>
    <row r="309" spans="1:4" x14ac:dyDescent="0.2">
      <c r="A309" s="1" t="s">
        <v>308</v>
      </c>
      <c r="B309" s="3">
        <f>VLOOKUP(A309,[3]TeamRtg!$A$3:$G$367,7,FALSE)</f>
        <v>-1.0287663726453167</v>
      </c>
      <c r="C309" s="1">
        <f t="shared" si="4"/>
        <v>302</v>
      </c>
      <c r="D309" s="1">
        <v>307</v>
      </c>
    </row>
    <row r="310" spans="1:4" x14ac:dyDescent="0.2">
      <c r="A310" s="1" t="s">
        <v>309</v>
      </c>
      <c r="B310" s="3">
        <f>VLOOKUP(A310,[3]TeamRtg!$A$3:$G$367,7,FALSE)</f>
        <v>-1.1741570527254055</v>
      </c>
      <c r="C310" s="1">
        <f t="shared" si="4"/>
        <v>315</v>
      </c>
      <c r="D310" s="1">
        <v>311</v>
      </c>
    </row>
    <row r="311" spans="1:4" x14ac:dyDescent="0.2">
      <c r="A311" s="1" t="s">
        <v>310</v>
      </c>
      <c r="B311" s="3">
        <f>VLOOKUP(A311,[3]TeamRtg!$A$3:$G$367,7,FALSE)</f>
        <v>-1.1438067350419108</v>
      </c>
      <c r="C311" s="1">
        <f t="shared" si="4"/>
        <v>312</v>
      </c>
      <c r="D311" s="1">
        <v>308</v>
      </c>
    </row>
    <row r="312" spans="1:4" x14ac:dyDescent="0.2">
      <c r="A312" s="1" t="s">
        <v>311</v>
      </c>
      <c r="B312" s="3">
        <f>VLOOKUP(A312,[3]TeamRtg!$A$3:$G$367,7,FALSE)</f>
        <v>-1.1756311585860224</v>
      </c>
      <c r="C312" s="1">
        <f t="shared" si="4"/>
        <v>316</v>
      </c>
      <c r="D312" s="1">
        <v>310</v>
      </c>
    </row>
    <row r="313" spans="1:4" x14ac:dyDescent="0.2">
      <c r="A313" s="1" t="s">
        <v>312</v>
      </c>
      <c r="B313" s="3">
        <f>VLOOKUP(A313,[3]TeamRtg!$A$3:$G$367,7,FALSE)</f>
        <v>-1.1241145683900389</v>
      </c>
      <c r="C313" s="1">
        <f t="shared" si="4"/>
        <v>309</v>
      </c>
      <c r="D313" s="1">
        <v>316</v>
      </c>
    </row>
    <row r="314" spans="1:4" x14ac:dyDescent="0.2">
      <c r="A314" s="1" t="s">
        <v>313</v>
      </c>
      <c r="B314" s="3">
        <f>VLOOKUP(A314,[3]TeamRtg!$A$3:$G$367,7,FALSE)</f>
        <v>-1.2151528213069125</v>
      </c>
      <c r="C314" s="1">
        <f t="shared" si="4"/>
        <v>319</v>
      </c>
      <c r="D314" s="1">
        <v>312</v>
      </c>
    </row>
    <row r="315" spans="1:4" x14ac:dyDescent="0.2">
      <c r="A315" s="1" t="s">
        <v>314</v>
      </c>
      <c r="B315" s="3">
        <f>VLOOKUP(A315,[3]TeamRtg!$A$3:$G$367,7,FALSE)</f>
        <v>-1.1895623123609591</v>
      </c>
      <c r="C315" s="1">
        <f t="shared" si="4"/>
        <v>317</v>
      </c>
      <c r="D315" s="1">
        <v>315</v>
      </c>
    </row>
    <row r="316" spans="1:4" x14ac:dyDescent="0.2">
      <c r="A316" s="1" t="s">
        <v>315</v>
      </c>
      <c r="B316" s="3">
        <f>VLOOKUP(A316,[3]TeamRtg!$A$3:$G$367,7,FALSE)</f>
        <v>-1.2475293198359021</v>
      </c>
      <c r="C316" s="1">
        <f t="shared" si="4"/>
        <v>321</v>
      </c>
      <c r="D316" s="1">
        <v>321</v>
      </c>
    </row>
    <row r="317" spans="1:4" x14ac:dyDescent="0.2">
      <c r="A317" s="1" t="s">
        <v>316</v>
      </c>
      <c r="B317" s="3">
        <f>VLOOKUP(A317,[3]TeamRtg!$A$3:$G$367,7,FALSE)</f>
        <v>-1.1136234266391491</v>
      </c>
      <c r="C317" s="1">
        <f t="shared" si="4"/>
        <v>308</v>
      </c>
      <c r="D317" s="1">
        <v>318</v>
      </c>
    </row>
    <row r="318" spans="1:4" x14ac:dyDescent="0.2">
      <c r="A318" s="1" t="s">
        <v>317</v>
      </c>
      <c r="B318" s="3">
        <f>VLOOKUP(A318,[3]TeamRtg!$A$3:$G$367,7,FALSE)</f>
        <v>-1.1243373068457549</v>
      </c>
      <c r="C318" s="1">
        <f t="shared" si="4"/>
        <v>310</v>
      </c>
      <c r="D318" s="1">
        <v>314</v>
      </c>
    </row>
    <row r="319" spans="1:4" x14ac:dyDescent="0.2">
      <c r="A319" s="1" t="s">
        <v>318</v>
      </c>
      <c r="B319" s="3">
        <f>VLOOKUP(A319,[3]TeamRtg!$A$3:$G$367,7,FALSE)</f>
        <v>-1.1606601199461881</v>
      </c>
      <c r="C319" s="1">
        <f t="shared" si="4"/>
        <v>314</v>
      </c>
      <c r="D319" s="1">
        <v>317</v>
      </c>
    </row>
    <row r="320" spans="1:4" x14ac:dyDescent="0.2">
      <c r="A320" s="1" t="s">
        <v>319</v>
      </c>
      <c r="B320" s="3">
        <f>VLOOKUP(A320,[3]TeamRtg!$A$3:$G$367,7,FALSE)</f>
        <v>-1.3280900170933509</v>
      </c>
      <c r="C320" s="1">
        <f t="shared" si="4"/>
        <v>325</v>
      </c>
      <c r="D320" s="1">
        <v>320</v>
      </c>
    </row>
    <row r="321" spans="1:4" x14ac:dyDescent="0.2">
      <c r="A321" s="1" t="s">
        <v>320</v>
      </c>
      <c r="B321" s="3">
        <f>VLOOKUP(A321,[3]TeamRtg!$A$3:$G$367,7,FALSE)</f>
        <v>-1.2369636853246264</v>
      </c>
      <c r="C321" s="1">
        <f t="shared" si="4"/>
        <v>320</v>
      </c>
      <c r="D321" s="1">
        <v>319</v>
      </c>
    </row>
    <row r="322" spans="1:4" x14ac:dyDescent="0.2">
      <c r="A322" s="1" t="s">
        <v>321</v>
      </c>
      <c r="B322" s="3">
        <f>VLOOKUP(A322,[3]TeamRtg!$A$3:$G$367,7,FALSE)</f>
        <v>-1.1372832720286514</v>
      </c>
      <c r="C322" s="1">
        <f t="shared" si="4"/>
        <v>311</v>
      </c>
      <c r="D322" s="1">
        <v>313</v>
      </c>
    </row>
    <row r="323" spans="1:4" x14ac:dyDescent="0.2">
      <c r="A323" s="1" t="s">
        <v>322</v>
      </c>
      <c r="B323" s="3">
        <f>VLOOKUP(A323,[3]TeamRtg!$A$3:$G$367,7,FALSE)</f>
        <v>-1.4217777993698093</v>
      </c>
      <c r="C323" s="1">
        <f t="shared" ref="C323:C366" si="5">RANK(B323,$B$2:$B$366)</f>
        <v>333</v>
      </c>
      <c r="D323" s="1">
        <v>330</v>
      </c>
    </row>
    <row r="324" spans="1:4" x14ac:dyDescent="0.2">
      <c r="A324" s="1" t="s">
        <v>323</v>
      </c>
      <c r="B324" s="3">
        <f>VLOOKUP(A324,[3]TeamRtg!$A$3:$G$367,7,FALSE)</f>
        <v>-1.341492525193537</v>
      </c>
      <c r="C324" s="1">
        <f t="shared" si="5"/>
        <v>326</v>
      </c>
      <c r="D324" s="1">
        <v>325</v>
      </c>
    </row>
    <row r="325" spans="1:4" x14ac:dyDescent="0.2">
      <c r="A325" s="1" t="s">
        <v>324</v>
      </c>
      <c r="B325" s="3">
        <f>VLOOKUP(A325,[3]TeamRtg!$A$3:$G$367,7,FALSE)</f>
        <v>-1.2769070678144225</v>
      </c>
      <c r="C325" s="1">
        <f t="shared" si="5"/>
        <v>323</v>
      </c>
      <c r="D325" s="1">
        <v>324</v>
      </c>
    </row>
    <row r="326" spans="1:4" x14ac:dyDescent="0.2">
      <c r="A326" s="1" t="s">
        <v>325</v>
      </c>
      <c r="B326" s="3">
        <f>VLOOKUP(A326,[3]TeamRtg!$A$3:$G$367,7,FALSE)</f>
        <v>-1.2487967006337923</v>
      </c>
      <c r="C326" s="1">
        <f t="shared" si="5"/>
        <v>322</v>
      </c>
      <c r="D326" s="1">
        <v>326</v>
      </c>
    </row>
    <row r="327" spans="1:4" x14ac:dyDescent="0.2">
      <c r="A327" s="1" t="s">
        <v>326</v>
      </c>
      <c r="B327" s="3">
        <f>VLOOKUP(A327,[3]TeamRtg!$A$3:$G$367,7,FALSE)</f>
        <v>-1.2929716308298382</v>
      </c>
      <c r="C327" s="1">
        <f t="shared" si="5"/>
        <v>324</v>
      </c>
      <c r="D327" s="1">
        <v>323</v>
      </c>
    </row>
    <row r="328" spans="1:4" x14ac:dyDescent="0.2">
      <c r="A328" s="1" t="s">
        <v>327</v>
      </c>
      <c r="B328" s="3">
        <f>VLOOKUP(A328,[3]TeamRtg!$A$3:$G$367,7,FALSE)</f>
        <v>-1.3920203551169614</v>
      </c>
      <c r="C328" s="1">
        <f t="shared" si="5"/>
        <v>329</v>
      </c>
      <c r="D328" s="1">
        <v>329</v>
      </c>
    </row>
    <row r="329" spans="1:4" x14ac:dyDescent="0.2">
      <c r="A329" s="1" t="s">
        <v>328</v>
      </c>
      <c r="B329" s="3">
        <f>VLOOKUP(A329,[3]TeamRtg!$A$3:$G$367,7,FALSE)</f>
        <v>-1.2056449763933339</v>
      </c>
      <c r="C329" s="1">
        <f t="shared" si="5"/>
        <v>318</v>
      </c>
      <c r="D329" s="1">
        <v>322</v>
      </c>
    </row>
    <row r="330" spans="1:4" x14ac:dyDescent="0.2">
      <c r="A330" s="1" t="s">
        <v>329</v>
      </c>
      <c r="B330" s="3">
        <f>VLOOKUP(A330,[3]TeamRtg!$A$3:$G$367,7,FALSE)</f>
        <v>-1.3638600850000109</v>
      </c>
      <c r="C330" s="1">
        <f t="shared" si="5"/>
        <v>327</v>
      </c>
      <c r="D330" s="1">
        <v>328</v>
      </c>
    </row>
    <row r="331" spans="1:4" x14ac:dyDescent="0.2">
      <c r="A331" s="1" t="s">
        <v>330</v>
      </c>
      <c r="B331" s="3">
        <f>VLOOKUP(A331,[3]TeamRtg!$A$3:$G$367,7,FALSE)</f>
        <v>-1.4960328069223765</v>
      </c>
      <c r="C331" s="1">
        <f t="shared" si="5"/>
        <v>340</v>
      </c>
      <c r="D331" s="1">
        <v>331</v>
      </c>
    </row>
    <row r="332" spans="1:4" x14ac:dyDescent="0.2">
      <c r="A332" s="1" t="s">
        <v>331</v>
      </c>
      <c r="B332" s="3">
        <f>VLOOKUP(A332,[3]TeamRtg!$A$3:$G$367,7,FALSE)</f>
        <v>-1.366462856167004</v>
      </c>
      <c r="C332" s="1">
        <f t="shared" si="5"/>
        <v>328</v>
      </c>
      <c r="D332" s="1">
        <v>327</v>
      </c>
    </row>
    <row r="333" spans="1:4" x14ac:dyDescent="0.2">
      <c r="A333" s="1" t="s">
        <v>332</v>
      </c>
      <c r="B333" s="3">
        <f>VLOOKUP(A333,[3]TeamRtg!$A$3:$G$367,7,FALSE)</f>
        <v>-1.538471006795</v>
      </c>
      <c r="C333" s="1">
        <f t="shared" si="5"/>
        <v>343</v>
      </c>
      <c r="D333" s="1">
        <v>336</v>
      </c>
    </row>
    <row r="334" spans="1:4" x14ac:dyDescent="0.2">
      <c r="A334" s="1" t="s">
        <v>333</v>
      </c>
      <c r="B334" s="3">
        <f>VLOOKUP(A334,[3]TeamRtg!$A$3:$G$367,7,FALSE)</f>
        <v>-1.4052142378745871</v>
      </c>
      <c r="C334" s="1">
        <f t="shared" si="5"/>
        <v>330</v>
      </c>
      <c r="D334" s="1">
        <v>332</v>
      </c>
    </row>
    <row r="335" spans="1:4" x14ac:dyDescent="0.2">
      <c r="A335" s="1" t="s">
        <v>334</v>
      </c>
      <c r="B335" s="3">
        <f>VLOOKUP(A335,[3]TeamRtg!$A$3:$G$367,7,FALSE)</f>
        <v>-1.4158745301334783</v>
      </c>
      <c r="C335" s="1">
        <f t="shared" si="5"/>
        <v>332</v>
      </c>
      <c r="D335" s="1">
        <v>333</v>
      </c>
    </row>
    <row r="336" spans="1:4" x14ac:dyDescent="0.2">
      <c r="A336" s="1" t="s">
        <v>335</v>
      </c>
      <c r="B336" s="3">
        <f>VLOOKUP(A336,[3]TeamRtg!$A$3:$G$367,7,FALSE)</f>
        <v>-1.5487255483590721</v>
      </c>
      <c r="C336" s="1">
        <f t="shared" si="5"/>
        <v>344</v>
      </c>
      <c r="D336" s="1">
        <v>341</v>
      </c>
    </row>
    <row r="337" spans="1:4" x14ac:dyDescent="0.2">
      <c r="A337" s="1" t="s">
        <v>336</v>
      </c>
      <c r="B337" s="3">
        <f>VLOOKUP(A337,[3]TeamRtg!$A$3:$G$367,7,FALSE)</f>
        <v>-1.5382740897824856</v>
      </c>
      <c r="C337" s="1">
        <f t="shared" si="5"/>
        <v>342</v>
      </c>
      <c r="D337" s="1">
        <v>335</v>
      </c>
    </row>
    <row r="338" spans="1:4" x14ac:dyDescent="0.2">
      <c r="A338" s="1" t="s">
        <v>337</v>
      </c>
      <c r="B338" s="3">
        <f>VLOOKUP(A338,[3]TeamRtg!$A$3:$G$367,7,FALSE)</f>
        <v>-1.4431702770586787</v>
      </c>
      <c r="C338" s="1">
        <f t="shared" si="5"/>
        <v>335</v>
      </c>
      <c r="D338" s="1">
        <v>334</v>
      </c>
    </row>
    <row r="339" spans="1:4" x14ac:dyDescent="0.2">
      <c r="A339" s="1" t="s">
        <v>338</v>
      </c>
      <c r="B339" s="3">
        <f>VLOOKUP(A339,[3]TeamRtg!$A$3:$G$367,7,FALSE)</f>
        <v>-1.4607358366267076</v>
      </c>
      <c r="C339" s="1">
        <f t="shared" si="5"/>
        <v>336</v>
      </c>
      <c r="D339" s="1">
        <v>339</v>
      </c>
    </row>
    <row r="340" spans="1:4" x14ac:dyDescent="0.2">
      <c r="A340" s="1" t="s">
        <v>339</v>
      </c>
      <c r="B340" s="3">
        <f>VLOOKUP(A340,[3]TeamRtg!$A$3:$G$367,7,FALSE)</f>
        <v>-1.5746441424734505</v>
      </c>
      <c r="C340" s="1">
        <f t="shared" si="5"/>
        <v>347</v>
      </c>
      <c r="D340" s="1">
        <v>337</v>
      </c>
    </row>
    <row r="341" spans="1:4" x14ac:dyDescent="0.2">
      <c r="A341" s="1" t="s">
        <v>340</v>
      </c>
      <c r="B341" s="3">
        <f>VLOOKUP(A341,[3]TeamRtg!$A$3:$G$367,7,FALSE)</f>
        <v>-1.471729498010159</v>
      </c>
      <c r="C341" s="1">
        <f t="shared" si="5"/>
        <v>337</v>
      </c>
      <c r="D341" s="1">
        <v>340</v>
      </c>
    </row>
    <row r="342" spans="1:4" x14ac:dyDescent="0.2">
      <c r="A342" s="1" t="s">
        <v>341</v>
      </c>
      <c r="B342" s="3">
        <f>VLOOKUP(A342,[3]TeamRtg!$A$3:$G$367,7,FALSE)</f>
        <v>-1.4098449313352834</v>
      </c>
      <c r="C342" s="1">
        <f t="shared" si="5"/>
        <v>331</v>
      </c>
      <c r="D342" s="1">
        <v>338</v>
      </c>
    </row>
    <row r="343" spans="1:4" x14ac:dyDescent="0.2">
      <c r="A343" s="1" t="s">
        <v>342</v>
      </c>
      <c r="B343" s="3">
        <f>VLOOKUP(A343,[3]TeamRtg!$A$3:$G$367,7,FALSE)</f>
        <v>-1.4412499750851078</v>
      </c>
      <c r="C343" s="1">
        <f t="shared" si="5"/>
        <v>334</v>
      </c>
      <c r="D343" s="1">
        <v>343</v>
      </c>
    </row>
    <row r="344" spans="1:4" x14ac:dyDescent="0.2">
      <c r="A344" s="1" t="s">
        <v>343</v>
      </c>
      <c r="B344" s="3">
        <f>VLOOKUP(A344,[3]TeamRtg!$A$3:$G$367,7,FALSE)</f>
        <v>-1.4886014283953537</v>
      </c>
      <c r="C344" s="1">
        <f t="shared" si="5"/>
        <v>339</v>
      </c>
      <c r="D344" s="1">
        <v>342</v>
      </c>
    </row>
    <row r="345" spans="1:4" x14ac:dyDescent="0.2">
      <c r="A345" s="1" t="s">
        <v>344</v>
      </c>
      <c r="B345" s="3">
        <f>VLOOKUP(A345,[3]TeamRtg!$A$3:$G$367,7,FALSE)</f>
        <v>-1.5077749295678753</v>
      </c>
      <c r="C345" s="1">
        <f t="shared" si="5"/>
        <v>341</v>
      </c>
      <c r="D345" s="1">
        <v>345</v>
      </c>
    </row>
    <row r="346" spans="1:4" x14ac:dyDescent="0.2">
      <c r="A346" s="1" t="s">
        <v>345</v>
      </c>
      <c r="B346" s="3">
        <f>VLOOKUP(A346,[3]TeamRtg!$A$3:$G$367,7,FALSE)</f>
        <v>-1.5605125250307292</v>
      </c>
      <c r="C346" s="1">
        <f t="shared" si="5"/>
        <v>345</v>
      </c>
      <c r="D346" s="1">
        <v>346</v>
      </c>
    </row>
    <row r="347" spans="1:4" x14ac:dyDescent="0.2">
      <c r="A347" s="1" t="s">
        <v>346</v>
      </c>
      <c r="B347" s="3">
        <f>VLOOKUP(A347,[3]TeamRtg!$A$3:$G$367,7,FALSE)</f>
        <v>-1.4878929959231488</v>
      </c>
      <c r="C347" s="1">
        <f t="shared" si="5"/>
        <v>338</v>
      </c>
      <c r="D347" s="1">
        <v>344</v>
      </c>
    </row>
    <row r="348" spans="1:4" x14ac:dyDescent="0.2">
      <c r="A348" s="1" t="s">
        <v>347</v>
      </c>
      <c r="B348" s="3">
        <f>VLOOKUP(A348,[3]TeamRtg!$A$3:$G$367,7,FALSE)</f>
        <v>-1.5712115210886306</v>
      </c>
      <c r="C348" s="1">
        <f t="shared" si="5"/>
        <v>346</v>
      </c>
      <c r="D348" s="1">
        <v>347</v>
      </c>
    </row>
    <row r="349" spans="1:4" x14ac:dyDescent="0.2">
      <c r="A349" s="1" t="s">
        <v>348</v>
      </c>
      <c r="B349" s="3">
        <f>VLOOKUP(A349,[3]TeamRtg!$A$3:$G$367,7,FALSE)</f>
        <v>-1.6393605756005047</v>
      </c>
      <c r="C349" s="1">
        <f t="shared" si="5"/>
        <v>348</v>
      </c>
      <c r="D349" s="1">
        <v>349</v>
      </c>
    </row>
    <row r="350" spans="1:4" x14ac:dyDescent="0.2">
      <c r="A350" s="1" t="s">
        <v>349</v>
      </c>
      <c r="B350" s="3">
        <f>VLOOKUP(A350,[3]TeamRtg!$A$3:$G$367,7,FALSE)</f>
        <v>-1.6578961932947907</v>
      </c>
      <c r="C350" s="1">
        <f t="shared" si="5"/>
        <v>350</v>
      </c>
      <c r="D350" s="1">
        <v>348</v>
      </c>
    </row>
    <row r="351" spans="1:4" x14ac:dyDescent="0.2">
      <c r="A351" s="1" t="s">
        <v>350</v>
      </c>
      <c r="B351" s="3">
        <f>VLOOKUP(A351,[3]TeamRtg!$A$3:$G$367,7,FALSE)</f>
        <v>-1.7304107968273748</v>
      </c>
      <c r="C351" s="1">
        <f t="shared" si="5"/>
        <v>352</v>
      </c>
      <c r="D351" s="1">
        <v>351</v>
      </c>
    </row>
    <row r="352" spans="1:4" x14ac:dyDescent="0.2">
      <c r="A352" s="1" t="s">
        <v>351</v>
      </c>
      <c r="B352" s="3">
        <f>VLOOKUP(A352,[3]TeamRtg!$A$3:$G$367,7,FALSE)</f>
        <v>-1.738497602572284</v>
      </c>
      <c r="C352" s="1">
        <f t="shared" si="5"/>
        <v>353</v>
      </c>
      <c r="D352" s="1">
        <v>353</v>
      </c>
    </row>
    <row r="353" spans="1:4" x14ac:dyDescent="0.2">
      <c r="A353" s="1" t="s">
        <v>352</v>
      </c>
      <c r="B353" s="3">
        <f>VLOOKUP(A353,[3]TeamRtg!$A$3:$G$367,7,FALSE)</f>
        <v>-1.6765391528970641</v>
      </c>
      <c r="C353" s="1">
        <f t="shared" si="5"/>
        <v>351</v>
      </c>
      <c r="D353" s="1">
        <v>352</v>
      </c>
    </row>
    <row r="354" spans="1:4" x14ac:dyDescent="0.2">
      <c r="A354" s="1" t="s">
        <v>353</v>
      </c>
      <c r="B354" s="3">
        <f>VLOOKUP(A354,[3]TeamRtg!$A$3:$G$367,7,FALSE)</f>
        <v>-1.6485472197231885</v>
      </c>
      <c r="C354" s="1">
        <f t="shared" si="5"/>
        <v>349</v>
      </c>
      <c r="D354" s="1">
        <v>350</v>
      </c>
    </row>
    <row r="355" spans="1:4" x14ac:dyDescent="0.2">
      <c r="A355" s="1" t="s">
        <v>354</v>
      </c>
      <c r="B355" s="3">
        <f>VLOOKUP(A355,[3]TeamRtg!$A$3:$G$367,7,FALSE)</f>
        <v>-1.7674707476043823</v>
      </c>
      <c r="C355" s="1">
        <f t="shared" si="5"/>
        <v>354</v>
      </c>
      <c r="D355" s="1">
        <v>354</v>
      </c>
    </row>
    <row r="356" spans="1:4" x14ac:dyDescent="0.2">
      <c r="A356" s="1" t="s">
        <v>355</v>
      </c>
      <c r="B356" s="3">
        <f>VLOOKUP(A356,[3]TeamRtg!$A$3:$G$367,7,FALSE)</f>
        <v>-1.8047569970107458</v>
      </c>
      <c r="C356" s="1">
        <f t="shared" si="5"/>
        <v>356</v>
      </c>
      <c r="D356" s="1">
        <v>355</v>
      </c>
    </row>
    <row r="357" spans="1:4" x14ac:dyDescent="0.2">
      <c r="A357" s="1" t="s">
        <v>356</v>
      </c>
      <c r="B357" s="3">
        <f>VLOOKUP(A357,[3]TeamRtg!$A$3:$G$367,7,FALSE)</f>
        <v>-2.0157714184421218</v>
      </c>
      <c r="C357" s="1">
        <f t="shared" si="5"/>
        <v>360</v>
      </c>
      <c r="D357" s="1">
        <v>359</v>
      </c>
    </row>
    <row r="358" spans="1:4" x14ac:dyDescent="0.2">
      <c r="A358" s="1" t="s">
        <v>357</v>
      </c>
      <c r="B358" s="3">
        <f>VLOOKUP(A358,[3]TeamRtg!$A$3:$G$367,7,FALSE)</f>
        <v>-1.8815464653547316</v>
      </c>
      <c r="C358" s="1">
        <f t="shared" si="5"/>
        <v>357</v>
      </c>
      <c r="D358" s="1">
        <v>356</v>
      </c>
    </row>
    <row r="359" spans="1:4" x14ac:dyDescent="0.2">
      <c r="A359" s="1" t="s">
        <v>358</v>
      </c>
      <c r="B359" s="3">
        <f>VLOOKUP(A359,[3]TeamRtg!$A$3:$G$367,7,FALSE)</f>
        <v>-1.8965621130452321</v>
      </c>
      <c r="C359" s="1">
        <f t="shared" si="5"/>
        <v>358</v>
      </c>
      <c r="D359" s="1">
        <v>357</v>
      </c>
    </row>
    <row r="360" spans="1:4" x14ac:dyDescent="0.2">
      <c r="A360" s="1" t="s">
        <v>359</v>
      </c>
      <c r="B360" s="3">
        <f>VLOOKUP(A360,[3]TeamRtg!$A$3:$G$367,7,FALSE)</f>
        <v>-1.7816117538683609</v>
      </c>
      <c r="C360" s="1">
        <f t="shared" si="5"/>
        <v>355</v>
      </c>
      <c r="D360" s="1">
        <v>358</v>
      </c>
    </row>
    <row r="361" spans="1:4" x14ac:dyDescent="0.2">
      <c r="A361" s="1" t="s">
        <v>360</v>
      </c>
      <c r="B361" s="3">
        <f>VLOOKUP(A361,[3]TeamRtg!$A$3:$G$367,7,FALSE)</f>
        <v>-1.9858797300803799</v>
      </c>
      <c r="C361" s="1">
        <f t="shared" si="5"/>
        <v>359</v>
      </c>
      <c r="D361" s="1">
        <v>360</v>
      </c>
    </row>
    <row r="362" spans="1:4" x14ac:dyDescent="0.2">
      <c r="A362" s="1" t="s">
        <v>361</v>
      </c>
      <c r="B362" s="3">
        <f>VLOOKUP(A362,[3]TeamRtg!$A$3:$G$367,7,FALSE)</f>
        <v>-2.2310387412464543</v>
      </c>
      <c r="C362" s="1">
        <f t="shared" si="5"/>
        <v>363</v>
      </c>
      <c r="D362" s="1">
        <v>363</v>
      </c>
    </row>
    <row r="363" spans="1:4" x14ac:dyDescent="0.2">
      <c r="A363" s="1" t="s">
        <v>362</v>
      </c>
      <c r="B363" s="3">
        <f>VLOOKUP(A363,[3]TeamRtg!$A$3:$G$367,7,FALSE)</f>
        <v>-2.2050955473747877</v>
      </c>
      <c r="C363" s="1">
        <f t="shared" si="5"/>
        <v>361</v>
      </c>
      <c r="D363" s="1">
        <v>361</v>
      </c>
    </row>
    <row r="364" spans="1:4" x14ac:dyDescent="0.2">
      <c r="A364" s="1" t="s">
        <v>363</v>
      </c>
      <c r="B364" s="3">
        <f>VLOOKUP(A364,[3]TeamRtg!$A$3:$G$367,7,FALSE)</f>
        <v>-2.2425948813669545</v>
      </c>
      <c r="C364" s="1">
        <f t="shared" si="5"/>
        <v>364</v>
      </c>
      <c r="D364" s="1">
        <v>364</v>
      </c>
    </row>
    <row r="365" spans="1:4" x14ac:dyDescent="0.2">
      <c r="A365" s="1" t="s">
        <v>364</v>
      </c>
      <c r="B365" s="3">
        <f>VLOOKUP(A365,[3]TeamRtg!$A$3:$G$367,7,FALSE)</f>
        <v>-2.2294750342937255</v>
      </c>
      <c r="C365" s="1">
        <f t="shared" si="5"/>
        <v>362</v>
      </c>
      <c r="D365" s="1">
        <v>362</v>
      </c>
    </row>
    <row r="366" spans="1:4" x14ac:dyDescent="0.2">
      <c r="A366" s="1" t="s">
        <v>365</v>
      </c>
      <c r="B366" s="3">
        <f>VLOOKUP(A366,[3]TeamRtg!$A$3:$G$367,7,FALSE)</f>
        <v>-2.6260915640921798</v>
      </c>
      <c r="C366" s="1">
        <f t="shared" si="5"/>
        <v>365</v>
      </c>
      <c r="D366" s="1">
        <v>365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508B5-8FE0-E24B-BF36-9D8165A8259C}">
  <dimension ref="A1:J65"/>
  <sheetViews>
    <sheetView workbookViewId="0">
      <selection activeCell="B2" sqref="B2:B33"/>
    </sheetView>
  </sheetViews>
  <sheetFormatPr baseColWidth="10" defaultColWidth="8.83203125" defaultRowHeight="16" x14ac:dyDescent="0.2"/>
  <sheetData>
    <row r="1" spans="1:10" x14ac:dyDescent="0.2">
      <c r="A1" s="4" t="s">
        <v>0</v>
      </c>
      <c r="B1" s="4" t="s">
        <v>374</v>
      </c>
      <c r="C1" s="4" t="s">
        <v>375</v>
      </c>
      <c r="D1" s="4" t="s">
        <v>376</v>
      </c>
      <c r="E1" s="4" t="s">
        <v>377</v>
      </c>
      <c r="F1" s="4" t="s">
        <v>378</v>
      </c>
      <c r="G1" s="4" t="s">
        <v>379</v>
      </c>
      <c r="H1" s="4" t="s">
        <v>380</v>
      </c>
      <c r="I1" s="4" t="s">
        <v>381</v>
      </c>
      <c r="J1" s="4" t="s">
        <v>367</v>
      </c>
    </row>
    <row r="2" spans="1:10" x14ac:dyDescent="0.2">
      <c r="A2" t="s">
        <v>1</v>
      </c>
      <c r="B2">
        <v>1</v>
      </c>
      <c r="C2">
        <v>0.77400000000000002</v>
      </c>
      <c r="D2">
        <v>0.54344999999999999</v>
      </c>
      <c r="E2">
        <v>0.35235</v>
      </c>
      <c r="F2">
        <v>0.21299999999999999</v>
      </c>
      <c r="G2">
        <v>0.11915000000000001</v>
      </c>
      <c r="H2" t="s">
        <v>384</v>
      </c>
      <c r="I2">
        <v>1</v>
      </c>
      <c r="J2">
        <v>23.054887624413109</v>
      </c>
    </row>
    <row r="3" spans="1:10" x14ac:dyDescent="0.2">
      <c r="A3" t="s">
        <v>2</v>
      </c>
      <c r="B3">
        <v>1</v>
      </c>
      <c r="C3">
        <v>0.70679999999999998</v>
      </c>
      <c r="D3">
        <v>0.46884999999999999</v>
      </c>
      <c r="E3">
        <v>0.2888</v>
      </c>
      <c r="F3">
        <v>0.1704</v>
      </c>
      <c r="G3">
        <v>0.10445</v>
      </c>
      <c r="H3" t="s">
        <v>383</v>
      </c>
      <c r="I3">
        <v>1</v>
      </c>
      <c r="J3">
        <v>23.687310951598349</v>
      </c>
    </row>
    <row r="4" spans="1:10" x14ac:dyDescent="0.2">
      <c r="A4" t="s">
        <v>3</v>
      </c>
      <c r="B4">
        <v>1</v>
      </c>
      <c r="C4">
        <v>0.77080000000000004</v>
      </c>
      <c r="D4">
        <v>0.48220000000000002</v>
      </c>
      <c r="E4">
        <v>0.29485</v>
      </c>
      <c r="F4">
        <v>0.16830000000000001</v>
      </c>
      <c r="G4">
        <v>9.9250000000000005E-2</v>
      </c>
      <c r="H4" t="s">
        <v>382</v>
      </c>
      <c r="I4">
        <v>1</v>
      </c>
      <c r="J4">
        <v>23.158914646956031</v>
      </c>
    </row>
    <row r="5" spans="1:10" x14ac:dyDescent="0.2">
      <c r="A5" t="s">
        <v>4</v>
      </c>
      <c r="B5">
        <v>1</v>
      </c>
      <c r="C5">
        <v>0.7016</v>
      </c>
      <c r="D5">
        <v>0.44555</v>
      </c>
      <c r="E5">
        <v>0.27579999999999999</v>
      </c>
      <c r="F5">
        <v>0.16025</v>
      </c>
      <c r="G5">
        <v>8.5599999999999996E-2</v>
      </c>
      <c r="H5" t="s">
        <v>385</v>
      </c>
      <c r="I5">
        <v>1</v>
      </c>
      <c r="J5">
        <v>22.650454216704581</v>
      </c>
    </row>
    <row r="6" spans="1:10" x14ac:dyDescent="0.2">
      <c r="A6" t="s">
        <v>6</v>
      </c>
      <c r="B6">
        <v>1</v>
      </c>
      <c r="C6">
        <v>0.70814999999999995</v>
      </c>
      <c r="D6">
        <v>0.44405</v>
      </c>
      <c r="E6">
        <v>0.23455000000000001</v>
      </c>
      <c r="F6">
        <v>0.12825</v>
      </c>
      <c r="G6">
        <v>6.515E-2</v>
      </c>
      <c r="H6" t="s">
        <v>385</v>
      </c>
      <c r="I6">
        <v>2</v>
      </c>
      <c r="J6">
        <v>20.901069562815731</v>
      </c>
    </row>
    <row r="7" spans="1:10" x14ac:dyDescent="0.2">
      <c r="A7" t="s">
        <v>7</v>
      </c>
      <c r="B7">
        <v>1</v>
      </c>
      <c r="C7">
        <v>0.73945000000000005</v>
      </c>
      <c r="D7">
        <v>0.40915000000000001</v>
      </c>
      <c r="E7">
        <v>0.20449999999999999</v>
      </c>
      <c r="F7">
        <v>0.1053</v>
      </c>
      <c r="G7">
        <v>5.5050000000000002E-2</v>
      </c>
      <c r="H7" t="s">
        <v>383</v>
      </c>
      <c r="I7">
        <v>2</v>
      </c>
      <c r="J7">
        <v>20.933350618351088</v>
      </c>
    </row>
    <row r="8" spans="1:10" x14ac:dyDescent="0.2">
      <c r="A8" t="s">
        <v>5</v>
      </c>
      <c r="B8">
        <v>1</v>
      </c>
      <c r="C8">
        <v>0.68059999999999998</v>
      </c>
      <c r="D8">
        <v>0.38345000000000001</v>
      </c>
      <c r="E8">
        <v>0.19395000000000001</v>
      </c>
      <c r="F8">
        <v>0.10015</v>
      </c>
      <c r="G8">
        <v>5.3100000000000001E-2</v>
      </c>
      <c r="H8" t="s">
        <v>383</v>
      </c>
      <c r="I8">
        <v>3</v>
      </c>
      <c r="J8">
        <v>20.95985487362351</v>
      </c>
    </row>
    <row r="9" spans="1:10" x14ac:dyDescent="0.2">
      <c r="A9" t="s">
        <v>10</v>
      </c>
      <c r="B9">
        <v>1</v>
      </c>
      <c r="C9">
        <v>0.71745000000000003</v>
      </c>
      <c r="D9">
        <v>0.37959999999999999</v>
      </c>
      <c r="E9">
        <v>0.18584999999999999</v>
      </c>
      <c r="F9">
        <v>9.0999999999999998E-2</v>
      </c>
      <c r="G9">
        <v>4.8300000000000003E-2</v>
      </c>
      <c r="H9" t="s">
        <v>382</v>
      </c>
      <c r="I9">
        <v>6</v>
      </c>
      <c r="J9">
        <v>20.582457175121959</v>
      </c>
    </row>
    <row r="10" spans="1:10" x14ac:dyDescent="0.2">
      <c r="A10" t="s">
        <v>8</v>
      </c>
      <c r="B10">
        <v>1</v>
      </c>
      <c r="C10">
        <v>0.76895000000000002</v>
      </c>
      <c r="D10">
        <v>0.34825</v>
      </c>
      <c r="E10">
        <v>0.17760000000000001</v>
      </c>
      <c r="F10">
        <v>8.7099999999999997E-2</v>
      </c>
      <c r="G10">
        <v>4.2950000000000002E-2</v>
      </c>
      <c r="H10" t="s">
        <v>383</v>
      </c>
      <c r="I10">
        <v>4</v>
      </c>
      <c r="J10">
        <v>19.899076876872609</v>
      </c>
    </row>
    <row r="11" spans="1:10" x14ac:dyDescent="0.2">
      <c r="A11" t="s">
        <v>14</v>
      </c>
      <c r="B11">
        <v>1</v>
      </c>
      <c r="C11">
        <v>0.57520000000000004</v>
      </c>
      <c r="D11">
        <v>0.32435000000000003</v>
      </c>
      <c r="E11">
        <v>0.16170000000000001</v>
      </c>
      <c r="F11">
        <v>8.0100000000000005E-2</v>
      </c>
      <c r="G11">
        <v>4.1000000000000002E-2</v>
      </c>
      <c r="H11" t="s">
        <v>382</v>
      </c>
      <c r="I11">
        <v>2</v>
      </c>
      <c r="J11">
        <v>20.64149391157072</v>
      </c>
    </row>
    <row r="12" spans="1:10" x14ac:dyDescent="0.2">
      <c r="A12" t="s">
        <v>9</v>
      </c>
      <c r="B12">
        <v>1</v>
      </c>
      <c r="C12">
        <v>0.59484999999999999</v>
      </c>
      <c r="D12">
        <v>0.34484999999999999</v>
      </c>
      <c r="E12">
        <v>0.17674999999999999</v>
      </c>
      <c r="F12">
        <v>8.7999999999999995E-2</v>
      </c>
      <c r="G12">
        <v>4.095E-2</v>
      </c>
      <c r="H12" t="s">
        <v>384</v>
      </c>
      <c r="I12">
        <v>3</v>
      </c>
      <c r="J12">
        <v>19.982154388171558</v>
      </c>
    </row>
    <row r="13" spans="1:10" x14ac:dyDescent="0.2">
      <c r="A13" t="s">
        <v>13</v>
      </c>
      <c r="B13">
        <v>1</v>
      </c>
      <c r="C13">
        <v>0.73275000000000001</v>
      </c>
      <c r="D13">
        <v>0.36275000000000002</v>
      </c>
      <c r="E13">
        <v>0.16664999999999999</v>
      </c>
      <c r="F13">
        <v>7.8600000000000003E-2</v>
      </c>
      <c r="G13">
        <v>3.4799999999999998E-2</v>
      </c>
      <c r="H13" t="s">
        <v>385</v>
      </c>
      <c r="I13">
        <v>3</v>
      </c>
      <c r="J13">
        <v>18.826343007871429</v>
      </c>
    </row>
    <row r="14" spans="1:10" x14ac:dyDescent="0.2">
      <c r="A14" t="s">
        <v>15</v>
      </c>
      <c r="B14">
        <v>1</v>
      </c>
      <c r="C14">
        <v>0.59504999999999997</v>
      </c>
      <c r="D14">
        <v>0.27705000000000002</v>
      </c>
      <c r="E14">
        <v>0.14660000000000001</v>
      </c>
      <c r="F14">
        <v>7.4300000000000005E-2</v>
      </c>
      <c r="G14">
        <v>3.2500000000000001E-2</v>
      </c>
      <c r="H14" t="s">
        <v>385</v>
      </c>
      <c r="I14">
        <v>5</v>
      </c>
      <c r="J14">
        <v>19.33409526621552</v>
      </c>
    </row>
    <row r="15" spans="1:10" x14ac:dyDescent="0.2">
      <c r="A15" t="s">
        <v>12</v>
      </c>
      <c r="B15">
        <v>1</v>
      </c>
      <c r="C15">
        <v>0.57769999999999999</v>
      </c>
      <c r="D15">
        <v>0.26769999999999999</v>
      </c>
      <c r="E15">
        <v>0.1384</v>
      </c>
      <c r="F15">
        <v>6.5299999999999997E-2</v>
      </c>
      <c r="G15">
        <v>3.175E-2</v>
      </c>
      <c r="H15" t="s">
        <v>382</v>
      </c>
      <c r="I15">
        <v>4</v>
      </c>
      <c r="J15">
        <v>19.673613604820769</v>
      </c>
    </row>
    <row r="16" spans="1:10" x14ac:dyDescent="0.2">
      <c r="A16" t="s">
        <v>386</v>
      </c>
      <c r="B16">
        <v>1</v>
      </c>
      <c r="C16">
        <v>0.56415000000000004</v>
      </c>
      <c r="D16">
        <v>0.27405000000000002</v>
      </c>
      <c r="E16">
        <v>0.12705</v>
      </c>
      <c r="F16">
        <v>5.6349999999999997E-2</v>
      </c>
      <c r="G16">
        <v>2.3349999999999999E-2</v>
      </c>
      <c r="H16" t="s">
        <v>384</v>
      </c>
      <c r="I16">
        <v>2</v>
      </c>
      <c r="J16">
        <v>18.120431537245491</v>
      </c>
    </row>
    <row r="17" spans="1:10" x14ac:dyDescent="0.2">
      <c r="A17" t="s">
        <v>17</v>
      </c>
      <c r="B17">
        <v>1</v>
      </c>
      <c r="C17">
        <v>0.42480000000000001</v>
      </c>
      <c r="D17">
        <v>0.20985000000000001</v>
      </c>
      <c r="E17">
        <v>9.3200000000000005E-2</v>
      </c>
      <c r="F17">
        <v>4.0250000000000001E-2</v>
      </c>
      <c r="G17">
        <v>1.7850000000000001E-2</v>
      </c>
      <c r="H17" t="s">
        <v>382</v>
      </c>
      <c r="I17">
        <v>7</v>
      </c>
      <c r="J17">
        <v>18.034523649586539</v>
      </c>
    </row>
    <row r="18" spans="1:10" x14ac:dyDescent="0.2">
      <c r="A18" t="s">
        <v>20</v>
      </c>
      <c r="B18">
        <v>1</v>
      </c>
      <c r="C18">
        <v>0.54944999999999999</v>
      </c>
      <c r="D18">
        <v>0.2104</v>
      </c>
      <c r="E18">
        <v>9.4950000000000007E-2</v>
      </c>
      <c r="F18">
        <v>3.8850000000000003E-2</v>
      </c>
      <c r="G18">
        <v>1.52E-2</v>
      </c>
      <c r="H18" t="s">
        <v>384</v>
      </c>
      <c r="I18">
        <v>4</v>
      </c>
      <c r="J18">
        <v>16.809475334579389</v>
      </c>
    </row>
    <row r="19" spans="1:10" x14ac:dyDescent="0.2">
      <c r="A19" t="s">
        <v>18</v>
      </c>
      <c r="B19">
        <v>1</v>
      </c>
      <c r="C19">
        <v>0.40515000000000001</v>
      </c>
      <c r="D19">
        <v>0.19364999999999999</v>
      </c>
      <c r="E19">
        <v>8.1500000000000003E-2</v>
      </c>
      <c r="F19">
        <v>3.3849999999999998E-2</v>
      </c>
      <c r="G19">
        <v>1.26E-2</v>
      </c>
      <c r="H19" t="s">
        <v>384</v>
      </c>
      <c r="I19">
        <v>6</v>
      </c>
      <c r="J19">
        <v>16.631119331501349</v>
      </c>
    </row>
    <row r="20" spans="1:10" x14ac:dyDescent="0.2">
      <c r="A20" t="s">
        <v>23</v>
      </c>
      <c r="B20">
        <v>1</v>
      </c>
      <c r="C20">
        <v>0.43585000000000002</v>
      </c>
      <c r="D20">
        <v>0.18745000000000001</v>
      </c>
      <c r="E20">
        <v>7.3050000000000004E-2</v>
      </c>
      <c r="F20">
        <v>2.9950000000000001E-2</v>
      </c>
      <c r="G20">
        <v>1.1350000000000001E-2</v>
      </c>
      <c r="H20" t="s">
        <v>384</v>
      </c>
      <c r="I20">
        <v>7</v>
      </c>
      <c r="J20">
        <v>15.943406980069801</v>
      </c>
    </row>
    <row r="21" spans="1:10" x14ac:dyDescent="0.2">
      <c r="A21" t="s">
        <v>11</v>
      </c>
      <c r="B21">
        <v>1</v>
      </c>
      <c r="C21">
        <v>0.42230000000000001</v>
      </c>
      <c r="D21">
        <v>0.16925000000000001</v>
      </c>
      <c r="E21">
        <v>7.3599999999999999E-2</v>
      </c>
      <c r="F21">
        <v>2.845E-2</v>
      </c>
      <c r="G21">
        <v>1.115E-2</v>
      </c>
      <c r="H21" t="s">
        <v>382</v>
      </c>
      <c r="I21">
        <v>5</v>
      </c>
      <c r="J21">
        <v>17.052374181699321</v>
      </c>
    </row>
    <row r="22" spans="1:10" x14ac:dyDescent="0.2">
      <c r="A22" t="s">
        <v>24</v>
      </c>
      <c r="B22">
        <v>1</v>
      </c>
      <c r="C22">
        <v>0.40494999999999998</v>
      </c>
      <c r="D22">
        <v>0.14765</v>
      </c>
      <c r="E22">
        <v>6.3700000000000007E-2</v>
      </c>
      <c r="F22">
        <v>2.5899999999999999E-2</v>
      </c>
      <c r="G22">
        <v>9.5999999999999992E-3</v>
      </c>
      <c r="H22" t="s">
        <v>385</v>
      </c>
      <c r="I22">
        <v>4</v>
      </c>
      <c r="J22">
        <v>15.82631796216417</v>
      </c>
    </row>
    <row r="23" spans="1:10" x14ac:dyDescent="0.2">
      <c r="A23" t="s">
        <v>21</v>
      </c>
      <c r="B23">
        <v>1</v>
      </c>
      <c r="C23">
        <v>0.29320000000000002</v>
      </c>
      <c r="D23">
        <v>0.13439999999999999</v>
      </c>
      <c r="E23">
        <v>5.7450000000000001E-2</v>
      </c>
      <c r="F23">
        <v>2.3050000000000001E-2</v>
      </c>
      <c r="G23">
        <v>9.1999999999999998E-3</v>
      </c>
      <c r="H23" t="s">
        <v>383</v>
      </c>
      <c r="I23">
        <v>9</v>
      </c>
      <c r="J23">
        <v>16.287809545840609</v>
      </c>
    </row>
    <row r="24" spans="1:10" x14ac:dyDescent="0.2">
      <c r="A24" t="s">
        <v>30</v>
      </c>
      <c r="B24">
        <v>1</v>
      </c>
      <c r="C24">
        <v>0.45055000000000001</v>
      </c>
      <c r="D24">
        <v>0.15359999999999999</v>
      </c>
      <c r="E24">
        <v>6.2549999999999994E-2</v>
      </c>
      <c r="F24">
        <v>2.4649999999999998E-2</v>
      </c>
      <c r="G24">
        <v>8.3999999999999995E-3</v>
      </c>
      <c r="H24" t="s">
        <v>384</v>
      </c>
      <c r="I24">
        <v>5</v>
      </c>
      <c r="J24">
        <v>15.123966744544839</v>
      </c>
    </row>
    <row r="25" spans="1:10" x14ac:dyDescent="0.2">
      <c r="A25" t="s">
        <v>28</v>
      </c>
      <c r="B25">
        <v>1</v>
      </c>
      <c r="C25">
        <v>0.2984</v>
      </c>
      <c r="D25">
        <v>0.12975</v>
      </c>
      <c r="E25">
        <v>5.5750000000000001E-2</v>
      </c>
      <c r="F25">
        <v>2.1149999999999999E-2</v>
      </c>
      <c r="G25">
        <v>7.9500000000000005E-3</v>
      </c>
      <c r="H25" t="s">
        <v>385</v>
      </c>
      <c r="I25">
        <v>9</v>
      </c>
      <c r="J25">
        <v>15.51511812576733</v>
      </c>
    </row>
    <row r="26" spans="1:10" x14ac:dyDescent="0.2">
      <c r="A26" t="s">
        <v>25</v>
      </c>
      <c r="B26">
        <v>1</v>
      </c>
      <c r="C26">
        <v>0.31940000000000002</v>
      </c>
      <c r="D26">
        <v>0.12470000000000001</v>
      </c>
      <c r="E26">
        <v>4.1149999999999999E-2</v>
      </c>
      <c r="F26">
        <v>1.34E-2</v>
      </c>
      <c r="G26">
        <v>4.5999999999999999E-3</v>
      </c>
      <c r="H26" t="s">
        <v>383</v>
      </c>
      <c r="I26">
        <v>11</v>
      </c>
      <c r="J26">
        <v>14.53205210966642</v>
      </c>
    </row>
    <row r="27" spans="1:10" x14ac:dyDescent="0.2">
      <c r="A27" t="s">
        <v>46</v>
      </c>
      <c r="B27">
        <v>1</v>
      </c>
      <c r="C27">
        <v>0.22600000000000001</v>
      </c>
      <c r="D27">
        <v>9.2549999999999993E-2</v>
      </c>
      <c r="E27">
        <v>3.1800000000000002E-2</v>
      </c>
      <c r="F27">
        <v>1.0999999999999999E-2</v>
      </c>
      <c r="G27">
        <v>3.3E-3</v>
      </c>
      <c r="H27" t="s">
        <v>384</v>
      </c>
      <c r="I27">
        <v>9</v>
      </c>
      <c r="J27">
        <v>12.67635641689086</v>
      </c>
    </row>
    <row r="28" spans="1:10" x14ac:dyDescent="0.2">
      <c r="A28" t="s">
        <v>37</v>
      </c>
      <c r="B28">
        <v>1</v>
      </c>
      <c r="C28">
        <v>0.29185</v>
      </c>
      <c r="D28">
        <v>0.11945</v>
      </c>
      <c r="E28">
        <v>3.875E-2</v>
      </c>
      <c r="F28">
        <v>1.115E-2</v>
      </c>
      <c r="G28">
        <v>2.8999999999999998E-3</v>
      </c>
      <c r="H28" t="s">
        <v>385</v>
      </c>
      <c r="I28">
        <v>10</v>
      </c>
      <c r="J28">
        <v>13.344745551152521</v>
      </c>
    </row>
    <row r="29" spans="1:10" x14ac:dyDescent="0.2">
      <c r="A29" t="s">
        <v>38</v>
      </c>
      <c r="B29">
        <v>1</v>
      </c>
      <c r="C29">
        <v>0.22919999999999999</v>
      </c>
      <c r="D29">
        <v>8.0850000000000005E-2</v>
      </c>
      <c r="E29">
        <v>2.7400000000000001E-2</v>
      </c>
      <c r="F29">
        <v>9.4500000000000001E-3</v>
      </c>
      <c r="G29">
        <v>2.3999999999999998E-3</v>
      </c>
      <c r="H29" t="s">
        <v>382</v>
      </c>
      <c r="I29">
        <v>9</v>
      </c>
      <c r="J29">
        <v>12.8910075642879</v>
      </c>
    </row>
    <row r="30" spans="1:10" x14ac:dyDescent="0.2">
      <c r="A30" t="s">
        <v>40</v>
      </c>
      <c r="B30">
        <v>1</v>
      </c>
      <c r="C30">
        <v>0.28255000000000002</v>
      </c>
      <c r="D30">
        <v>8.6199999999999999E-2</v>
      </c>
      <c r="E30">
        <v>2.5000000000000001E-2</v>
      </c>
      <c r="F30">
        <v>7.5500000000000003E-3</v>
      </c>
      <c r="G30">
        <v>2.3500000000000001E-3</v>
      </c>
      <c r="H30" t="s">
        <v>382</v>
      </c>
      <c r="I30">
        <v>3</v>
      </c>
      <c r="J30">
        <v>12.89893074417701</v>
      </c>
    </row>
    <row r="31" spans="1:10" x14ac:dyDescent="0.2">
      <c r="A31" t="s">
        <v>53</v>
      </c>
      <c r="B31">
        <v>1</v>
      </c>
      <c r="C31">
        <v>0.26055</v>
      </c>
      <c r="D31">
        <v>8.2699999999999996E-2</v>
      </c>
      <c r="E31">
        <v>2.4E-2</v>
      </c>
      <c r="F31">
        <v>7.0000000000000001E-3</v>
      </c>
      <c r="G31">
        <v>1.6000000000000001E-3</v>
      </c>
      <c r="H31" t="s">
        <v>383</v>
      </c>
      <c r="I31">
        <v>7</v>
      </c>
      <c r="J31">
        <v>12.2388904180045</v>
      </c>
    </row>
    <row r="32" spans="1:10" x14ac:dyDescent="0.2">
      <c r="A32" t="s">
        <v>63</v>
      </c>
      <c r="B32">
        <v>1</v>
      </c>
      <c r="C32">
        <v>0.26724999999999999</v>
      </c>
      <c r="D32">
        <v>7.3749999999999996E-2</v>
      </c>
      <c r="E32">
        <v>1.8200000000000001E-2</v>
      </c>
      <c r="F32">
        <v>4.7499999999999999E-3</v>
      </c>
      <c r="G32">
        <v>1.2999999999999999E-3</v>
      </c>
      <c r="H32" t="s">
        <v>385</v>
      </c>
      <c r="I32">
        <v>11</v>
      </c>
      <c r="J32">
        <v>10.280535393881051</v>
      </c>
    </row>
    <row r="33" spans="1:10" x14ac:dyDescent="0.2">
      <c r="A33" t="s">
        <v>60</v>
      </c>
      <c r="B33">
        <v>1</v>
      </c>
      <c r="C33">
        <v>0.23105000000000001</v>
      </c>
      <c r="D33">
        <v>4.8500000000000001E-2</v>
      </c>
      <c r="E33">
        <v>1.255E-2</v>
      </c>
      <c r="F33">
        <v>3.2000000000000002E-3</v>
      </c>
      <c r="G33">
        <v>8.9999999999999998E-4</v>
      </c>
      <c r="H33" t="s">
        <v>383</v>
      </c>
      <c r="I33">
        <v>12</v>
      </c>
      <c r="J33">
        <v>9.7914064574296606</v>
      </c>
    </row>
    <row r="34" spans="1:10" x14ac:dyDescent="0.2">
      <c r="A34" t="s">
        <v>58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 t="s">
        <v>382</v>
      </c>
      <c r="I34">
        <v>12</v>
      </c>
      <c r="J34">
        <v>10.62898797126984</v>
      </c>
    </row>
    <row r="35" spans="1:10" x14ac:dyDescent="0.2">
      <c r="A35" t="s">
        <v>22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 t="s">
        <v>383</v>
      </c>
      <c r="I35">
        <v>6</v>
      </c>
      <c r="J35">
        <v>16.95891571245977</v>
      </c>
    </row>
    <row r="36" spans="1:10" x14ac:dyDescent="0.2">
      <c r="A36" t="s">
        <v>132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 t="s">
        <v>384</v>
      </c>
      <c r="I36">
        <v>13</v>
      </c>
      <c r="J36">
        <v>4.6851123682196496</v>
      </c>
    </row>
    <row r="37" spans="1:10" x14ac:dyDescent="0.2">
      <c r="A37" t="s">
        <v>56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 t="s">
        <v>385</v>
      </c>
      <c r="I37">
        <v>8</v>
      </c>
      <c r="J37">
        <v>11.02555602329811</v>
      </c>
    </row>
    <row r="38" spans="1:10" x14ac:dyDescent="0.2">
      <c r="A38" t="s">
        <v>206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 t="s">
        <v>384</v>
      </c>
      <c r="I38">
        <v>15</v>
      </c>
      <c r="J38">
        <v>0.1935829077834591</v>
      </c>
    </row>
    <row r="39" spans="1:10" x14ac:dyDescent="0.2">
      <c r="A39" t="s">
        <v>29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 t="s">
        <v>382</v>
      </c>
      <c r="I39">
        <v>8</v>
      </c>
      <c r="J39">
        <v>14.114224917334671</v>
      </c>
    </row>
    <row r="40" spans="1:10" x14ac:dyDescent="0.2">
      <c r="A40" t="s">
        <v>154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 t="s">
        <v>383</v>
      </c>
      <c r="I40">
        <v>13</v>
      </c>
      <c r="J40">
        <v>2.5953665153972891</v>
      </c>
    </row>
    <row r="41" spans="1:10" x14ac:dyDescent="0.2">
      <c r="A41" t="s">
        <v>182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 t="s">
        <v>382</v>
      </c>
      <c r="I41">
        <v>13</v>
      </c>
      <c r="J41">
        <v>2.1356002741910172</v>
      </c>
    </row>
    <row r="42" spans="1:10" x14ac:dyDescent="0.2">
      <c r="A42" t="s">
        <v>293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 t="s">
        <v>382</v>
      </c>
      <c r="I42">
        <v>16</v>
      </c>
      <c r="J42">
        <v>-7.2160644315092952</v>
      </c>
    </row>
    <row r="43" spans="1:10" x14ac:dyDescent="0.2">
      <c r="A43" t="s">
        <v>139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 t="s">
        <v>385</v>
      </c>
      <c r="I43">
        <v>15</v>
      </c>
      <c r="J43">
        <v>3.928312715113337</v>
      </c>
    </row>
    <row r="44" spans="1:10" x14ac:dyDescent="0.2">
      <c r="A44" t="s">
        <v>92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 t="s">
        <v>383</v>
      </c>
      <c r="I44">
        <v>14</v>
      </c>
      <c r="J44">
        <v>6.9567142213273874</v>
      </c>
    </row>
    <row r="45" spans="1:10" x14ac:dyDescent="0.2">
      <c r="A45" t="s">
        <v>275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 t="s">
        <v>383</v>
      </c>
      <c r="I45">
        <v>16</v>
      </c>
      <c r="J45">
        <v>-5.3079314642110162</v>
      </c>
    </row>
    <row r="46" spans="1:10" x14ac:dyDescent="0.2">
      <c r="A46" t="s">
        <v>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 t="s">
        <v>385</v>
      </c>
      <c r="I46">
        <v>12</v>
      </c>
      <c r="J46">
        <v>7.3382243907443794</v>
      </c>
    </row>
    <row r="47" spans="1:10" x14ac:dyDescent="0.2">
      <c r="A47" t="s">
        <v>78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 t="s">
        <v>382</v>
      </c>
      <c r="I47">
        <v>11</v>
      </c>
      <c r="J47">
        <v>7.7337055835141966</v>
      </c>
    </row>
    <row r="48" spans="1:10" x14ac:dyDescent="0.2">
      <c r="A48" t="s">
        <v>50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 t="s">
        <v>383</v>
      </c>
      <c r="I48">
        <v>10</v>
      </c>
      <c r="J48">
        <v>11.938625469494371</v>
      </c>
    </row>
    <row r="49" spans="1:10" x14ac:dyDescent="0.2">
      <c r="A49" t="s">
        <v>35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 t="s">
        <v>385</v>
      </c>
      <c r="I49">
        <v>6</v>
      </c>
      <c r="J49">
        <v>13.976487221924669</v>
      </c>
    </row>
    <row r="50" spans="1:10" x14ac:dyDescent="0.2">
      <c r="A50" t="s">
        <v>138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 t="s">
        <v>384</v>
      </c>
      <c r="I50">
        <v>14</v>
      </c>
      <c r="J50">
        <v>3.8559349343715992</v>
      </c>
    </row>
    <row r="51" spans="1:10" x14ac:dyDescent="0.2">
      <c r="A51" t="s">
        <v>77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 t="s">
        <v>384</v>
      </c>
      <c r="I51">
        <v>12</v>
      </c>
      <c r="J51">
        <v>9.044790611595948</v>
      </c>
    </row>
    <row r="52" spans="1:10" x14ac:dyDescent="0.2">
      <c r="A52" t="s">
        <v>33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 t="s">
        <v>384</v>
      </c>
      <c r="I52">
        <v>8</v>
      </c>
      <c r="J52">
        <v>14.72942352472889</v>
      </c>
    </row>
    <row r="53" spans="1:10" x14ac:dyDescent="0.2">
      <c r="A53" t="s">
        <v>221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 t="s">
        <v>385</v>
      </c>
      <c r="I53">
        <v>14</v>
      </c>
      <c r="J53">
        <v>-0.34703170207646011</v>
      </c>
    </row>
    <row r="54" spans="1:10" x14ac:dyDescent="0.2">
      <c r="A54" t="s">
        <v>319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 t="s">
        <v>385</v>
      </c>
      <c r="I54">
        <v>16</v>
      </c>
      <c r="J54">
        <v>-11.471425536201769</v>
      </c>
    </row>
    <row r="55" spans="1:10" x14ac:dyDescent="0.2">
      <c r="A55" t="s">
        <v>235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 t="s">
        <v>383</v>
      </c>
      <c r="I55">
        <v>15</v>
      </c>
      <c r="J55">
        <v>-2.43869723675573</v>
      </c>
    </row>
    <row r="56" spans="1:10" x14ac:dyDescent="0.2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 t="s">
        <v>385</v>
      </c>
      <c r="I56">
        <v>7</v>
      </c>
      <c r="J56">
        <v>15.01820898903012</v>
      </c>
    </row>
    <row r="57" spans="1:10" x14ac:dyDescent="0.2">
      <c r="A57" t="s">
        <v>27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 t="s">
        <v>382</v>
      </c>
      <c r="I57">
        <v>10</v>
      </c>
      <c r="J57">
        <v>15.7373824689671</v>
      </c>
    </row>
    <row r="58" spans="1:10" x14ac:dyDescent="0.2">
      <c r="A58" t="s">
        <v>316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 t="s">
        <v>384</v>
      </c>
      <c r="I58">
        <v>16</v>
      </c>
      <c r="J58">
        <v>-9.4717636747576321</v>
      </c>
    </row>
    <row r="59" spans="1:10" x14ac:dyDescent="0.2">
      <c r="A59" t="s">
        <v>55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 t="s">
        <v>384</v>
      </c>
      <c r="I59">
        <v>11</v>
      </c>
      <c r="J59">
        <v>10.62507679613563</v>
      </c>
    </row>
    <row r="60" spans="1:10" x14ac:dyDescent="0.2">
      <c r="A60" t="s">
        <v>186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 t="s">
        <v>382</v>
      </c>
      <c r="I60">
        <v>15</v>
      </c>
      <c r="J60">
        <v>1.063936136616795</v>
      </c>
    </row>
    <row r="61" spans="1:10" x14ac:dyDescent="0.2">
      <c r="A61" t="s">
        <v>179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 t="s">
        <v>385</v>
      </c>
      <c r="I61">
        <v>13</v>
      </c>
      <c r="J61">
        <v>1.3139417704256631</v>
      </c>
    </row>
    <row r="62" spans="1:10" x14ac:dyDescent="0.2">
      <c r="A62" t="s">
        <v>43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 t="s">
        <v>384</v>
      </c>
      <c r="I62">
        <v>10</v>
      </c>
      <c r="J62">
        <v>12.78042205274066</v>
      </c>
    </row>
    <row r="63" spans="1:10" x14ac:dyDescent="0.2">
      <c r="A63" t="s">
        <v>44</v>
      </c>
      <c r="B63">
        <v>0</v>
      </c>
      <c r="C63">
        <v>0</v>
      </c>
      <c r="D63">
        <v>0</v>
      </c>
      <c r="E63">
        <v>0</v>
      </c>
      <c r="F63">
        <v>0</v>
      </c>
      <c r="G63">
        <v>0</v>
      </c>
      <c r="H63" t="s">
        <v>383</v>
      </c>
      <c r="I63">
        <v>8</v>
      </c>
      <c r="J63">
        <v>11.840993072985089</v>
      </c>
    </row>
    <row r="64" spans="1:10" x14ac:dyDescent="0.2">
      <c r="A64" t="s">
        <v>26</v>
      </c>
      <c r="B64">
        <v>0</v>
      </c>
      <c r="C64">
        <v>0</v>
      </c>
      <c r="D64">
        <v>0</v>
      </c>
      <c r="E64">
        <v>0</v>
      </c>
      <c r="F64">
        <v>0</v>
      </c>
      <c r="G64">
        <v>0</v>
      </c>
      <c r="H64" t="s">
        <v>383</v>
      </c>
      <c r="I64">
        <v>5</v>
      </c>
      <c r="J64">
        <v>16.148066436541431</v>
      </c>
    </row>
    <row r="65" spans="1:10" x14ac:dyDescent="0.2">
      <c r="A65" t="s">
        <v>160</v>
      </c>
      <c r="B65">
        <v>0</v>
      </c>
      <c r="C65">
        <v>0</v>
      </c>
      <c r="D65">
        <v>0</v>
      </c>
      <c r="E65">
        <v>0</v>
      </c>
      <c r="F65">
        <v>0</v>
      </c>
      <c r="G65">
        <v>0</v>
      </c>
      <c r="H65" t="s">
        <v>382</v>
      </c>
      <c r="I65">
        <v>14</v>
      </c>
      <c r="J65">
        <v>3.0807597689023769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Projections</vt:lpstr>
      <vt:lpstr>Record</vt:lpstr>
      <vt:lpstr>Portfolio</vt:lpstr>
      <vt:lpstr>Rankings</vt:lpstr>
      <vt:lpstr>MMSim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Jack Evans</dc:creator>
  <cp:lastModifiedBy>Jack Evans</cp:lastModifiedBy>
  <dcterms:created xsi:type="dcterms:W3CDTF">2026-03-07T16:34:28Z</dcterms:created>
  <dcterms:modified xsi:type="dcterms:W3CDTF">2026-03-21T13:39:00Z</dcterms:modified>
</cp:coreProperties>
</file>