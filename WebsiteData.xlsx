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CDC35F71-2A69-444C-BE84-E48DCAC1048B}" xr6:coauthVersionLast="47" xr6:coauthVersionMax="47" xr10:uidLastSave="{00000000-0000-0000-0000-000000000000}"/>
  <bookViews>
    <workbookView xWindow="0" yWindow="780" windowWidth="1642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F3" i="1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L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3" i="1" l="1"/>
  <c r="E2" i="1" l="1"/>
  <c r="H3" i="1"/>
  <c r="I3" i="1"/>
  <c r="G3" i="1"/>
  <c r="H2" i="1" l="1"/>
  <c r="L2" i="1" s="1"/>
  <c r="I2" i="1"/>
  <c r="G2" i="1"/>
</calcChain>
</file>

<file path=xl/sharedStrings.xml><?xml version="1.0" encoding="utf-8"?>
<sst xmlns="http://schemas.openxmlformats.org/spreadsheetml/2006/main" count="719" uniqueCount="469">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</sst>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Arizona</v>
          </cell>
          <cell r="D2" t="str">
            <v>Michigan</v>
          </cell>
          <cell r="E2">
            <v>2.5323126427002611</v>
          </cell>
          <cell r="F2" t="b">
            <v>0</v>
          </cell>
          <cell r="G2">
            <v>0.59948701984905162</v>
          </cell>
          <cell r="H2">
            <v>0</v>
          </cell>
          <cell r="I2">
            <v>0.14447521971182589</v>
          </cell>
          <cell r="J2">
            <v>0.31889491956720589</v>
          </cell>
          <cell r="K2">
            <v>0</v>
          </cell>
        </row>
        <row r="3">
          <cell r="B3">
            <v>2</v>
          </cell>
          <cell r="C3" t="str">
            <v>Illinois</v>
          </cell>
          <cell r="D3" t="str">
            <v>Uconn</v>
          </cell>
          <cell r="E3">
            <v>5.0061585122755732</v>
          </cell>
          <cell r="F3" t="b">
            <v>0</v>
          </cell>
          <cell r="G3">
            <v>0.57451656275521645</v>
          </cell>
          <cell r="H3">
            <v>0</v>
          </cell>
          <cell r="I3">
            <v>9.6804347078140562E-2</v>
          </cell>
          <cell r="J3">
            <v>0.33651920949923098</v>
          </cell>
          <cell r="K3">
            <v>0</v>
          </cell>
        </row>
        <row r="4">
          <cell r="B4">
            <v>3</v>
          </cell>
          <cell r="C4" t="str">
            <v>Michigan</v>
          </cell>
          <cell r="D4" t="str">
            <v>Arizona</v>
          </cell>
          <cell r="E4">
            <v>3.536366816330053</v>
          </cell>
          <cell r="F4" t="b">
            <v>0</v>
          </cell>
          <cell r="G4">
            <v>0.55063780603544465</v>
          </cell>
          <cell r="H4">
            <v>0</v>
          </cell>
          <cell r="I4">
            <v>5.1217629704030758E-2</v>
          </cell>
          <cell r="J4">
            <v>0.23404852877633711</v>
          </cell>
          <cell r="K4">
            <v>0</v>
          </cell>
        </row>
        <row r="5">
          <cell r="B5">
            <v>4</v>
          </cell>
          <cell r="C5" t="str">
            <v>Uconn</v>
          </cell>
          <cell r="D5" t="str">
            <v>Illinois</v>
          </cell>
          <cell r="E5">
            <v>1.025470928311111</v>
          </cell>
          <cell r="F5" t="b">
            <v>0</v>
          </cell>
          <cell r="G5">
            <v>0.57498961802434767</v>
          </cell>
          <cell r="H5">
            <v>0</v>
          </cell>
          <cell r="I5">
            <v>9.7707452591936472E-2</v>
          </cell>
          <cell r="J5">
            <v>0.21268681563647879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Arizona</v>
          </cell>
          <cell r="C2" t="str">
            <v>Michigan</v>
          </cell>
          <cell r="D2">
            <v>23.698276332727119</v>
          </cell>
          <cell r="E2">
            <v>101.76807841686704</v>
          </cell>
          <cell r="F2">
            <v>98.508521311778111</v>
          </cell>
          <cell r="G2">
            <v>0.55109126984126988</v>
          </cell>
          <cell r="H2">
            <v>70.587878787878793</v>
          </cell>
          <cell r="I2">
            <v>61.090909090909093</v>
          </cell>
          <cell r="J2">
            <v>26.060606060606062</v>
          </cell>
          <cell r="K2">
            <v>12.878787878787879</v>
          </cell>
          <cell r="L2">
            <v>10.909090909090908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1.5</v>
          </cell>
        </row>
        <row r="3">
          <cell r="A3">
            <v>2</v>
          </cell>
          <cell r="B3" t="str">
            <v>Illinois</v>
          </cell>
          <cell r="C3" t="str">
            <v>Uconn</v>
          </cell>
          <cell r="D3">
            <v>18.836157720404749</v>
          </cell>
          <cell r="E3">
            <v>105.08780903665816</v>
          </cell>
          <cell r="F3">
            <v>108.93352999987511</v>
          </cell>
          <cell r="G3">
            <v>0.5511688311688312</v>
          </cell>
          <cell r="H3">
            <v>66.809032258064519</v>
          </cell>
          <cell r="I3">
            <v>62.096774193548384</v>
          </cell>
          <cell r="J3">
            <v>20.387096774193548</v>
          </cell>
          <cell r="K3">
            <v>13.258064516129032</v>
          </cell>
          <cell r="L3">
            <v>9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-2</v>
          </cell>
        </row>
        <row r="4">
          <cell r="A4">
            <v>3</v>
          </cell>
          <cell r="B4" t="str">
            <v>Michigan</v>
          </cell>
          <cell r="C4" t="str">
            <v>Arizona</v>
          </cell>
          <cell r="D4">
            <v>23.168628302235671</v>
          </cell>
          <cell r="E4">
            <v>98.200984374253366</v>
          </cell>
          <cell r="F4">
            <v>96.398308125131024</v>
          </cell>
          <cell r="G4">
            <v>0.58467532467532468</v>
          </cell>
          <cell r="H4">
            <v>71.510000000000005</v>
          </cell>
          <cell r="I4">
            <v>60.15625</v>
          </cell>
          <cell r="J4">
            <v>23.53125</v>
          </cell>
          <cell r="K4">
            <v>11.0625</v>
          </cell>
          <cell r="L4">
            <v>12.0625</v>
          </cell>
          <cell r="M4">
            <v>0</v>
          </cell>
          <cell r="N4">
            <v>23.698276332727119</v>
          </cell>
          <cell r="O4">
            <v>101.76807841686704</v>
          </cell>
          <cell r="P4">
            <v>98.508521311778111</v>
          </cell>
          <cell r="Q4">
            <v>0.55109126984126988</v>
          </cell>
          <cell r="R4">
            <v>70.587878787878793</v>
          </cell>
          <cell r="S4">
            <v>61.090909090909093</v>
          </cell>
          <cell r="T4">
            <v>26.060606060606062</v>
          </cell>
          <cell r="U4">
            <v>12.878787878787879</v>
          </cell>
          <cell r="V4">
            <v>10.909090909090908</v>
          </cell>
          <cell r="W4">
            <v>0</v>
          </cell>
          <cell r="X4">
            <v>-1.5</v>
          </cell>
        </row>
        <row r="5">
          <cell r="A5">
            <v>4</v>
          </cell>
          <cell r="B5" t="str">
            <v>Uconn</v>
          </cell>
          <cell r="C5" t="str">
            <v>Illinois</v>
          </cell>
          <cell r="D5">
            <v>18.116591097400342</v>
          </cell>
          <cell r="E5">
            <v>100.0952772073922</v>
          </cell>
          <cell r="F5">
            <v>94.276311107817818</v>
          </cell>
          <cell r="G5">
            <v>0.55882352941176472</v>
          </cell>
          <cell r="H5">
            <v>66.089696969696973</v>
          </cell>
          <cell r="I5">
            <v>58.727272727272727</v>
          </cell>
          <cell r="J5">
            <v>17.696969696969695</v>
          </cell>
          <cell r="K5">
            <v>11.454545454545455</v>
          </cell>
          <cell r="L5">
            <v>11.030303030303031</v>
          </cell>
          <cell r="M5">
            <v>0</v>
          </cell>
          <cell r="N5">
            <v>18.836157720404749</v>
          </cell>
          <cell r="O5">
            <v>105.08780903665816</v>
          </cell>
          <cell r="P5">
            <v>108.93352999987511</v>
          </cell>
          <cell r="Q5">
            <v>0.5511688311688312</v>
          </cell>
          <cell r="R5">
            <v>66.809032258064519</v>
          </cell>
          <cell r="S5">
            <v>62.096774193548384</v>
          </cell>
          <cell r="T5">
            <v>20.387096774193548</v>
          </cell>
          <cell r="U5">
            <v>13.258064516129032</v>
          </cell>
          <cell r="V5">
            <v>9</v>
          </cell>
          <cell r="W5">
            <v>0</v>
          </cell>
          <cell r="X5">
            <v>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E2" sqref="E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Arizona</v>
      </c>
      <c r="C2" s="6" t="str">
        <f>VLOOKUP(A2,[1]Games!$B$2:$K$398,3,FALSE)</f>
        <v>Michigan</v>
      </c>
      <c r="D2" s="6" t="str">
        <f>B2</f>
        <v>Arizona</v>
      </c>
      <c r="E2" s="5">
        <f>VLOOKUP(A2,[1]Games!$B$2:$K$398,4,FALSE)</f>
        <v>2.5323126427002611</v>
      </c>
      <c r="F2" s="5">
        <f>-VLOOKUP(A2,[2]Games!$A$2:$X$284,24,FALSE)</f>
        <v>-1.5</v>
      </c>
      <c r="G2" s="7">
        <f>VLOOKUP(A2,[1]Games!$B$2:$K$398,9,FALSE)</f>
        <v>0.31889491956720589</v>
      </c>
      <c r="H2" s="7">
        <f>VLOOKUP(A2,[1]Games!$B$2:$K$398,7,FALSE)</f>
        <v>0</v>
      </c>
      <c r="I2" s="7">
        <f>VLOOKUP(A2,[1]Games!$B$2:$K$398,8,FALSE)/4</f>
        <v>3.6118804927956473E-2</v>
      </c>
      <c r="J2" s="8" t="s">
        <v>443</v>
      </c>
      <c r="K2" s="5"/>
      <c r="L2" s="9">
        <f>IF(J2="Yes",(H2*1500)/100,0)</f>
        <v>0</v>
      </c>
      <c r="M2" s="1" t="s">
        <v>444</v>
      </c>
    </row>
    <row r="3" spans="1:13" x14ac:dyDescent="0.2">
      <c r="A3" s="1">
        <v>2</v>
      </c>
      <c r="B3" s="6" t="str">
        <f>VLOOKUP(A3,[1]Games!$B$2:$K$398,2,FALSE)</f>
        <v>Illinois</v>
      </c>
      <c r="C3" s="6" t="str">
        <f>VLOOKUP(A3,[1]Games!$B$2:$K$398,3,FALSE)</f>
        <v>Uconn</v>
      </c>
      <c r="D3" s="6" t="str">
        <f t="shared" ref="D3" si="0">B3</f>
        <v>Illinois</v>
      </c>
      <c r="E3" s="5">
        <f>VLOOKUP(A3,[1]Games!$B$2:$K$398,4,FALSE)</f>
        <v>5.0061585122755732</v>
      </c>
      <c r="F3" s="5">
        <f>-VLOOKUP(A3,[2]Games!$A$2:$X$284,24,FALSE)</f>
        <v>2</v>
      </c>
      <c r="G3" s="7">
        <f>VLOOKUP(A3,[1]Games!$B$2:$K$398,9,FALSE)</f>
        <v>0.33651920949923098</v>
      </c>
      <c r="H3" s="7">
        <f>VLOOKUP(A3,[1]Games!$B$2:$K$398,7,FALSE)</f>
        <v>0</v>
      </c>
      <c r="I3" s="7">
        <f>VLOOKUP(A3,[1]Games!$B$2:$K$398,8,FALSE)/4</f>
        <v>2.4201086769535141E-2</v>
      </c>
      <c r="J3" s="8" t="s">
        <v>443</v>
      </c>
      <c r="K3" s="5"/>
      <c r="L3" s="9">
        <f t="shared" ref="L3" si="1">IF(J3="Yes",(H3*1500)/100,0)</f>
        <v>0</v>
      </c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465</v>
      </c>
      <c r="B27" s="1">
        <f t="shared" si="4"/>
        <v>22</v>
      </c>
      <c r="C27" s="1" t="s">
        <v>389</v>
      </c>
      <c r="D27" s="1" t="s">
        <v>466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465</v>
      </c>
      <c r="B28" s="1">
        <f t="shared" si="4"/>
        <v>23</v>
      </c>
      <c r="C28" s="1" t="s">
        <v>388</v>
      </c>
      <c r="D28" s="1" t="s">
        <v>467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3"/>
  <sheetViews>
    <sheetView tabSelected="1" workbookViewId="0">
      <selection activeCell="F5" sqref="F5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447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468</v>
      </c>
      <c r="G6" s="1" t="s">
        <v>447</v>
      </c>
      <c r="H6" s="1" t="s">
        <v>448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265</v>
      </c>
      <c r="G7" s="1" t="s">
        <v>447</v>
      </c>
      <c r="H7" s="1" t="s">
        <v>448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446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447</v>
      </c>
      <c r="H13" s="1" t="s">
        <v>448</v>
      </c>
      <c r="I13" s="1" t="s">
        <v>468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2026-03-31T00:11:04Z</dcterms:modified>
</cp:coreProperties>
</file>