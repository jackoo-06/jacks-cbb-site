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evans/Desktop/"/>
    </mc:Choice>
  </mc:AlternateContent>
  <xr:revisionPtr revIDLastSave="0" documentId="13_ncr:1_{8B9C2B1B-F9EF-7E4D-AF8E-981D02652366}" xr6:coauthVersionLast="47" xr6:coauthVersionMax="47" xr10:uidLastSave="{00000000-0000-0000-0000-000000000000}"/>
  <bookViews>
    <workbookView xWindow="0" yWindow="780" windowWidth="18700" windowHeight="19940" xr2:uid="{C762ECBC-EE1A-4249-820F-B10BC232F997}"/>
  </bookViews>
  <sheets>
    <sheet name="Projections" sheetId="1" r:id="rId1"/>
    <sheet name="Record" sheetId="4" r:id="rId2"/>
    <sheet name="Portfolio" sheetId="5" r:id="rId3"/>
    <sheet name="Rankings" sheetId="2" r:id="rId4"/>
    <sheet name="MMSim" sheetId="3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3" hidden="1">Rankings!$A$1:$F$1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H2" i="1"/>
  <c r="K13" i="5"/>
  <c r="C2" i="4"/>
  <c r="O28" i="4" l="1"/>
  <c r="L28" i="4"/>
  <c r="F28" i="4"/>
  <c r="B28" i="4"/>
  <c r="O27" i="4"/>
  <c r="L27" i="4"/>
  <c r="F27" i="4"/>
  <c r="G27" i="4" s="1"/>
  <c r="B27" i="4"/>
  <c r="G28" i="4" l="1"/>
  <c r="H28" i="4"/>
  <c r="I28" i="4" s="1"/>
  <c r="H27" i="4"/>
  <c r="I27" i="4" s="1"/>
  <c r="O26" i="4" l="1"/>
  <c r="L26" i="4"/>
  <c r="F26" i="4"/>
  <c r="B26" i="4"/>
  <c r="O25" i="4"/>
  <c r="L25" i="4"/>
  <c r="F25" i="4"/>
  <c r="G25" i="4" s="1"/>
  <c r="B25" i="4"/>
  <c r="G26" i="4" l="1"/>
  <c r="H26" i="4"/>
  <c r="H25" i="4"/>
  <c r="I25" i="4" s="1"/>
  <c r="I26" i="4" l="1"/>
  <c r="O24" i="4" l="1"/>
  <c r="L24" i="4"/>
  <c r="F24" i="4"/>
  <c r="B24" i="4"/>
  <c r="O23" i="4"/>
  <c r="L23" i="4"/>
  <c r="F23" i="4"/>
  <c r="B23" i="4"/>
  <c r="O22" i="4"/>
  <c r="L22" i="4"/>
  <c r="F22" i="4"/>
  <c r="G22" i="4" s="1"/>
  <c r="B22" i="4"/>
  <c r="H23" i="4" l="1"/>
  <c r="H22" i="4"/>
  <c r="I22" i="4" s="1"/>
  <c r="H24" i="4"/>
  <c r="I24" i="4"/>
  <c r="I23" i="4"/>
  <c r="G23" i="4"/>
  <c r="G24" i="4" s="1"/>
  <c r="O21" i="4"/>
  <c r="L21" i="4"/>
  <c r="F21" i="4"/>
  <c r="B21" i="4"/>
  <c r="O20" i="4"/>
  <c r="L20" i="4"/>
  <c r="F20" i="4"/>
  <c r="B20" i="4"/>
  <c r="O19" i="4"/>
  <c r="L19" i="4"/>
  <c r="H19" i="4" s="1"/>
  <c r="F19" i="4"/>
  <c r="B19" i="4"/>
  <c r="O18" i="4"/>
  <c r="L18" i="4"/>
  <c r="F18" i="4"/>
  <c r="B18" i="4"/>
  <c r="H21" i="4" l="1"/>
  <c r="H20" i="4"/>
  <c r="H18" i="4"/>
  <c r="I19" i="4" l="1"/>
  <c r="I20" i="4"/>
  <c r="I21" i="4"/>
  <c r="F2" i="4" l="1"/>
  <c r="E2" i="4"/>
  <c r="O17" i="4"/>
  <c r="L17" i="4"/>
  <c r="F17" i="4"/>
  <c r="G17" i="4" s="1"/>
  <c r="G18" i="4" s="1"/>
  <c r="G19" i="4" s="1"/>
  <c r="G20" i="4" s="1"/>
  <c r="G21" i="4" s="1"/>
  <c r="B17" i="4"/>
  <c r="H17" i="4" l="1"/>
  <c r="K3" i="5"/>
  <c r="K5" i="5"/>
  <c r="K6" i="5"/>
  <c r="K7" i="5"/>
  <c r="K8" i="5"/>
  <c r="K9" i="5"/>
  <c r="K10" i="5"/>
  <c r="K11" i="5"/>
  <c r="K12" i="5"/>
  <c r="F6" i="4"/>
  <c r="I17" i="4" l="1"/>
  <c r="I18" i="4"/>
  <c r="O16" i="4" l="1"/>
  <c r="H16" i="4" s="1"/>
  <c r="O15" i="4"/>
  <c r="O14" i="4"/>
  <c r="L16" i="4"/>
  <c r="L15" i="4"/>
  <c r="L14" i="4"/>
  <c r="H15" i="4"/>
  <c r="F14" i="4"/>
  <c r="F15" i="4"/>
  <c r="F16" i="4"/>
  <c r="B8" i="4"/>
  <c r="B9" i="4" s="1"/>
  <c r="B10" i="4" s="1"/>
  <c r="B11" i="4" s="1"/>
  <c r="B12" i="4" s="1"/>
  <c r="B13" i="4" s="1"/>
  <c r="B14" i="4" s="1"/>
  <c r="B15" i="4" s="1"/>
  <c r="B16" i="4" s="1"/>
  <c r="B7" i="4"/>
  <c r="I14" i="4" l="1"/>
  <c r="H14" i="4"/>
  <c r="I15" i="4" s="1"/>
  <c r="O13" i="4"/>
  <c r="H13" i="4" s="1"/>
  <c r="L13" i="4"/>
  <c r="F13" i="4"/>
  <c r="I11" i="4"/>
  <c r="I12" i="4"/>
  <c r="F12" i="4"/>
  <c r="F11" i="4"/>
  <c r="H12" i="4"/>
  <c r="O12" i="4"/>
  <c r="O11" i="4"/>
  <c r="H11" i="4" s="1"/>
  <c r="L12" i="4"/>
  <c r="L11" i="4"/>
  <c r="I16" i="4" l="1"/>
  <c r="I13" i="4"/>
  <c r="D2" i="4"/>
  <c r="O10" i="4"/>
  <c r="L10" i="4"/>
  <c r="F10" i="4"/>
  <c r="F9" i="4"/>
  <c r="H10" i="4" l="1"/>
  <c r="O9" i="4"/>
  <c r="L9" i="4"/>
  <c r="H9" i="4" l="1"/>
  <c r="O8" i="4" l="1"/>
  <c r="L8" i="4"/>
  <c r="H8" i="4" s="1"/>
  <c r="F8" i="4"/>
  <c r="O7" i="4"/>
  <c r="L7" i="4"/>
  <c r="F7" i="4"/>
  <c r="H7" i="4" l="1"/>
  <c r="B2" i="4" l="1"/>
  <c r="A2" i="4"/>
  <c r="O6" i="4" l="1"/>
  <c r="L6" i="4"/>
  <c r="H6" i="4" l="1"/>
  <c r="I9" i="4"/>
  <c r="I8" i="4"/>
  <c r="I10" i="4"/>
  <c r="F2" i="1"/>
  <c r="I7" i="4" l="1"/>
  <c r="I6" i="4"/>
  <c r="G6" i="4"/>
  <c r="C2" i="1"/>
  <c r="B2" i="1"/>
  <c r="D2" i="1" s="1"/>
  <c r="G7" i="4" l="1"/>
  <c r="G8" i="4" s="1"/>
  <c r="G9" i="4" s="1"/>
  <c r="G10" i="4" s="1"/>
  <c r="G11" i="4" s="1"/>
  <c r="G12" i="4" s="1"/>
  <c r="G13" i="4" s="1"/>
  <c r="G14" i="4" s="1"/>
  <c r="G15" i="4" s="1"/>
  <c r="G16" i="4" s="1"/>
  <c r="E2" i="1" l="1"/>
  <c r="I2" i="1" l="1"/>
  <c r="G2" i="1"/>
  <c r="E78" i="2" l="1"/>
  <c r="E150" i="2" l="1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F2" i="2"/>
  <c r="E2" i="2"/>
  <c r="B2" i="2" l="1"/>
  <c r="B177" i="2"/>
  <c r="B366" i="2"/>
  <c r="B269" i="2" l="1"/>
  <c r="B89" i="2"/>
  <c r="B246" i="2"/>
  <c r="B294" i="2"/>
  <c r="B114" i="2"/>
  <c r="B193" i="2"/>
  <c r="B324" i="2"/>
  <c r="B178" i="2"/>
  <c r="B48" i="2"/>
  <c r="B287" i="2"/>
  <c r="B252" i="2"/>
  <c r="B143" i="2"/>
  <c r="B265" i="2"/>
  <c r="B47" i="2"/>
  <c r="B10" i="2"/>
  <c r="B171" i="2"/>
  <c r="B105" i="2"/>
  <c r="B109" i="2"/>
  <c r="B97" i="2"/>
  <c r="B126" i="2"/>
  <c r="B298" i="2"/>
  <c r="B113" i="2"/>
  <c r="B95" i="2"/>
  <c r="B244" i="2"/>
  <c r="B272" i="2"/>
  <c r="B353" i="2"/>
  <c r="B155" i="2"/>
  <c r="B78" i="2"/>
  <c r="B352" i="2"/>
  <c r="B358" i="2"/>
  <c r="B9" i="2"/>
  <c r="B337" i="2"/>
  <c r="B280" i="2"/>
  <c r="B283" i="2"/>
  <c r="B170" i="2"/>
  <c r="B40" i="2"/>
  <c r="B249" i="2"/>
  <c r="B172" i="2"/>
  <c r="B18" i="2"/>
  <c r="B232" i="2"/>
  <c r="B237" i="2"/>
  <c r="B128" i="2"/>
  <c r="B61" i="2"/>
  <c r="B365" i="2"/>
  <c r="B347" i="2"/>
  <c r="B104" i="2"/>
  <c r="B197" i="2"/>
  <c r="B245" i="2"/>
  <c r="B30" i="2"/>
  <c r="B106" i="2"/>
  <c r="B180" i="2"/>
  <c r="B50" i="2"/>
  <c r="B52" i="2"/>
  <c r="B243" i="2"/>
  <c r="B267" i="2"/>
  <c r="B51" i="2"/>
  <c r="B116" i="2"/>
  <c r="B15" i="2"/>
  <c r="B131" i="2"/>
  <c r="B157" i="2"/>
  <c r="B338" i="2"/>
  <c r="B166" i="2"/>
  <c r="B359" i="2"/>
  <c r="B27" i="2"/>
  <c r="B153" i="2"/>
  <c r="B334" i="2"/>
  <c r="B189" i="2"/>
  <c r="B88" i="2"/>
  <c r="B273" i="2"/>
  <c r="B173" i="2"/>
  <c r="B134" i="2"/>
  <c r="B7" i="2"/>
  <c r="B56" i="2"/>
  <c r="B150" i="2"/>
  <c r="B305" i="2"/>
  <c r="B68" i="2"/>
  <c r="B16" i="2"/>
  <c r="B234" i="2"/>
  <c r="B258" i="2"/>
  <c r="B323" i="2"/>
  <c r="B264" i="2"/>
  <c r="B53" i="2"/>
  <c r="B74" i="2"/>
  <c r="B285" i="2"/>
  <c r="B201" i="2"/>
  <c r="B139" i="2"/>
  <c r="B313" i="2"/>
  <c r="B286" i="2"/>
  <c r="B350" i="2"/>
  <c r="B348" i="2"/>
  <c r="B69" i="2"/>
  <c r="B239" i="2"/>
  <c r="B299" i="2"/>
  <c r="B227" i="2"/>
  <c r="B260" i="2"/>
  <c r="B23" i="2"/>
  <c r="B284" i="2"/>
  <c r="B73" i="2"/>
  <c r="B274" i="2"/>
  <c r="B174" i="2"/>
  <c r="B49" i="2"/>
  <c r="B261" i="2"/>
  <c r="B306" i="2"/>
  <c r="B247" i="2"/>
  <c r="B165" i="2"/>
  <c r="B317" i="2"/>
  <c r="B102" i="2"/>
  <c r="B108" i="2"/>
  <c r="B209" i="2"/>
  <c r="B26" i="2"/>
  <c r="B255" i="2"/>
  <c r="B325" i="2"/>
  <c r="B311" i="2"/>
  <c r="B277" i="2"/>
  <c r="B327" i="2"/>
  <c r="B218" i="2"/>
  <c r="B21" i="2"/>
  <c r="B81" i="2"/>
  <c r="B145" i="2"/>
  <c r="B290" i="2"/>
  <c r="B361" i="2"/>
  <c r="B211" i="2"/>
  <c r="B71" i="2"/>
  <c r="B288" i="2"/>
  <c r="B316" i="2"/>
  <c r="B195" i="2"/>
  <c r="B198" i="2"/>
  <c r="B329" i="2"/>
  <c r="B101" i="2"/>
  <c r="B64" i="2"/>
  <c r="B124" i="2"/>
  <c r="B94" i="2"/>
  <c r="B253" i="2"/>
  <c r="B132" i="2"/>
  <c r="B339" i="2"/>
  <c r="B219" i="2"/>
  <c r="B31" i="2"/>
  <c r="B38" i="2"/>
  <c r="B158" i="2"/>
  <c r="B212" i="2"/>
  <c r="B242" i="2"/>
  <c r="B321" i="2"/>
  <c r="B293" i="2"/>
  <c r="B112" i="2"/>
  <c r="B148" i="2"/>
  <c r="B13" i="2"/>
  <c r="B121" i="2"/>
  <c r="B72" i="2"/>
  <c r="B4" i="2"/>
  <c r="B257" i="2"/>
  <c r="B86" i="2"/>
  <c r="B301" i="2"/>
  <c r="B41" i="2"/>
  <c r="B181" i="2"/>
  <c r="B179" i="2"/>
  <c r="B262" i="2"/>
  <c r="B199" i="2"/>
  <c r="B236" i="2"/>
  <c r="B182" i="2"/>
  <c r="B224" i="2"/>
  <c r="B140" i="2"/>
  <c r="B32" i="2"/>
  <c r="B332" i="2"/>
  <c r="B200" i="2"/>
  <c r="B186" i="2"/>
  <c r="B29" i="2"/>
  <c r="B83" i="2"/>
  <c r="B251" i="2"/>
  <c r="B356" i="2"/>
  <c r="B206" i="2"/>
  <c r="B79" i="2"/>
  <c r="B333" i="2"/>
  <c r="B250" i="2"/>
  <c r="B341" i="2"/>
  <c r="B281" i="2"/>
  <c r="B164" i="2"/>
  <c r="B240" i="2"/>
  <c r="B42" i="2"/>
  <c r="B160" i="2"/>
  <c r="B144" i="2"/>
  <c r="B335" i="2"/>
  <c r="B268" i="2"/>
  <c r="B123" i="2"/>
  <c r="B93" i="2"/>
  <c r="B312" i="2"/>
  <c r="B282" i="2"/>
  <c r="B344" i="2"/>
  <c r="B17" i="2"/>
  <c r="B63" i="2"/>
  <c r="B266" i="2"/>
  <c r="B213" i="2"/>
  <c r="B330" i="2"/>
  <c r="B35" i="2"/>
  <c r="B136" i="2"/>
  <c r="B5" i="2"/>
  <c r="B363" i="2"/>
  <c r="B215" i="2"/>
  <c r="B319" i="2"/>
  <c r="B322" i="2"/>
  <c r="B14" i="2"/>
  <c r="B34" i="2"/>
  <c r="B223" i="2"/>
  <c r="B331" i="2"/>
  <c r="B46" i="2"/>
  <c r="B133" i="2"/>
  <c r="B328" i="2"/>
  <c r="B87" i="2"/>
  <c r="B296" i="2"/>
  <c r="B304" i="2"/>
  <c r="B349" i="2"/>
  <c r="B318" i="2"/>
  <c r="B118" i="2"/>
  <c r="B326" i="2"/>
  <c r="B297" i="2"/>
  <c r="B208" i="2"/>
  <c r="B289" i="2"/>
  <c r="B248" i="2"/>
  <c r="B55" i="2"/>
  <c r="B279" i="2"/>
  <c r="B222" i="2"/>
  <c r="B100" i="2"/>
  <c r="B217" i="2"/>
  <c r="B120" i="2"/>
  <c r="B346" i="2"/>
  <c r="B75" i="2"/>
  <c r="B241" i="2"/>
  <c r="B156" i="2"/>
  <c r="B336" i="2"/>
  <c r="B39" i="2"/>
  <c r="B76" i="2"/>
  <c r="B85" i="2"/>
  <c r="B291" i="2"/>
  <c r="B231" i="2"/>
  <c r="B220" i="2"/>
  <c r="B122" i="2"/>
  <c r="B54" i="2"/>
  <c r="B310" i="2"/>
  <c r="B276" i="2"/>
  <c r="B351" i="2"/>
  <c r="B117" i="2"/>
  <c r="B303" i="2"/>
  <c r="B315" i="2"/>
  <c r="B263" i="2"/>
  <c r="B6" i="2"/>
  <c r="B90" i="2"/>
  <c r="B169" i="2"/>
  <c r="B33" i="2"/>
  <c r="B149" i="2"/>
  <c r="B295" i="2"/>
  <c r="B43" i="2"/>
  <c r="B278" i="2"/>
  <c r="B45" i="2"/>
  <c r="B188" i="2"/>
  <c r="B225" i="2"/>
  <c r="B141" i="2"/>
  <c r="B82" i="2"/>
  <c r="B98" i="2"/>
  <c r="B314" i="2"/>
  <c r="B343" i="2"/>
  <c r="B320" i="2"/>
  <c r="B194" i="2"/>
  <c r="B235" i="2"/>
  <c r="B115" i="2"/>
  <c r="B308" i="2"/>
  <c r="B161" i="2"/>
  <c r="B233" i="2"/>
  <c r="B111" i="2"/>
  <c r="B159" i="2"/>
  <c r="B19" i="2"/>
  <c r="B302" i="2"/>
  <c r="B362" i="2"/>
  <c r="B221" i="2"/>
  <c r="B216" i="2"/>
  <c r="B226" i="2"/>
  <c r="B135" i="2"/>
  <c r="B137" i="2"/>
  <c r="B57" i="2"/>
  <c r="B185" i="2"/>
  <c r="B92" i="2"/>
  <c r="B214" i="2"/>
  <c r="B307" i="2"/>
  <c r="B270" i="2"/>
  <c r="B340" i="2"/>
  <c r="B256" i="2"/>
  <c r="B192" i="2"/>
  <c r="B60" i="2"/>
  <c r="B229" i="2"/>
  <c r="B125" i="2"/>
  <c r="B67" i="2"/>
  <c r="B355" i="2"/>
  <c r="B207" i="2"/>
  <c r="B59" i="2"/>
  <c r="B91" i="2"/>
  <c r="B357" i="2"/>
  <c r="B130" i="2"/>
  <c r="B238" i="2"/>
  <c r="B271" i="2"/>
  <c r="B203" i="2"/>
  <c r="B196" i="2"/>
  <c r="B228" i="2"/>
  <c r="B37" i="2"/>
  <c r="B204" i="2"/>
  <c r="B354" i="2"/>
  <c r="B151" i="2"/>
  <c r="B3" i="2"/>
  <c r="B11" i="2"/>
  <c r="B84" i="2"/>
  <c r="B110" i="2"/>
  <c r="B80" i="2"/>
  <c r="B205" i="2"/>
  <c r="B162" i="2"/>
  <c r="B142" i="2"/>
  <c r="B70" i="2"/>
  <c r="B36" i="2"/>
  <c r="B342" i="2"/>
  <c r="B345" i="2"/>
  <c r="B25" i="2"/>
  <c r="B107" i="2"/>
  <c r="B163" i="2"/>
  <c r="B44" i="2"/>
  <c r="B24" i="2"/>
  <c r="B77" i="2"/>
  <c r="B129" i="2"/>
  <c r="B66" i="2"/>
  <c r="B103" i="2"/>
  <c r="B147" i="2"/>
  <c r="B146" i="2"/>
  <c r="B168" i="2"/>
  <c r="B12" i="2"/>
  <c r="B58" i="2"/>
  <c r="B292" i="2"/>
  <c r="B22" i="2"/>
  <c r="B8" i="2"/>
  <c r="B259" i="2"/>
  <c r="B183" i="2"/>
  <c r="B127" i="2"/>
  <c r="B167" i="2"/>
  <c r="B138" i="2"/>
  <c r="B187" i="2"/>
  <c r="B364" i="2"/>
  <c r="B96" i="2"/>
  <c r="B99" i="2"/>
  <c r="B275" i="2"/>
  <c r="B230" i="2"/>
  <c r="B154" i="2"/>
  <c r="B191" i="2"/>
  <c r="B309" i="2"/>
  <c r="B176" i="2"/>
  <c r="B20" i="2"/>
  <c r="B254" i="2"/>
  <c r="B210" i="2"/>
  <c r="B119" i="2"/>
  <c r="B62" i="2"/>
  <c r="B184" i="2"/>
  <c r="B152" i="2"/>
  <c r="B65" i="2"/>
  <c r="B28" i="2"/>
  <c r="B202" i="2"/>
  <c r="B360" i="2"/>
  <c r="B175" i="2"/>
  <c r="B300" i="2"/>
  <c r="B190" i="2"/>
  <c r="C129" i="2" l="1"/>
  <c r="C263" i="2"/>
  <c r="C130" i="2"/>
  <c r="C122" i="2"/>
  <c r="C318" i="2"/>
  <c r="C79" i="2"/>
  <c r="C179" i="2"/>
  <c r="C121" i="2"/>
  <c r="C212" i="2"/>
  <c r="C300" i="2"/>
  <c r="C62" i="2"/>
  <c r="C154" i="2"/>
  <c r="C167" i="2"/>
  <c r="C12" i="2"/>
  <c r="C24" i="2"/>
  <c r="C70" i="2"/>
  <c r="C3" i="2"/>
  <c r="C271" i="2"/>
  <c r="C67" i="2"/>
  <c r="C307" i="2"/>
  <c r="C216" i="2"/>
  <c r="C161" i="2"/>
  <c r="C98" i="2"/>
  <c r="C295" i="2"/>
  <c r="C303" i="2"/>
  <c r="C231" i="2"/>
  <c r="C75" i="2"/>
  <c r="C248" i="2"/>
  <c r="C304" i="2"/>
  <c r="C34" i="2"/>
  <c r="C35" i="2"/>
  <c r="C312" i="2"/>
  <c r="C240" i="2"/>
  <c r="C356" i="2"/>
  <c r="C140" i="2"/>
  <c r="C41" i="2"/>
  <c r="C13" i="2"/>
  <c r="C38" i="2"/>
  <c r="C64" i="2"/>
  <c r="C211" i="2"/>
  <c r="C277" i="2"/>
  <c r="C317" i="2"/>
  <c r="C73" i="2"/>
  <c r="C348" i="2"/>
  <c r="C53" i="2"/>
  <c r="C150" i="2"/>
  <c r="C334" i="2"/>
  <c r="C15" i="2"/>
  <c r="C106" i="2"/>
  <c r="C128" i="2"/>
  <c r="C283" i="2"/>
  <c r="C353" i="2"/>
  <c r="C109" i="2"/>
  <c r="C287" i="2"/>
  <c r="C89" i="2"/>
  <c r="C152" i="2"/>
  <c r="C343" i="2"/>
  <c r="C156" i="2"/>
  <c r="C279" i="2"/>
  <c r="C331" i="2"/>
  <c r="C5" i="2"/>
  <c r="C175" i="2"/>
  <c r="C119" i="2"/>
  <c r="C230" i="2"/>
  <c r="C127" i="2"/>
  <c r="C168" i="2"/>
  <c r="C44" i="2"/>
  <c r="C142" i="2"/>
  <c r="C151" i="2"/>
  <c r="C238" i="2"/>
  <c r="C125" i="2"/>
  <c r="C214" i="2"/>
  <c r="C221" i="2"/>
  <c r="C308" i="2"/>
  <c r="C82" i="2"/>
  <c r="C149" i="2"/>
  <c r="C117" i="2"/>
  <c r="C291" i="2"/>
  <c r="C346" i="2"/>
  <c r="C289" i="2"/>
  <c r="C296" i="2"/>
  <c r="C14" i="2"/>
  <c r="C330" i="2"/>
  <c r="C93" i="2"/>
  <c r="C164" i="2"/>
  <c r="C251" i="2"/>
  <c r="C224" i="2"/>
  <c r="C301" i="2"/>
  <c r="C148" i="2"/>
  <c r="C31" i="2"/>
  <c r="C101" i="2"/>
  <c r="C361" i="2"/>
  <c r="C311" i="2"/>
  <c r="C165" i="2"/>
  <c r="C284" i="2"/>
  <c r="C350" i="2"/>
  <c r="C264" i="2"/>
  <c r="C56" i="2"/>
  <c r="C153" i="2"/>
  <c r="C116" i="2"/>
  <c r="C30" i="2"/>
  <c r="C237" i="2"/>
  <c r="C280" i="2"/>
  <c r="C272" i="2"/>
  <c r="C105" i="2"/>
  <c r="C48" i="2"/>
  <c r="C269" i="2"/>
  <c r="C309" i="2"/>
  <c r="C213" i="2"/>
  <c r="C182" i="2"/>
  <c r="C86" i="2"/>
  <c r="C112" i="2"/>
  <c r="C219" i="2"/>
  <c r="C329" i="2"/>
  <c r="C290" i="2"/>
  <c r="C325" i="2"/>
  <c r="C247" i="2"/>
  <c r="C23" i="2"/>
  <c r="C286" i="2"/>
  <c r="C323" i="2"/>
  <c r="C7" i="2"/>
  <c r="C27" i="2"/>
  <c r="C51" i="2"/>
  <c r="C245" i="2"/>
  <c r="C232" i="2"/>
  <c r="C337" i="2"/>
  <c r="C244" i="2"/>
  <c r="C171" i="2"/>
  <c r="C178" i="2"/>
  <c r="C362" i="2"/>
  <c r="C141" i="2"/>
  <c r="C87" i="2"/>
  <c r="C281" i="2"/>
  <c r="C202" i="2"/>
  <c r="C99" i="2"/>
  <c r="C147" i="2"/>
  <c r="C107" i="2"/>
  <c r="C205" i="2"/>
  <c r="C204" i="2"/>
  <c r="C357" i="2"/>
  <c r="C60" i="2"/>
  <c r="C185" i="2"/>
  <c r="C302" i="2"/>
  <c r="C235" i="2"/>
  <c r="C225" i="2"/>
  <c r="C169" i="2"/>
  <c r="C276" i="2"/>
  <c r="C76" i="2"/>
  <c r="C217" i="2"/>
  <c r="C297" i="2"/>
  <c r="C328" i="2"/>
  <c r="C319" i="2"/>
  <c r="C266" i="2"/>
  <c r="C268" i="2"/>
  <c r="C341" i="2"/>
  <c r="C29" i="2"/>
  <c r="C236" i="2"/>
  <c r="C257" i="2"/>
  <c r="C293" i="2"/>
  <c r="C339" i="2"/>
  <c r="C198" i="2"/>
  <c r="C145" i="2"/>
  <c r="C255" i="2"/>
  <c r="C306" i="2"/>
  <c r="C260" i="2"/>
  <c r="C313" i="2"/>
  <c r="C258" i="2"/>
  <c r="C134" i="2"/>
  <c r="C359" i="2"/>
  <c r="C267" i="2"/>
  <c r="C197" i="2"/>
  <c r="C18" i="2"/>
  <c r="C9" i="2"/>
  <c r="C95" i="2"/>
  <c r="C10" i="2"/>
  <c r="C324" i="2"/>
  <c r="C187" i="2"/>
  <c r="C360" i="2"/>
  <c r="C210" i="2"/>
  <c r="C183" i="2"/>
  <c r="C146" i="2"/>
  <c r="C354" i="2"/>
  <c r="C229" i="2"/>
  <c r="C92" i="2"/>
  <c r="C351" i="2"/>
  <c r="C208" i="2"/>
  <c r="C123" i="2"/>
  <c r="C254" i="2"/>
  <c r="C28" i="2"/>
  <c r="C96" i="2"/>
  <c r="C8" i="2"/>
  <c r="C80" i="2"/>
  <c r="C37" i="2"/>
  <c r="C91" i="2"/>
  <c r="C57" i="2"/>
  <c r="C194" i="2"/>
  <c r="C188" i="2"/>
  <c r="C90" i="2"/>
  <c r="C310" i="2"/>
  <c r="C39" i="2"/>
  <c r="C100" i="2"/>
  <c r="C326" i="2"/>
  <c r="C133" i="2"/>
  <c r="C215" i="2"/>
  <c r="C63" i="2"/>
  <c r="C335" i="2"/>
  <c r="C250" i="2"/>
  <c r="C186" i="2"/>
  <c r="C199" i="2"/>
  <c r="C4" i="2"/>
  <c r="C321" i="2"/>
  <c r="C132" i="2"/>
  <c r="C195" i="2"/>
  <c r="C81" i="2"/>
  <c r="C26" i="2"/>
  <c r="C261" i="2"/>
  <c r="C227" i="2"/>
  <c r="C139" i="2"/>
  <c r="C234" i="2"/>
  <c r="C173" i="2"/>
  <c r="C166" i="2"/>
  <c r="C243" i="2"/>
  <c r="C104" i="2"/>
  <c r="C172" i="2"/>
  <c r="C358" i="2"/>
  <c r="C113" i="2"/>
  <c r="C47" i="2"/>
  <c r="C193" i="2"/>
  <c r="C292" i="2"/>
  <c r="C275" i="2"/>
  <c r="C163" i="2"/>
  <c r="C162" i="2"/>
  <c r="C115" i="2"/>
  <c r="C33" i="2"/>
  <c r="C85" i="2"/>
  <c r="C120" i="2"/>
  <c r="C322" i="2"/>
  <c r="C83" i="2"/>
  <c r="C259" i="2"/>
  <c r="C20" i="2"/>
  <c r="C103" i="2"/>
  <c r="C25" i="2"/>
  <c r="C192" i="2"/>
  <c r="C19" i="2"/>
  <c r="C65" i="2"/>
  <c r="C176" i="2"/>
  <c r="C364" i="2"/>
  <c r="C22" i="2"/>
  <c r="C66" i="2"/>
  <c r="C345" i="2"/>
  <c r="C110" i="2"/>
  <c r="C228" i="2"/>
  <c r="C59" i="2"/>
  <c r="C256" i="2"/>
  <c r="C137" i="2"/>
  <c r="C159" i="2"/>
  <c r="C320" i="2"/>
  <c r="C45" i="2"/>
  <c r="C6" i="2"/>
  <c r="C54" i="2"/>
  <c r="C336" i="2"/>
  <c r="C222" i="2"/>
  <c r="C118" i="2"/>
  <c r="C46" i="2"/>
  <c r="C363" i="2"/>
  <c r="C17" i="2"/>
  <c r="C144" i="2"/>
  <c r="C333" i="2"/>
  <c r="C200" i="2"/>
  <c r="C262" i="2"/>
  <c r="C72" i="2"/>
  <c r="C242" i="2"/>
  <c r="C253" i="2"/>
  <c r="C316" i="2"/>
  <c r="C21" i="2"/>
  <c r="C209" i="2"/>
  <c r="C49" i="2"/>
  <c r="C299" i="2"/>
  <c r="C201" i="2"/>
  <c r="C16" i="2"/>
  <c r="C273" i="2"/>
  <c r="C338" i="2"/>
  <c r="C52" i="2"/>
  <c r="C347" i="2"/>
  <c r="C249" i="2"/>
  <c r="C352" i="2"/>
  <c r="C298" i="2"/>
  <c r="C265" i="2"/>
  <c r="C114" i="2"/>
  <c r="C2" i="2"/>
  <c r="C342" i="2"/>
  <c r="C84" i="2"/>
  <c r="C196" i="2"/>
  <c r="C207" i="2"/>
  <c r="C340" i="2"/>
  <c r="C135" i="2"/>
  <c r="C111" i="2"/>
  <c r="C344" i="2"/>
  <c r="C160" i="2"/>
  <c r="C94" i="2"/>
  <c r="C288" i="2"/>
  <c r="C218" i="2"/>
  <c r="C108" i="2"/>
  <c r="C174" i="2"/>
  <c r="C239" i="2"/>
  <c r="C285" i="2"/>
  <c r="C68" i="2"/>
  <c r="C88" i="2"/>
  <c r="C157" i="2"/>
  <c r="C50" i="2"/>
  <c r="C365" i="2"/>
  <c r="C40" i="2"/>
  <c r="C78" i="2"/>
  <c r="C126" i="2"/>
  <c r="C143" i="2"/>
  <c r="C294" i="2"/>
  <c r="C177" i="2"/>
  <c r="C278" i="2"/>
  <c r="C332" i="2"/>
  <c r="C190" i="2"/>
  <c r="C184" i="2"/>
  <c r="C191" i="2"/>
  <c r="C138" i="2"/>
  <c r="C58" i="2"/>
  <c r="C77" i="2"/>
  <c r="C36" i="2"/>
  <c r="C11" i="2"/>
  <c r="C203" i="2"/>
  <c r="C355" i="2"/>
  <c r="C270" i="2"/>
  <c r="C226" i="2"/>
  <c r="C233" i="2"/>
  <c r="C314" i="2"/>
  <c r="C43" i="2"/>
  <c r="C315" i="2"/>
  <c r="C220" i="2"/>
  <c r="C241" i="2"/>
  <c r="C55" i="2"/>
  <c r="C349" i="2"/>
  <c r="C223" i="2"/>
  <c r="C136" i="2"/>
  <c r="C282" i="2"/>
  <c r="C42" i="2"/>
  <c r="C206" i="2"/>
  <c r="C32" i="2"/>
  <c r="C181" i="2"/>
  <c r="C158" i="2"/>
  <c r="C124" i="2"/>
  <c r="C71" i="2"/>
  <c r="C327" i="2"/>
  <c r="C102" i="2"/>
  <c r="C274" i="2"/>
  <c r="C69" i="2"/>
  <c r="C74" i="2"/>
  <c r="C305" i="2"/>
  <c r="C189" i="2"/>
  <c r="C131" i="2"/>
  <c r="C180" i="2"/>
  <c r="C61" i="2"/>
  <c r="C170" i="2"/>
  <c r="C155" i="2"/>
  <c r="C97" i="2"/>
  <c r="C252" i="2"/>
  <c r="C246" i="2"/>
  <c r="C366" i="2"/>
</calcChain>
</file>

<file path=xl/sharedStrings.xml><?xml version="1.0" encoding="utf-8"?>
<sst xmlns="http://schemas.openxmlformats.org/spreadsheetml/2006/main" count="760" uniqueCount="484">
  <si>
    <t>Team</t>
  </si>
  <si>
    <t>Duke</t>
  </si>
  <si>
    <t>Arizona</t>
  </si>
  <si>
    <t>Michigan</t>
  </si>
  <si>
    <t>Florida</t>
  </si>
  <si>
    <t>Gonzaga</t>
  </si>
  <si>
    <t>Houston</t>
  </si>
  <si>
    <t>Purdue</t>
  </si>
  <si>
    <t>Arkansas</t>
  </si>
  <si>
    <t>Michigan State</t>
  </si>
  <si>
    <t>Tennessee</t>
  </si>
  <si>
    <t>Texas Tech</t>
  </si>
  <si>
    <t>Alabama</t>
  </si>
  <si>
    <t>Illinois</t>
  </si>
  <si>
    <t>Iowa State</t>
  </si>
  <si>
    <t>Vanderbilt</t>
  </si>
  <si>
    <t>UConn</t>
  </si>
  <si>
    <t>Kentucky</t>
  </si>
  <si>
    <t>Louisville</t>
  </si>
  <si>
    <t>Auburn</t>
  </si>
  <si>
    <t>Kansas</t>
  </si>
  <si>
    <t>Utah State</t>
  </si>
  <si>
    <t>BYU</t>
  </si>
  <si>
    <t>UCLA</t>
  </si>
  <si>
    <t>Nebraska</t>
  </si>
  <si>
    <t>Texas</t>
  </si>
  <si>
    <t>Wisconsin</t>
  </si>
  <si>
    <t>Santa Clara</t>
  </si>
  <si>
    <t>Iowa</t>
  </si>
  <si>
    <t>Georgia</t>
  </si>
  <si>
    <t>St. John's</t>
  </si>
  <si>
    <t>Saint Mary's</t>
  </si>
  <si>
    <t>San Diego State</t>
  </si>
  <si>
    <t>Ohio State</t>
  </si>
  <si>
    <t>SMU</t>
  </si>
  <si>
    <t>North Carolina</t>
  </si>
  <si>
    <t>Baylor</t>
  </si>
  <si>
    <t>Texas A&amp;M</t>
  </si>
  <si>
    <t>Saint Louis</t>
  </si>
  <si>
    <t>Indiana</t>
  </si>
  <si>
    <t>Virginia</t>
  </si>
  <si>
    <t>Cincinnati</t>
  </si>
  <si>
    <t>NC State</t>
  </si>
  <si>
    <t>UCF</t>
  </si>
  <si>
    <t>Villanova</t>
  </si>
  <si>
    <t>New Mexico</t>
  </si>
  <si>
    <t>TCU</t>
  </si>
  <si>
    <t>Oklahoma</t>
  </si>
  <si>
    <t>Washington</t>
  </si>
  <si>
    <t>LSU</t>
  </si>
  <si>
    <t>Missouri</t>
  </si>
  <si>
    <t>Arizona State</t>
  </si>
  <si>
    <t>Boise State</t>
  </si>
  <si>
    <t>Miami</t>
  </si>
  <si>
    <t>Stanford</t>
  </si>
  <si>
    <t>South Florida</t>
  </si>
  <si>
    <t>Clemson</t>
  </si>
  <si>
    <t>Wake Forest</t>
  </si>
  <si>
    <t>Akron</t>
  </si>
  <si>
    <t>Oklahoma State</t>
  </si>
  <si>
    <t>High Point</t>
  </si>
  <si>
    <t>Southern California</t>
  </si>
  <si>
    <t>Northwestern</t>
  </si>
  <si>
    <t>VCU</t>
  </si>
  <si>
    <t>Nevada</t>
  </si>
  <si>
    <t>Colorado</t>
  </si>
  <si>
    <t>California</t>
  </si>
  <si>
    <t>Sam Houston</t>
  </si>
  <si>
    <t>Belmont</t>
  </si>
  <si>
    <t>Seton Hall</t>
  </si>
  <si>
    <t>Oregon</t>
  </si>
  <si>
    <t>Ole Miss</t>
  </si>
  <si>
    <t>Grand Canyon</t>
  </si>
  <si>
    <t>West Virginia</t>
  </si>
  <si>
    <t>George Washington</t>
  </si>
  <si>
    <t>Kansas State</t>
  </si>
  <si>
    <t>Colorado State</t>
  </si>
  <si>
    <t>Northern Iowa</t>
  </si>
  <si>
    <t>Miami (OH)</t>
  </si>
  <si>
    <t>Notre Dame</t>
  </si>
  <si>
    <t>Virginia Tech</t>
  </si>
  <si>
    <t>UNLV</t>
  </si>
  <si>
    <t>Florida State</t>
  </si>
  <si>
    <t>Utah Valley</t>
  </si>
  <si>
    <t>Minnesota</t>
  </si>
  <si>
    <t>Middle Tennessee</t>
  </si>
  <si>
    <t>Wichita State</t>
  </si>
  <si>
    <t>Butler</t>
  </si>
  <si>
    <t>Providence</t>
  </si>
  <si>
    <t>McNeese</t>
  </si>
  <si>
    <t>Utah</t>
  </si>
  <si>
    <t>Yale</t>
  </si>
  <si>
    <t>Kennesaw State</t>
  </si>
  <si>
    <t>Creighton</t>
  </si>
  <si>
    <t>Dayton</t>
  </si>
  <si>
    <t>Western Kentucky</t>
  </si>
  <si>
    <t>Liberty</t>
  </si>
  <si>
    <t>Xavier</t>
  </si>
  <si>
    <t>Seattle</t>
  </si>
  <si>
    <t>Mississippi State</t>
  </si>
  <si>
    <t>Illinois State</t>
  </si>
  <si>
    <t>South Carolina</t>
  </si>
  <si>
    <t>Syracuse</t>
  </si>
  <si>
    <t>Murray State</t>
  </si>
  <si>
    <t>Washington State</t>
  </si>
  <si>
    <t>Davidson</t>
  </si>
  <si>
    <t>Bradley</t>
  </si>
  <si>
    <t>Tulsa</t>
  </si>
  <si>
    <t>Memphis</t>
  </si>
  <si>
    <t>Montana State</t>
  </si>
  <si>
    <t>Winthrop</t>
  </si>
  <si>
    <t>UT Rio Grande Valley</t>
  </si>
  <si>
    <t>Bowling Green</t>
  </si>
  <si>
    <t>New Mexico State</t>
  </si>
  <si>
    <t>San Francisco</t>
  </si>
  <si>
    <t>Marquette</t>
  </si>
  <si>
    <t>UC Irvine</t>
  </si>
  <si>
    <t>Duquesne</t>
  </si>
  <si>
    <t>Pittsburgh</t>
  </si>
  <si>
    <t>DePaul</t>
  </si>
  <si>
    <t>Jacksonville State</t>
  </si>
  <si>
    <t>Southern Illinois</t>
  </si>
  <si>
    <t>Florida Atlantic</t>
  </si>
  <si>
    <t>Georgetown</t>
  </si>
  <si>
    <t>Maryland</t>
  </si>
  <si>
    <t>UIC</t>
  </si>
  <si>
    <t>Kent State</t>
  </si>
  <si>
    <t>Fresno State</t>
  </si>
  <si>
    <t>Stephen F. Austin</t>
  </si>
  <si>
    <t>Wyoming</t>
  </si>
  <si>
    <t>Pacific</t>
  </si>
  <si>
    <t>Penn State</t>
  </si>
  <si>
    <t>California Baptist</t>
  </si>
  <si>
    <t>Portland State</t>
  </si>
  <si>
    <t>Northern Colorado</t>
  </si>
  <si>
    <t>St. Thomas - Minnesota</t>
  </si>
  <si>
    <t>St. Bonaventure</t>
  </si>
  <si>
    <t>Toledo</t>
  </si>
  <si>
    <t>North Dakota State</t>
  </si>
  <si>
    <t>Idaho</t>
  </si>
  <si>
    <t>UNC Wilmington</t>
  </si>
  <si>
    <t>North Texas</t>
  </si>
  <si>
    <t>Florida International</t>
  </si>
  <si>
    <t>George Mason</t>
  </si>
  <si>
    <t>Missouri State</t>
  </si>
  <si>
    <t>Abilene Christian</t>
  </si>
  <si>
    <t>UT Arlington</t>
  </si>
  <si>
    <t>Loyola Marymount</t>
  </si>
  <si>
    <t>Tarleton</t>
  </si>
  <si>
    <t>Richmond</t>
  </si>
  <si>
    <t>East Tennessee State</t>
  </si>
  <si>
    <t>UC Santa Barbara</t>
  </si>
  <si>
    <t>Cornell</t>
  </si>
  <si>
    <t>Rutgers</t>
  </si>
  <si>
    <t>Hawaii</t>
  </si>
  <si>
    <t>William &amp; Mary</t>
  </si>
  <si>
    <t>UC San Diego</t>
  </si>
  <si>
    <t>Weber State</t>
  </si>
  <si>
    <t>Texas A&amp;M-CC</t>
  </si>
  <si>
    <t>Rhode Island</t>
  </si>
  <si>
    <t>Wright State</t>
  </si>
  <si>
    <t>Montana</t>
  </si>
  <si>
    <t>UAB</t>
  </si>
  <si>
    <t>Mercer</t>
  </si>
  <si>
    <t>UMass</t>
  </si>
  <si>
    <t>San Diego</t>
  </si>
  <si>
    <t>Oregon State</t>
  </si>
  <si>
    <t>Louisiana Tech</t>
  </si>
  <si>
    <t>Eastern Washington</t>
  </si>
  <si>
    <t>Utah Tech</t>
  </si>
  <si>
    <t>Columbia</t>
  </si>
  <si>
    <t>Drake</t>
  </si>
  <si>
    <t>Portland</t>
  </si>
  <si>
    <t>CSU Fullerton</t>
  </si>
  <si>
    <t>Austin Peay</t>
  </si>
  <si>
    <t>UTEP</t>
  </si>
  <si>
    <t>Idaho State</t>
  </si>
  <si>
    <t>Northern Kentucky</t>
  </si>
  <si>
    <t>San Jose State</t>
  </si>
  <si>
    <t>Troy</t>
  </si>
  <si>
    <t>Campbell</t>
  </si>
  <si>
    <t>Oakland</t>
  </si>
  <si>
    <t>Hofstra</t>
  </si>
  <si>
    <t>CSU Northridge</t>
  </si>
  <si>
    <t>Robert Morris</t>
  </si>
  <si>
    <t>Valparaiso</t>
  </si>
  <si>
    <t>Tennessee State</t>
  </si>
  <si>
    <t>Arkansas State</t>
  </si>
  <si>
    <t>Temple</t>
  </si>
  <si>
    <t>Western Carolina</t>
  </si>
  <si>
    <t>UC Davis</t>
  </si>
  <si>
    <t>South Dakota State</t>
  </si>
  <si>
    <t>Boston College</t>
  </si>
  <si>
    <t>Fordham</t>
  </si>
  <si>
    <t>Ohio</t>
  </si>
  <si>
    <t>Sacramento State</t>
  </si>
  <si>
    <t>St. Joseph's</t>
  </si>
  <si>
    <t>Central Arkansas</t>
  </si>
  <si>
    <t>Lamar</t>
  </si>
  <si>
    <t>Radford</t>
  </si>
  <si>
    <t>Incarnate Word</t>
  </si>
  <si>
    <t>Southern Utah</t>
  </si>
  <si>
    <t>Rice</t>
  </si>
  <si>
    <t>Youngstown State</t>
  </si>
  <si>
    <t>Lipscomb</t>
  </si>
  <si>
    <t>Southeast Missouri State</t>
  </si>
  <si>
    <t>Furman</t>
  </si>
  <si>
    <t>Charlotte</t>
  </si>
  <si>
    <t>Charleston</t>
  </si>
  <si>
    <t>Marshall</t>
  </si>
  <si>
    <t>Pepperdine</t>
  </si>
  <si>
    <t>Buffalo</t>
  </si>
  <si>
    <t>Samford</t>
  </si>
  <si>
    <t>Indiana State</t>
  </si>
  <si>
    <t>Nicholls</t>
  </si>
  <si>
    <t>New Orleans</t>
  </si>
  <si>
    <t>Northern Arizona</t>
  </si>
  <si>
    <t>UNC Asheville</t>
  </si>
  <si>
    <t>Denver</t>
  </si>
  <si>
    <t>Detroit</t>
  </si>
  <si>
    <t>Cal Poly</t>
  </si>
  <si>
    <t>Pennsylvania</t>
  </si>
  <si>
    <t>Purdue Fort Wayne</t>
  </si>
  <si>
    <t>Elon</t>
  </si>
  <si>
    <t>Georgia Tech</t>
  </si>
  <si>
    <t>UT Martin</t>
  </si>
  <si>
    <t>La Salle</t>
  </si>
  <si>
    <t>Long Beach State</t>
  </si>
  <si>
    <t>Eastern Michigan</t>
  </si>
  <si>
    <t>Wofford</t>
  </si>
  <si>
    <t>North Dakota</t>
  </si>
  <si>
    <t>Green Bay</t>
  </si>
  <si>
    <t>Omaha</t>
  </si>
  <si>
    <t>Chattanooga</t>
  </si>
  <si>
    <t>Evansville</t>
  </si>
  <si>
    <t>Queens University</t>
  </si>
  <si>
    <t>Brown</t>
  </si>
  <si>
    <t>Towson</t>
  </si>
  <si>
    <t>Tulane</t>
  </si>
  <si>
    <t>Lindenwood</t>
  </si>
  <si>
    <t>Milwaukee</t>
  </si>
  <si>
    <t>Monmouth</t>
  </si>
  <si>
    <t>Dartmouth</t>
  </si>
  <si>
    <t>Charleston Southern</t>
  </si>
  <si>
    <t>Central Michigan</t>
  </si>
  <si>
    <t>Harvard</t>
  </si>
  <si>
    <t>Appalachian State</t>
  </si>
  <si>
    <t>South Alabama</t>
  </si>
  <si>
    <t>South Carolina Upstate</t>
  </si>
  <si>
    <t>Stony Brook</t>
  </si>
  <si>
    <t>UC Riverside</t>
  </si>
  <si>
    <t>Presbyterian</t>
  </si>
  <si>
    <t>Western Michigan</t>
  </si>
  <si>
    <t>Florida Gulf Coast</t>
  </si>
  <si>
    <t>Morehead State</t>
  </si>
  <si>
    <t>Oral Roberts</t>
  </si>
  <si>
    <t>UNC Greensboro</t>
  </si>
  <si>
    <t>Longwood</t>
  </si>
  <si>
    <t>Eastern Kentucky</t>
  </si>
  <si>
    <t>SIU Edwardsville</t>
  </si>
  <si>
    <t>James Madison</t>
  </si>
  <si>
    <t>Bellarmine</t>
  </si>
  <si>
    <t>East Texas A&amp;M</t>
  </si>
  <si>
    <t>Northwestern State</t>
  </si>
  <si>
    <t>Hampton</t>
  </si>
  <si>
    <t>East Carolina</t>
  </si>
  <si>
    <t>South Dakota</t>
  </si>
  <si>
    <t>IU Indianapolis</t>
  </si>
  <si>
    <t>Princeton</t>
  </si>
  <si>
    <t>Drexel</t>
  </si>
  <si>
    <t>Georgia Southern</t>
  </si>
  <si>
    <t>Ball State</t>
  </si>
  <si>
    <t>Old Dominion</t>
  </si>
  <si>
    <t>Southern Miss</t>
  </si>
  <si>
    <t>Texas State</t>
  </si>
  <si>
    <t>Long Island University</t>
  </si>
  <si>
    <t>North Carolina A&amp;T</t>
  </si>
  <si>
    <t>Loyola Chicago</t>
  </si>
  <si>
    <t>Navy</t>
  </si>
  <si>
    <t>Delaware</t>
  </si>
  <si>
    <t>Houston Christian</t>
  </si>
  <si>
    <t>Eastern Illinois</t>
  </si>
  <si>
    <t>Coastal Carolina</t>
  </si>
  <si>
    <t>Jacksonville</t>
  </si>
  <si>
    <t>Tennessee Tech</t>
  </si>
  <si>
    <t>Northern Illinois</t>
  </si>
  <si>
    <t>Colgate</t>
  </si>
  <si>
    <t>American University</t>
  </si>
  <si>
    <t>Little Rock</t>
  </si>
  <si>
    <t>Cleveland State</t>
  </si>
  <si>
    <t>Southern</t>
  </si>
  <si>
    <t>CSU Bakersfield</t>
  </si>
  <si>
    <t>SE Louisiana</t>
  </si>
  <si>
    <t>Howard</t>
  </si>
  <si>
    <t>Northeastern</t>
  </si>
  <si>
    <t>The Citadel</t>
  </si>
  <si>
    <t>West Georgia</t>
  </si>
  <si>
    <t>Air Force</t>
  </si>
  <si>
    <t>UTSA</t>
  </si>
  <si>
    <t>Le Moyne</t>
  </si>
  <si>
    <t>Vermont</t>
  </si>
  <si>
    <t>Albany</t>
  </si>
  <si>
    <t>Norfolk State</t>
  </si>
  <si>
    <t>Georgia State</t>
  </si>
  <si>
    <t>Mercyhurst</t>
  </si>
  <si>
    <t>UMBC</t>
  </si>
  <si>
    <t>Louisiana</t>
  </si>
  <si>
    <t>North Florida</t>
  </si>
  <si>
    <t>Marist</t>
  </si>
  <si>
    <t>VMI</t>
  </si>
  <si>
    <t>Boston University</t>
  </si>
  <si>
    <t>Stetson</t>
  </si>
  <si>
    <t>Saint Peter's</t>
  </si>
  <si>
    <t>Kansas City</t>
  </si>
  <si>
    <t>Southern Indiana</t>
  </si>
  <si>
    <t>UMass Lowell</t>
  </si>
  <si>
    <t>Siena</t>
  </si>
  <si>
    <t>Quinnipiac</t>
  </si>
  <si>
    <t>Lehigh Mountain</t>
  </si>
  <si>
    <t>Prairie View A&amp;M</t>
  </si>
  <si>
    <t>Central Connecticut</t>
  </si>
  <si>
    <t>Merrimack</t>
  </si>
  <si>
    <t>North Carolina Central</t>
  </si>
  <si>
    <t>North Alabama</t>
  </si>
  <si>
    <t>Wagner</t>
  </si>
  <si>
    <t>Iona</t>
  </si>
  <si>
    <t>Loyola (MD)</t>
  </si>
  <si>
    <t>Bethune-Cookman</t>
  </si>
  <si>
    <t>Fairfield</t>
  </si>
  <si>
    <t>Fairleigh Dickinson</t>
  </si>
  <si>
    <t>Grambling</t>
  </si>
  <si>
    <t>Gardner-Webb</t>
  </si>
  <si>
    <t>Texas Southern</t>
  </si>
  <si>
    <t>Western Illinois</t>
  </si>
  <si>
    <t>New Haven</t>
  </si>
  <si>
    <t>Morgan State</t>
  </si>
  <si>
    <t>Alabama State</t>
  </si>
  <si>
    <t>Chicago State</t>
  </si>
  <si>
    <t>NJIT</t>
  </si>
  <si>
    <t>Alabama A&amp;M</t>
  </si>
  <si>
    <t>Arkansas-Pine Bluff</t>
  </si>
  <si>
    <t>Mount St. Mary's</t>
  </si>
  <si>
    <t>Army</t>
  </si>
  <si>
    <t>Lafayette</t>
  </si>
  <si>
    <t>New Hampshire</t>
  </si>
  <si>
    <t>Bucknell</t>
  </si>
  <si>
    <t>Holy Cross</t>
  </si>
  <si>
    <t>Stonehill</t>
  </si>
  <si>
    <t>Florida A&amp;M</t>
  </si>
  <si>
    <t>Maryland-Eastern Shore</t>
  </si>
  <si>
    <t>Bryant</t>
  </si>
  <si>
    <t>South Carolina State</t>
  </si>
  <si>
    <t>Sacred Heart</t>
  </si>
  <si>
    <t>Maine</t>
  </si>
  <si>
    <t>UL Monroe</t>
  </si>
  <si>
    <t>Jackson State</t>
  </si>
  <si>
    <t>Canisius</t>
  </si>
  <si>
    <t>Niagara</t>
  </si>
  <si>
    <t>Manhatten</t>
  </si>
  <si>
    <t>Rider</t>
  </si>
  <si>
    <t>Alcorn State</t>
  </si>
  <si>
    <t>Delaware State</t>
  </si>
  <si>
    <t>Coppin State</t>
  </si>
  <si>
    <t>Binghamton</t>
  </si>
  <si>
    <t>Mississippi Valley State</t>
  </si>
  <si>
    <t>New Rank</t>
  </si>
  <si>
    <t>Rating</t>
  </si>
  <si>
    <t>TeamOpp</t>
  </si>
  <si>
    <t>Margin</t>
  </si>
  <si>
    <t>Blowout Potential</t>
  </si>
  <si>
    <t>Kelly %</t>
  </si>
  <si>
    <t>EV %</t>
  </si>
  <si>
    <t>Game</t>
  </si>
  <si>
    <t>Round of 32 Prob</t>
  </si>
  <si>
    <t>Round of 16 Prob</t>
  </si>
  <si>
    <t>Elite 8 Prob</t>
  </si>
  <si>
    <t>Final Four Prob</t>
  </si>
  <si>
    <t>Champ Game Prob</t>
  </si>
  <si>
    <t>Champion Prob</t>
  </si>
  <si>
    <t>Region</t>
  </si>
  <si>
    <t>Seed</t>
  </si>
  <si>
    <t>Midwest</t>
  </si>
  <si>
    <t>West</t>
  </si>
  <si>
    <t>East</t>
  </si>
  <si>
    <t>South</t>
  </si>
  <si>
    <t>Uconn</t>
  </si>
  <si>
    <t>Units</t>
  </si>
  <si>
    <t>W</t>
  </si>
  <si>
    <t>L</t>
  </si>
  <si>
    <t>ROI</t>
  </si>
  <si>
    <t>CLV</t>
  </si>
  <si>
    <t>Bet</t>
  </si>
  <si>
    <t>Date</t>
  </si>
  <si>
    <t>Last 10W</t>
  </si>
  <si>
    <t>Last10L</t>
  </si>
  <si>
    <t>Game #</t>
  </si>
  <si>
    <t>Win/Loss/Push</t>
  </si>
  <si>
    <t>Running CLV</t>
  </si>
  <si>
    <t>Running Profit</t>
  </si>
  <si>
    <t>Profit</t>
  </si>
  <si>
    <t>Stake</t>
  </si>
  <si>
    <t>Team Position</t>
  </si>
  <si>
    <t>Market Spread</t>
  </si>
  <si>
    <t>Last Rank</t>
  </si>
  <si>
    <t>Category</t>
  </si>
  <si>
    <t>Odds</t>
  </si>
  <si>
    <t>Current Odds</t>
  </si>
  <si>
    <t>Status</t>
  </si>
  <si>
    <t>Notes</t>
  </si>
  <si>
    <t>Result</t>
  </si>
  <si>
    <t>PnL</t>
  </si>
  <si>
    <t>Title</t>
  </si>
  <si>
    <t>Open</t>
  </si>
  <si>
    <t>Season</t>
  </si>
  <si>
    <t>2025-26</t>
  </si>
  <si>
    <t>05/02/2025</t>
  </si>
  <si>
    <t>04/25/2025</t>
  </si>
  <si>
    <t>Closing Odds</t>
  </si>
  <si>
    <t>Closing Line</t>
  </si>
  <si>
    <t>%</t>
  </si>
  <si>
    <t>Position Line</t>
  </si>
  <si>
    <t>Position Odds</t>
  </si>
  <si>
    <t>03/08/2026</t>
  </si>
  <si>
    <t>03/09/2026</t>
  </si>
  <si>
    <t>03/10/2026</t>
  </si>
  <si>
    <t>03/11/2026</t>
  </si>
  <si>
    <t>03/12/2026</t>
  </si>
  <si>
    <t>03/13/2026</t>
  </si>
  <si>
    <t>Matchup</t>
  </si>
  <si>
    <t>MST/LT</t>
  </si>
  <si>
    <t>TENN/VAN</t>
  </si>
  <si>
    <t>DAV/LOY</t>
  </si>
  <si>
    <t>XU/MARQ</t>
  </si>
  <si>
    <t>WAKE/VT</t>
  </si>
  <si>
    <t>WEB/EWASH</t>
  </si>
  <si>
    <t>ILL/MD</t>
  </si>
  <si>
    <t>DAV/STJOE</t>
  </si>
  <si>
    <t>03/14/2026</t>
  </si>
  <si>
    <t>STJOE/VCU</t>
  </si>
  <si>
    <t>MISS/ARK</t>
  </si>
  <si>
    <t>KENN/LT</t>
  </si>
  <si>
    <t>Show</t>
  </si>
  <si>
    <t>No</t>
  </si>
  <si>
    <t>East Region Winner</t>
  </si>
  <si>
    <t>Midwest Region Winner</t>
  </si>
  <si>
    <t>Closed</t>
  </si>
  <si>
    <t>Reach Sweet 16 - Yes</t>
  </si>
  <si>
    <t>Reach Sweet 16 - No</t>
  </si>
  <si>
    <t>03/17/2026</t>
  </si>
  <si>
    <t>HOW/UMBC</t>
  </si>
  <si>
    <t>03/19/2026</t>
  </si>
  <si>
    <t>ARK/HAWAII</t>
  </si>
  <si>
    <t>MSU/NDSU</t>
  </si>
  <si>
    <t>NEB/TROY</t>
  </si>
  <si>
    <t>VAN/MCN</t>
  </si>
  <si>
    <t>03/20/2026</t>
  </si>
  <si>
    <t>ALA/HOFS</t>
  </si>
  <si>
    <t>TEN/MIAOH</t>
  </si>
  <si>
    <t>03/22/2026</t>
  </si>
  <si>
    <t>PUR/MIA</t>
  </si>
  <si>
    <t>TENN/UVA</t>
  </si>
  <si>
    <t>03/27/2026</t>
  </si>
  <si>
    <t>MSU/UCONN</t>
  </si>
  <si>
    <t>TENN/ISU</t>
  </si>
  <si>
    <t>Hedge Tennesse Region Position; lock in 1.47 units</t>
  </si>
  <si>
    <t>Hedged position to lock in 7.5 units</t>
  </si>
  <si>
    <t>2026-27</t>
  </si>
  <si>
    <t>04/11/2026</t>
  </si>
  <si>
    <t>03/15/2026</t>
  </si>
  <si>
    <t>03/16/2026</t>
  </si>
  <si>
    <t>04/15/2026</t>
  </si>
  <si>
    <t>USC</t>
  </si>
  <si>
    <t>04/18/2026</t>
  </si>
  <si>
    <t>04/20/2026</t>
  </si>
  <si>
    <t>Wooden Award Winner</t>
  </si>
  <si>
    <t>Braden Huff</t>
  </si>
  <si>
    <t>07/01/2026</t>
  </si>
  <si>
    <t>Robert Wright</t>
  </si>
  <si>
    <t>08/22/2026</t>
  </si>
  <si>
    <t>08/23/2026</t>
  </si>
  <si>
    <t>P25</t>
  </si>
  <si>
    <t>Show Bars</t>
  </si>
  <si>
    <t>P90</t>
  </si>
  <si>
    <t>West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</si>
</sst>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[$-1009]mmmm\ d\,\ yyyy;@"/>
    <numFmt numFmtId="166" formatCode="0.0%"/>
    <numFmt numFmtId="167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0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kevans/Desktop/Game%20Spreads.xlsx" TargetMode="External"/><Relationship Id="rId1" Type="http://schemas.openxmlformats.org/officeDocument/2006/relationships/externalLinkPath" Target="Game%20Spread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kevans/Desktop/NewData.xlsx" TargetMode="External"/><Relationship Id="rId1" Type="http://schemas.openxmlformats.org/officeDocument/2006/relationships/externalLinkPath" Target="New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kevans/Desktop/College%20Ball%20Model%20Summer%2026-27.xlsx" TargetMode="External"/><Relationship Id="rId1" Type="http://schemas.openxmlformats.org/officeDocument/2006/relationships/externalLinkPath" Target="College%20Ball%20Model%20Summer%2026-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kevans/Desktop/2026-27%20Team%20Rating%2010.04.26.xlsx" TargetMode="External"/><Relationship Id="rId1" Type="http://schemas.openxmlformats.org/officeDocument/2006/relationships/externalLinkPath" Target="2026-27%20Team%20Rating%2010.04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mes"/>
    </sheetNames>
    <sheetDataSet>
      <sheetData sheetId="0">
        <row r="2">
          <cell r="B2">
            <v>1</v>
          </cell>
          <cell r="C2" t="str">
            <v>Villanova</v>
          </cell>
          <cell r="D2" t="str">
            <v>Notre Dame</v>
          </cell>
          <cell r="E2">
            <v>8.1179525261622754</v>
          </cell>
          <cell r="F2" t="b">
            <v>0</v>
          </cell>
          <cell r="G2">
            <v>0.52785224338301295</v>
          </cell>
          <cell r="H2">
            <v>0</v>
          </cell>
          <cell r="I2">
            <v>7.7179191857520424E-3</v>
          </cell>
          <cell r="J2">
            <v>0.32427871109524292</v>
          </cell>
          <cell r="K2">
            <v>0</v>
          </cell>
        </row>
        <row r="3">
          <cell r="B3">
            <v>2</v>
          </cell>
          <cell r="C3" t="str">
            <v>Northern Illinois</v>
          </cell>
          <cell r="D3" t="str">
            <v>Grambling</v>
          </cell>
          <cell r="E3">
            <v>5.1713162326080644</v>
          </cell>
          <cell r="F3" t="b">
            <v>0</v>
          </cell>
          <cell r="G3">
            <v>0.60284086826988004</v>
          </cell>
          <cell r="H3">
            <v>0</v>
          </cell>
          <cell r="I3">
            <v>0.1508780212424983</v>
          </cell>
          <cell r="J3">
            <v>0.40773184958924902</v>
          </cell>
          <cell r="K3">
            <v>0</v>
          </cell>
        </row>
        <row r="4">
          <cell r="B4">
            <v>3</v>
          </cell>
          <cell r="C4" t="str">
            <v>Purdue</v>
          </cell>
          <cell r="D4" t="str">
            <v>Gonzaga</v>
          </cell>
          <cell r="E4">
            <v>0.72269731882396893</v>
          </cell>
          <cell r="F4" t="b">
            <v>0</v>
          </cell>
          <cell r="G4">
            <v>0.56756122054046476</v>
          </cell>
          <cell r="H4">
            <v>0</v>
          </cell>
          <cell r="I4">
            <v>8.3525966486341918E-2</v>
          </cell>
          <cell r="J4">
            <v>0.18518069556238659</v>
          </cell>
          <cell r="K4">
            <v>0</v>
          </cell>
        </row>
        <row r="5">
          <cell r="B5">
            <v>4</v>
          </cell>
          <cell r="C5" t="str">
            <v>Ohio State</v>
          </cell>
          <cell r="D5" t="str">
            <v>BYU</v>
          </cell>
          <cell r="E5">
            <v>3.3769311909996458</v>
          </cell>
          <cell r="F5" t="b">
            <v>0</v>
          </cell>
          <cell r="G5">
            <v>0.55904887053874663</v>
          </cell>
          <cell r="H5">
            <v>0</v>
          </cell>
          <cell r="I5">
            <v>6.7275116483061836E-2</v>
          </cell>
          <cell r="J5">
            <v>0.2489998397894316</v>
          </cell>
          <cell r="K5">
            <v>0</v>
          </cell>
        </row>
        <row r="6">
          <cell r="B6">
            <v>5</v>
          </cell>
          <cell r="C6" t="str">
            <v>Arizona</v>
          </cell>
          <cell r="D6" t="str">
            <v>UCLA</v>
          </cell>
          <cell r="E6">
            <v>7.8875642786777336</v>
          </cell>
          <cell r="F6" t="b">
            <v>0</v>
          </cell>
          <cell r="G6">
            <v>0.54695538218646655</v>
          </cell>
          <cell r="H6">
            <v>0</v>
          </cell>
          <cell r="I6">
            <v>4.4187547810527077E-2</v>
          </cell>
          <cell r="J6">
            <v>0.36130449832853878</v>
          </cell>
          <cell r="K6">
            <v>0</v>
          </cell>
        </row>
        <row r="7">
          <cell r="B7">
            <v>6</v>
          </cell>
          <cell r="C7" t="str">
            <v>Florida</v>
          </cell>
          <cell r="D7" t="str">
            <v>Miami</v>
          </cell>
          <cell r="E7">
            <v>6.9922317381793144</v>
          </cell>
          <cell r="F7" t="b">
            <v>0</v>
          </cell>
          <cell r="G7">
            <v>0.54954603333129759</v>
          </cell>
          <cell r="H7">
            <v>0</v>
          </cell>
          <cell r="I7">
            <v>4.9133336359749979E-2</v>
          </cell>
          <cell r="J7">
            <v>0.33970703112084538</v>
          </cell>
          <cell r="K7">
            <v>0</v>
          </cell>
        </row>
        <row r="8">
          <cell r="B8">
            <v>7</v>
          </cell>
          <cell r="C8" t="str">
            <v>McNeese</v>
          </cell>
          <cell r="D8" t="str">
            <v>UAB</v>
          </cell>
          <cell r="E8">
            <v>1.65469897065302</v>
          </cell>
          <cell r="F8" t="b">
            <v>0</v>
          </cell>
          <cell r="G8">
            <v>0.51631963954247218</v>
          </cell>
          <cell r="H8">
            <v>0</v>
          </cell>
          <cell r="I8">
            <v>-1.429886996437124E-2</v>
          </cell>
          <cell r="J8">
            <v>9.2182420860521308E-2</v>
          </cell>
          <cell r="K8">
            <v>0</v>
          </cell>
        </row>
        <row r="9">
          <cell r="B9">
            <v>8</v>
          </cell>
          <cell r="C9" t="str">
            <v>Memphis</v>
          </cell>
          <cell r="D9" t="str">
            <v>Iowa State</v>
          </cell>
          <cell r="E9">
            <v>-7.4314760854493311</v>
          </cell>
          <cell r="F9" t="b">
            <v>0</v>
          </cell>
          <cell r="G9">
            <v>0.63609220387952869</v>
          </cell>
          <cell r="H9">
            <v>0</v>
          </cell>
          <cell r="I9">
            <v>0.2143578437700093</v>
          </cell>
          <cell r="J9">
            <v>9.3449126500792068E-2</v>
          </cell>
          <cell r="K9">
            <v>0</v>
          </cell>
        </row>
        <row r="10">
          <cell r="B10">
            <v>9</v>
          </cell>
          <cell r="C10" t="str">
            <v>Miami (OH)</v>
          </cell>
          <cell r="D10" t="str">
            <v>James Madison</v>
          </cell>
          <cell r="E10">
            <v>2.8575591635471889</v>
          </cell>
          <cell r="F10" t="b">
            <v>0</v>
          </cell>
          <cell r="G10">
            <v>0.59526020456744455</v>
          </cell>
          <cell r="H10">
            <v>0</v>
          </cell>
          <cell r="I10">
            <v>0.13640584508330331</v>
          </cell>
          <cell r="J10">
            <v>0.31891682210474309</v>
          </cell>
          <cell r="K10">
            <v>0</v>
          </cell>
        </row>
        <row r="11">
          <cell r="B11">
            <v>10</v>
          </cell>
          <cell r="C11" t="str">
            <v>Seattle</v>
          </cell>
          <cell r="D11" t="str">
            <v>Hawaii</v>
          </cell>
          <cell r="E11">
            <v>2.1748265003180069</v>
          </cell>
          <cell r="F11" t="b">
            <v>0</v>
          </cell>
          <cell r="G11">
            <v>0.57864436831294319</v>
          </cell>
          <cell r="H11">
            <v>0</v>
          </cell>
          <cell r="I11">
            <v>0.10468470314289161</v>
          </cell>
          <cell r="J11">
            <v>0.25782256329457948</v>
          </cell>
          <cell r="K11">
            <v>0</v>
          </cell>
        </row>
        <row r="12">
          <cell r="B12">
            <v>11</v>
          </cell>
          <cell r="C12" t="str">
            <v>Davidson</v>
          </cell>
          <cell r="D12" t="str">
            <v>Washington State</v>
          </cell>
          <cell r="E12">
            <v>-0.56381231187247538</v>
          </cell>
          <cell r="F12" t="b">
            <v>1</v>
          </cell>
          <cell r="G12">
            <v>0.63298201508442564</v>
          </cell>
          <cell r="H12">
            <v>6.1704892670917638E-2</v>
          </cell>
          <cell r="I12">
            <v>0.20842021061572169</v>
          </cell>
          <cell r="J12">
            <v>0.3036612876835737</v>
          </cell>
          <cell r="K12">
            <v>0.61704892670917633</v>
          </cell>
        </row>
        <row r="13">
          <cell r="B13">
            <v>12</v>
          </cell>
          <cell r="C13" t="str">
            <v>Toledo</v>
          </cell>
          <cell r="D13" t="str">
            <v>Arkansas State</v>
          </cell>
          <cell r="E13">
            <v>4.461710463187063</v>
          </cell>
          <cell r="F13" t="b">
            <v>0</v>
          </cell>
          <cell r="G13">
            <v>0.56113871746189448</v>
          </cell>
          <cell r="H13">
            <v>0</v>
          </cell>
          <cell r="I13">
            <v>7.1264824245434899E-2</v>
          </cell>
          <cell r="J13">
            <v>0.28807135950824142</v>
          </cell>
          <cell r="K13">
            <v>0</v>
          </cell>
        </row>
        <row r="14">
          <cell r="B14">
            <v>13</v>
          </cell>
          <cell r="C14" t="str">
            <v>Liberty</v>
          </cell>
          <cell r="D14" t="str">
            <v>High Point</v>
          </cell>
          <cell r="E14">
            <v>-2.3901045038524522</v>
          </cell>
          <cell r="F14" t="b">
            <v>1</v>
          </cell>
          <cell r="G14">
            <v>0.66024009053768884</v>
          </cell>
          <cell r="H14">
            <v>8.4601676051658678E-2</v>
          </cell>
          <cell r="I14">
            <v>0.2604583546628606</v>
          </cell>
          <cell r="J14">
            <v>0.31467972847923009</v>
          </cell>
          <cell r="K14">
            <v>0.8460167605165867</v>
          </cell>
        </row>
        <row r="15">
          <cell r="B15">
            <v>14</v>
          </cell>
          <cell r="C15" t="str">
            <v>Pepperdine</v>
          </cell>
          <cell r="D15" t="str">
            <v>Cornell</v>
          </cell>
          <cell r="E15">
            <v>2.3798495019637218</v>
          </cell>
          <cell r="F15" t="b">
            <v>0</v>
          </cell>
          <cell r="G15">
            <v>0.58365023198182042</v>
          </cell>
          <cell r="H15">
            <v>0</v>
          </cell>
          <cell r="I15">
            <v>0.1142413519652936</v>
          </cell>
          <cell r="J15">
            <v>0.2762534943677174</v>
          </cell>
          <cell r="K15">
            <v>0</v>
          </cell>
        </row>
        <row r="16">
          <cell r="B16">
            <v>15</v>
          </cell>
          <cell r="C16" t="str">
            <v>Notre Dame</v>
          </cell>
          <cell r="D16" t="str">
            <v>Villanova</v>
          </cell>
          <cell r="E16">
            <v>-3.7196251934795361</v>
          </cell>
          <cell r="F16" t="b">
            <v>0</v>
          </cell>
          <cell r="G16">
            <v>0.58122308852979743</v>
          </cell>
          <cell r="H16">
            <v>0</v>
          </cell>
          <cell r="I16">
            <v>0.1096077144659769</v>
          </cell>
          <cell r="J16">
            <v>7.6204172905462997E-2</v>
          </cell>
          <cell r="K16">
            <v>0</v>
          </cell>
        </row>
        <row r="17">
          <cell r="B17">
            <v>16</v>
          </cell>
          <cell r="C17" t="str">
            <v>Grambling</v>
          </cell>
          <cell r="D17" t="str">
            <v>Northern Illinois</v>
          </cell>
          <cell r="E17">
            <v>2.4882615742497571</v>
          </cell>
          <cell r="F17" t="b">
            <v>0</v>
          </cell>
          <cell r="G17">
            <v>0.58629181318951518</v>
          </cell>
          <cell r="H17">
            <v>0</v>
          </cell>
          <cell r="I17">
            <v>0.119284370634529</v>
          </cell>
          <cell r="J17">
            <v>0.28597196075428333</v>
          </cell>
          <cell r="K17">
            <v>0</v>
          </cell>
        </row>
        <row r="18">
          <cell r="B18">
            <v>17</v>
          </cell>
          <cell r="C18" t="str">
            <v>Gonzaga</v>
          </cell>
          <cell r="D18" t="str">
            <v>Purdue</v>
          </cell>
          <cell r="E18">
            <v>3.2816998452483652</v>
          </cell>
          <cell r="F18" t="b">
            <v>0</v>
          </cell>
          <cell r="G18">
            <v>0.53192362018184691</v>
          </cell>
          <cell r="H18">
            <v>0</v>
          </cell>
          <cell r="I18">
            <v>1.549054761988961E-2</v>
          </cell>
          <cell r="J18">
            <v>0.18144946659702729</v>
          </cell>
          <cell r="K18">
            <v>0</v>
          </cell>
        </row>
        <row r="19">
          <cell r="B19">
            <v>18</v>
          </cell>
          <cell r="C19" t="str">
            <v>BYU</v>
          </cell>
          <cell r="D19" t="str">
            <v>Ohio State</v>
          </cell>
          <cell r="E19">
            <v>2.7727011628168099</v>
          </cell>
          <cell r="F19" t="b">
            <v>0</v>
          </cell>
          <cell r="G19">
            <v>0.59320366909274624</v>
          </cell>
          <cell r="H19">
            <v>0</v>
          </cell>
          <cell r="I19">
            <v>0.13247973190433379</v>
          </cell>
          <cell r="J19">
            <v>0.31137009028448709</v>
          </cell>
          <cell r="K19">
            <v>0</v>
          </cell>
        </row>
        <row r="20">
          <cell r="B20">
            <v>19</v>
          </cell>
          <cell r="C20" t="str">
            <v>UCLA</v>
          </cell>
          <cell r="D20" t="str">
            <v>Arizona</v>
          </cell>
          <cell r="E20">
            <v>-1.4556014157620889</v>
          </cell>
          <cell r="F20" t="b">
            <v>0</v>
          </cell>
          <cell r="G20">
            <v>0.61180435508542075</v>
          </cell>
          <cell r="H20">
            <v>0</v>
          </cell>
          <cell r="I20">
            <v>0.1679901324358033</v>
          </cell>
          <cell r="J20">
            <v>0.22346459204280061</v>
          </cell>
          <cell r="K20">
            <v>0</v>
          </cell>
        </row>
        <row r="21">
          <cell r="B21">
            <v>20</v>
          </cell>
          <cell r="C21" t="str">
            <v>Miami</v>
          </cell>
          <cell r="D21" t="str">
            <v>Florida</v>
          </cell>
          <cell r="E21">
            <v>-2.070429350634198</v>
          </cell>
          <cell r="F21" t="b">
            <v>0</v>
          </cell>
          <cell r="G21">
            <v>0.57263950245258988</v>
          </cell>
          <cell r="H21">
            <v>0</v>
          </cell>
          <cell r="I21">
            <v>9.3220868318580674E-2</v>
          </cell>
          <cell r="J21">
            <v>0.1081992523684125</v>
          </cell>
          <cell r="K21">
            <v>0</v>
          </cell>
        </row>
        <row r="22">
          <cell r="B22">
            <v>21</v>
          </cell>
          <cell r="C22" t="str">
            <v>UAB</v>
          </cell>
          <cell r="D22" t="str">
            <v>McNeese</v>
          </cell>
          <cell r="E22">
            <v>2.4936524032841341</v>
          </cell>
          <cell r="F22" t="b">
            <v>0</v>
          </cell>
          <cell r="G22">
            <v>0.58642306594504889</v>
          </cell>
          <cell r="H22">
            <v>0</v>
          </cell>
          <cell r="I22">
            <v>0.11953494407691161</v>
          </cell>
          <cell r="J22">
            <v>0.28645469122327599</v>
          </cell>
          <cell r="K22">
            <v>0</v>
          </cell>
        </row>
        <row r="23">
          <cell r="B23">
            <v>22</v>
          </cell>
          <cell r="C23" t="str">
            <v>Iowa State</v>
          </cell>
          <cell r="D23" t="str">
            <v>Memphis</v>
          </cell>
          <cell r="E23">
            <v>11.74573716617118</v>
          </cell>
          <cell r="F23" t="b">
            <v>0</v>
          </cell>
          <cell r="G23">
            <v>0.53124165364079134</v>
          </cell>
          <cell r="H23">
            <v>0</v>
          </cell>
          <cell r="I23">
            <v>1.4188611496056269E-2</v>
          </cell>
          <cell r="J23">
            <v>0.30005196687851438</v>
          </cell>
          <cell r="K23">
            <v>0</v>
          </cell>
        </row>
        <row r="24">
          <cell r="B24">
            <v>23</v>
          </cell>
          <cell r="C24" t="str">
            <v>James Madison</v>
          </cell>
          <cell r="D24" t="str">
            <v>Miami (OH)</v>
          </cell>
          <cell r="E24">
            <v>1.7518546301283171</v>
          </cell>
          <cell r="F24" t="b">
            <v>0</v>
          </cell>
          <cell r="G24">
            <v>0.51873976559859303</v>
          </cell>
          <cell r="H24">
            <v>0</v>
          </cell>
          <cell r="I24">
            <v>-9.6786293117769318E-3</v>
          </cell>
          <cell r="J24">
            <v>0.1010826738357487</v>
          </cell>
          <cell r="K24">
            <v>0</v>
          </cell>
        </row>
        <row r="25">
          <cell r="B25">
            <v>24</v>
          </cell>
          <cell r="C25" t="str">
            <v>Hawaii</v>
          </cell>
          <cell r="D25" t="str">
            <v>Seattle</v>
          </cell>
          <cell r="E25">
            <v>3.6778192124833291</v>
          </cell>
          <cell r="F25" t="b">
            <v>0</v>
          </cell>
          <cell r="G25">
            <v>0.56645805756345513</v>
          </cell>
          <cell r="H25">
            <v>0</v>
          </cell>
          <cell r="I25">
            <v>8.1419928075687098E-2</v>
          </cell>
          <cell r="J25">
            <v>0.27607130395975221</v>
          </cell>
          <cell r="K25">
            <v>0</v>
          </cell>
        </row>
        <row r="26">
          <cell r="B26">
            <v>25</v>
          </cell>
          <cell r="C26" t="str">
            <v>Washington State</v>
          </cell>
          <cell r="D26" t="str">
            <v>Davidson</v>
          </cell>
          <cell r="E26">
            <v>7.202122441115133</v>
          </cell>
          <cell r="F26" t="b">
            <v>0</v>
          </cell>
          <cell r="G26">
            <v>0.52994541587847144</v>
          </cell>
          <cell r="H26">
            <v>0</v>
          </cell>
          <cell r="I26">
            <v>1.171397576799099E-2</v>
          </cell>
          <cell r="J26">
            <v>0.30062191872244598</v>
          </cell>
          <cell r="K26">
            <v>0</v>
          </cell>
        </row>
        <row r="27">
          <cell r="B27">
            <v>26</v>
          </cell>
          <cell r="C27" t="str">
            <v>Arkansas State</v>
          </cell>
          <cell r="D27" t="str">
            <v>Toledo</v>
          </cell>
          <cell r="E27">
            <v>0.3493936762607488</v>
          </cell>
          <cell r="F27" t="b">
            <v>0</v>
          </cell>
          <cell r="G27">
            <v>0.55836970163388266</v>
          </cell>
          <cell r="H27">
            <v>0</v>
          </cell>
          <cell r="I27">
            <v>6.5978521301048754E-2</v>
          </cell>
          <cell r="J27">
            <v>0.15115518816969639</v>
          </cell>
          <cell r="K27">
            <v>0</v>
          </cell>
        </row>
        <row r="28">
          <cell r="B28">
            <v>27</v>
          </cell>
          <cell r="C28" t="str">
            <v>High Point</v>
          </cell>
          <cell r="D28" t="str">
            <v>Liberty</v>
          </cell>
          <cell r="E28">
            <v>9.2215223811528944</v>
          </cell>
          <cell r="F28" t="b">
            <v>0</v>
          </cell>
          <cell r="G28">
            <v>0.50552323878643746</v>
          </cell>
          <cell r="H28">
            <v>0</v>
          </cell>
          <cell r="I28">
            <v>-3.4910180498619381E-2</v>
          </cell>
          <cell r="J28">
            <v>0.30681156445393459</v>
          </cell>
          <cell r="K28">
            <v>0</v>
          </cell>
        </row>
        <row r="29">
          <cell r="B29">
            <v>28</v>
          </cell>
          <cell r="C29" t="str">
            <v>Cornell</v>
          </cell>
          <cell r="D29" t="str">
            <v>Pepperdine</v>
          </cell>
          <cell r="E29">
            <v>3.3803911364087438</v>
          </cell>
          <cell r="F29" t="b">
            <v>0</v>
          </cell>
          <cell r="G29">
            <v>0.55913419233914563</v>
          </cell>
          <cell r="H29">
            <v>0</v>
          </cell>
          <cell r="I29">
            <v>6.743800355655083E-2</v>
          </cell>
          <cell r="J29">
            <v>0.24931189590345651</v>
          </cell>
          <cell r="K29">
            <v>0</v>
          </cell>
        </row>
        <row r="30">
          <cell r="B30">
            <v>29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>
            <v>30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>
            <v>31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>
            <v>32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>
            <v>33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>
            <v>34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>
            <v>35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36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>
            <v>37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B39">
            <v>38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>
            <v>39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B41">
            <v>40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41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42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B44">
            <v>43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B45">
            <v>44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B46">
            <v>45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B47">
            <v>46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B48">
            <v>47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48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B50">
            <v>49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B51">
            <v>50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B52">
            <v>51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B53">
            <v>52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B54">
            <v>53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B55">
            <v>54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B56">
            <v>55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B57">
            <v>56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B58">
            <v>57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>
            <v>58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B60">
            <v>59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>
            <v>60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>
            <v>61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>
            <v>62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B64">
            <v>63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B65">
            <v>64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>
            <v>65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B67">
            <v>66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B68">
            <v>67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>
            <v>68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>
            <v>69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B71">
            <v>70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>
            <v>71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>
            <v>72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73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B75">
            <v>74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B76">
            <v>75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>
            <v>76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B78">
            <v>77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B79">
            <v>78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>
            <v>79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B81">
            <v>80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B82">
            <v>81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B83">
            <v>82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B84">
            <v>83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B85">
            <v>84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>
            <v>85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>
            <v>86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B88">
            <v>87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B89">
            <v>88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B90">
            <v>89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B91">
            <v>90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B92">
            <v>91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B93">
            <v>92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B94">
            <v>93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B95">
            <v>94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95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B97">
            <v>96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B98">
            <v>97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B99">
            <v>98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B100">
            <v>99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B101">
            <v>100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B102">
            <v>101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102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103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104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105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106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107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108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109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B111">
            <v>110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B112">
            <v>111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B113">
            <v>112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B114">
            <v>113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B115">
            <v>114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B116">
            <v>115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B117">
            <v>116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B118">
            <v>117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B119">
            <v>118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B120">
            <v>119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B121">
            <v>120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B122">
            <v>121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B123">
            <v>122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</row>
        <row r="124">
          <cell r="B124">
            <v>123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B125">
            <v>124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B126">
            <v>125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B127">
            <v>126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B128">
            <v>127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B129">
            <v>128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B130">
            <v>129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B131">
            <v>130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B132">
            <v>131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>
            <v>132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B134">
            <v>133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B135">
            <v>134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B136">
            <v>135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B137">
            <v>136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B138">
            <v>137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B139">
            <v>138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B140">
            <v>139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B141">
            <v>140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B142">
            <v>141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B143">
            <v>142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B144">
            <v>143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B145">
            <v>144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B146">
            <v>145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B147">
            <v>146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B148">
            <v>147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B149">
            <v>148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B150">
            <v>149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B151">
            <v>150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B152">
            <v>151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B153">
            <v>152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B154">
            <v>153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B155">
            <v>154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B156">
            <v>155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B157">
            <v>156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157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B159">
            <v>158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B160">
            <v>159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B161">
            <v>160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B162">
            <v>161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B163">
            <v>162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B164">
            <v>163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B165">
            <v>164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B166">
            <v>165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B167">
            <v>166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B168">
            <v>167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B169">
            <v>168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B170">
            <v>169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B171">
            <v>170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B172">
            <v>171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B173">
            <v>172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B174">
            <v>173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B175">
            <v>174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B176">
            <v>175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B177">
            <v>176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B178">
            <v>177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B179">
            <v>178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B180">
            <v>179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B181">
            <v>180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B182">
            <v>181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B183">
            <v>182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B184">
            <v>183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B185">
            <v>184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B186">
            <v>185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7">
          <cell r="B187">
            <v>186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B188">
            <v>187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B189">
            <v>188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B190">
            <v>189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B191">
            <v>190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B192">
            <v>191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B193">
            <v>192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B194">
            <v>193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B195">
            <v>194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B196">
            <v>195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B197">
            <v>196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B198">
            <v>197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B199">
            <v>198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B200">
            <v>199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B201">
            <v>200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B202">
            <v>201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B203">
            <v>202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B204">
            <v>203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B205">
            <v>204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B206">
            <v>205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B207">
            <v>206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B208">
            <v>207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B209">
            <v>208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B210">
            <v>209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B211">
            <v>210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B212">
            <v>211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B213">
            <v>212</v>
          </cell>
          <cell r="K213">
            <v>0</v>
          </cell>
        </row>
        <row r="214">
          <cell r="B214">
            <v>213</v>
          </cell>
          <cell r="K214">
            <v>0</v>
          </cell>
        </row>
        <row r="215">
          <cell r="B215">
            <v>214</v>
          </cell>
          <cell r="K215">
            <v>0</v>
          </cell>
        </row>
        <row r="216">
          <cell r="B216">
            <v>215</v>
          </cell>
          <cell r="K216">
            <v>0</v>
          </cell>
        </row>
        <row r="217">
          <cell r="B217">
            <v>216</v>
          </cell>
          <cell r="K217">
            <v>0</v>
          </cell>
        </row>
        <row r="218">
          <cell r="B218">
            <v>217</v>
          </cell>
          <cell r="K218">
            <v>0</v>
          </cell>
        </row>
        <row r="219">
          <cell r="B219">
            <v>218</v>
          </cell>
          <cell r="K219">
            <v>0</v>
          </cell>
        </row>
        <row r="220">
          <cell r="B220">
            <v>219</v>
          </cell>
          <cell r="K220">
            <v>0</v>
          </cell>
        </row>
        <row r="221">
          <cell r="B221">
            <v>220</v>
          </cell>
          <cell r="K221">
            <v>0</v>
          </cell>
        </row>
        <row r="222">
          <cell r="B222">
            <v>221</v>
          </cell>
          <cell r="K222">
            <v>0</v>
          </cell>
        </row>
        <row r="223">
          <cell r="B223">
            <v>222</v>
          </cell>
          <cell r="K223">
            <v>0</v>
          </cell>
        </row>
        <row r="224">
          <cell r="B224">
            <v>223</v>
          </cell>
          <cell r="K224">
            <v>0</v>
          </cell>
        </row>
        <row r="225">
          <cell r="B225">
            <v>224</v>
          </cell>
          <cell r="K225">
            <v>0</v>
          </cell>
        </row>
        <row r="226">
          <cell r="B226">
            <v>225</v>
          </cell>
          <cell r="K226">
            <v>0</v>
          </cell>
        </row>
        <row r="227">
          <cell r="B227">
            <v>226</v>
          </cell>
          <cell r="K227">
            <v>0</v>
          </cell>
        </row>
        <row r="228">
          <cell r="B228">
            <v>227</v>
          </cell>
          <cell r="K228">
            <v>0</v>
          </cell>
        </row>
        <row r="229">
          <cell r="B229">
            <v>228</v>
          </cell>
          <cell r="K229">
            <v>0</v>
          </cell>
        </row>
        <row r="230">
          <cell r="B230">
            <v>229</v>
          </cell>
          <cell r="K230">
            <v>0</v>
          </cell>
        </row>
        <row r="231">
          <cell r="B231">
            <v>230</v>
          </cell>
          <cell r="K231">
            <v>0</v>
          </cell>
        </row>
        <row r="232">
          <cell r="B232">
            <v>231</v>
          </cell>
          <cell r="K232">
            <v>0</v>
          </cell>
        </row>
        <row r="233">
          <cell r="B233">
            <v>232</v>
          </cell>
          <cell r="K233">
            <v>0</v>
          </cell>
        </row>
        <row r="234">
          <cell r="B234">
            <v>233</v>
          </cell>
          <cell r="K234">
            <v>0</v>
          </cell>
        </row>
        <row r="235">
          <cell r="B235">
            <v>234</v>
          </cell>
          <cell r="K235">
            <v>0</v>
          </cell>
        </row>
        <row r="236">
          <cell r="B236">
            <v>235</v>
          </cell>
          <cell r="K236">
            <v>0</v>
          </cell>
        </row>
        <row r="237">
          <cell r="B237">
            <v>236</v>
          </cell>
          <cell r="K237">
            <v>0</v>
          </cell>
        </row>
        <row r="238">
          <cell r="B238">
            <v>237</v>
          </cell>
          <cell r="K238">
            <v>0</v>
          </cell>
        </row>
        <row r="239">
          <cell r="B239">
            <v>238</v>
          </cell>
          <cell r="K239">
            <v>0</v>
          </cell>
        </row>
        <row r="240">
          <cell r="B240">
            <v>239</v>
          </cell>
          <cell r="K240">
            <v>0</v>
          </cell>
        </row>
        <row r="241">
          <cell r="B241">
            <v>240</v>
          </cell>
          <cell r="K241">
            <v>0</v>
          </cell>
        </row>
        <row r="242">
          <cell r="B242">
            <v>241</v>
          </cell>
          <cell r="K242">
            <v>0</v>
          </cell>
        </row>
        <row r="243">
          <cell r="B243">
            <v>242</v>
          </cell>
          <cell r="K243">
            <v>0</v>
          </cell>
        </row>
        <row r="244">
          <cell r="B244">
            <v>243</v>
          </cell>
          <cell r="K244">
            <v>0</v>
          </cell>
        </row>
        <row r="245">
          <cell r="B245">
            <v>244</v>
          </cell>
          <cell r="K245">
            <v>0</v>
          </cell>
        </row>
        <row r="246">
          <cell r="B246">
            <v>245</v>
          </cell>
          <cell r="K246">
            <v>0</v>
          </cell>
        </row>
        <row r="247">
          <cell r="B247">
            <v>246</v>
          </cell>
          <cell r="K247">
            <v>0</v>
          </cell>
        </row>
        <row r="248">
          <cell r="B248">
            <v>247</v>
          </cell>
          <cell r="K248">
            <v>0</v>
          </cell>
        </row>
        <row r="249">
          <cell r="B249">
            <v>248</v>
          </cell>
          <cell r="K249">
            <v>0</v>
          </cell>
        </row>
        <row r="250">
          <cell r="B250">
            <v>249</v>
          </cell>
          <cell r="K250">
            <v>0</v>
          </cell>
        </row>
        <row r="251">
          <cell r="B251">
            <v>250</v>
          </cell>
          <cell r="K251">
            <v>0</v>
          </cell>
        </row>
        <row r="252">
          <cell r="B252">
            <v>251</v>
          </cell>
          <cell r="K252">
            <v>0</v>
          </cell>
        </row>
        <row r="253">
          <cell r="B253">
            <v>252</v>
          </cell>
          <cell r="K253">
            <v>0</v>
          </cell>
        </row>
        <row r="254">
          <cell r="B254">
            <v>253</v>
          </cell>
          <cell r="K254">
            <v>0</v>
          </cell>
        </row>
        <row r="255">
          <cell r="B255">
            <v>254</v>
          </cell>
          <cell r="K255">
            <v>0</v>
          </cell>
        </row>
        <row r="256">
          <cell r="B256">
            <v>255</v>
          </cell>
          <cell r="K256">
            <v>0</v>
          </cell>
        </row>
        <row r="257">
          <cell r="B257">
            <v>256</v>
          </cell>
          <cell r="K257">
            <v>0</v>
          </cell>
        </row>
        <row r="258">
          <cell r="B258">
            <v>257</v>
          </cell>
          <cell r="K258">
            <v>0</v>
          </cell>
        </row>
        <row r="259">
          <cell r="B259">
            <v>258</v>
          </cell>
          <cell r="K259">
            <v>0</v>
          </cell>
        </row>
        <row r="260">
          <cell r="B260">
            <v>259</v>
          </cell>
          <cell r="K260">
            <v>0</v>
          </cell>
        </row>
        <row r="261">
          <cell r="B261">
            <v>260</v>
          </cell>
          <cell r="K261">
            <v>0</v>
          </cell>
        </row>
        <row r="262">
          <cell r="B262">
            <v>261</v>
          </cell>
          <cell r="K262">
            <v>0</v>
          </cell>
        </row>
        <row r="263">
          <cell r="B263">
            <v>262</v>
          </cell>
          <cell r="K263">
            <v>0</v>
          </cell>
        </row>
        <row r="264">
          <cell r="B264">
            <v>263</v>
          </cell>
          <cell r="K264">
            <v>0</v>
          </cell>
        </row>
        <row r="265">
          <cell r="B265">
            <v>264</v>
          </cell>
          <cell r="K265">
            <v>0</v>
          </cell>
        </row>
        <row r="266">
          <cell r="B266">
            <v>265</v>
          </cell>
          <cell r="K266">
            <v>0</v>
          </cell>
        </row>
        <row r="267">
          <cell r="B267">
            <v>266</v>
          </cell>
          <cell r="K267">
            <v>0</v>
          </cell>
        </row>
        <row r="268">
          <cell r="B268">
            <v>267</v>
          </cell>
          <cell r="K268">
            <v>0</v>
          </cell>
        </row>
        <row r="269">
          <cell r="B269">
            <v>268</v>
          </cell>
          <cell r="K269">
            <v>0</v>
          </cell>
        </row>
        <row r="270">
          <cell r="B270">
            <v>269</v>
          </cell>
          <cell r="K270">
            <v>0</v>
          </cell>
        </row>
        <row r="271">
          <cell r="B271">
            <v>270</v>
          </cell>
          <cell r="K271">
            <v>0</v>
          </cell>
        </row>
        <row r="272">
          <cell r="B272">
            <v>271</v>
          </cell>
          <cell r="K272">
            <v>0</v>
          </cell>
        </row>
        <row r="273">
          <cell r="B273">
            <v>272</v>
          </cell>
          <cell r="K273">
            <v>0</v>
          </cell>
        </row>
        <row r="274">
          <cell r="B274">
            <v>273</v>
          </cell>
          <cell r="K274">
            <v>0</v>
          </cell>
        </row>
        <row r="275">
          <cell r="B275">
            <v>274</v>
          </cell>
          <cell r="K275">
            <v>0</v>
          </cell>
        </row>
        <row r="276">
          <cell r="B276">
            <v>275</v>
          </cell>
          <cell r="K276">
            <v>0</v>
          </cell>
        </row>
        <row r="277">
          <cell r="B277">
            <v>276</v>
          </cell>
          <cell r="K277">
            <v>0</v>
          </cell>
        </row>
        <row r="278">
          <cell r="B278">
            <v>277</v>
          </cell>
          <cell r="K278">
            <v>0</v>
          </cell>
        </row>
        <row r="279">
          <cell r="B279">
            <v>278</v>
          </cell>
          <cell r="K279">
            <v>0</v>
          </cell>
        </row>
        <row r="280">
          <cell r="B280">
            <v>279</v>
          </cell>
          <cell r="K280">
            <v>0</v>
          </cell>
        </row>
        <row r="281">
          <cell r="B281">
            <v>280</v>
          </cell>
          <cell r="K281">
            <v>0</v>
          </cell>
        </row>
        <row r="282">
          <cell r="B282">
            <v>281</v>
          </cell>
          <cell r="K282">
            <v>0</v>
          </cell>
        </row>
        <row r="283">
          <cell r="B283">
            <v>282</v>
          </cell>
          <cell r="K283">
            <v>0</v>
          </cell>
        </row>
        <row r="284">
          <cell r="B284">
            <v>283</v>
          </cell>
          <cell r="K284">
            <v>0</v>
          </cell>
        </row>
        <row r="285">
          <cell r="B285">
            <v>284</v>
          </cell>
          <cell r="K285">
            <v>0</v>
          </cell>
        </row>
        <row r="286">
          <cell r="B286">
            <v>285</v>
          </cell>
          <cell r="K286">
            <v>0</v>
          </cell>
        </row>
        <row r="287">
          <cell r="B287">
            <v>286</v>
          </cell>
          <cell r="K287">
            <v>0</v>
          </cell>
        </row>
        <row r="288">
          <cell r="B288">
            <v>287</v>
          </cell>
          <cell r="K288">
            <v>0</v>
          </cell>
        </row>
        <row r="289">
          <cell r="B289">
            <v>288</v>
          </cell>
          <cell r="K289">
            <v>0</v>
          </cell>
        </row>
        <row r="290">
          <cell r="B290">
            <v>289</v>
          </cell>
          <cell r="K290">
            <v>0</v>
          </cell>
        </row>
        <row r="291">
          <cell r="B291">
            <v>290</v>
          </cell>
          <cell r="K291">
            <v>0</v>
          </cell>
        </row>
        <row r="292">
          <cell r="B292">
            <v>291</v>
          </cell>
          <cell r="K292">
            <v>0</v>
          </cell>
        </row>
        <row r="293">
          <cell r="B293">
            <v>292</v>
          </cell>
          <cell r="K293">
            <v>0</v>
          </cell>
        </row>
        <row r="294">
          <cell r="B294">
            <v>293</v>
          </cell>
          <cell r="K294">
            <v>0</v>
          </cell>
        </row>
        <row r="295">
          <cell r="B295">
            <v>294</v>
          </cell>
          <cell r="K295">
            <v>0</v>
          </cell>
        </row>
        <row r="296">
          <cell r="B296">
            <v>295</v>
          </cell>
          <cell r="K296">
            <v>0</v>
          </cell>
        </row>
        <row r="297">
          <cell r="B297">
            <v>296</v>
          </cell>
          <cell r="K297">
            <v>0</v>
          </cell>
        </row>
        <row r="298">
          <cell r="B298">
            <v>297</v>
          </cell>
          <cell r="K298">
            <v>0</v>
          </cell>
        </row>
        <row r="299">
          <cell r="B299">
            <v>298</v>
          </cell>
          <cell r="K299">
            <v>0</v>
          </cell>
        </row>
        <row r="300">
          <cell r="B300">
            <v>299</v>
          </cell>
          <cell r="K300">
            <v>0</v>
          </cell>
        </row>
        <row r="301">
          <cell r="B301">
            <v>300</v>
          </cell>
          <cell r="K301">
            <v>0</v>
          </cell>
        </row>
        <row r="302">
          <cell r="B302">
            <v>301</v>
          </cell>
          <cell r="K302">
            <v>0</v>
          </cell>
        </row>
        <row r="303">
          <cell r="B303">
            <v>302</v>
          </cell>
          <cell r="K303">
            <v>0</v>
          </cell>
        </row>
        <row r="304">
          <cell r="B304">
            <v>303</v>
          </cell>
          <cell r="K304">
            <v>0</v>
          </cell>
        </row>
        <row r="305">
          <cell r="B305">
            <v>304</v>
          </cell>
          <cell r="K305">
            <v>0</v>
          </cell>
        </row>
        <row r="306">
          <cell r="B306">
            <v>305</v>
          </cell>
          <cell r="K306">
            <v>0</v>
          </cell>
        </row>
        <row r="307">
          <cell r="B307">
            <v>306</v>
          </cell>
          <cell r="K307">
            <v>0</v>
          </cell>
        </row>
        <row r="308">
          <cell r="B308">
            <v>307</v>
          </cell>
          <cell r="K308">
            <v>0</v>
          </cell>
        </row>
        <row r="309">
          <cell r="B309">
            <v>308</v>
          </cell>
          <cell r="K309">
            <v>0</v>
          </cell>
        </row>
        <row r="310">
          <cell r="B310">
            <v>309</v>
          </cell>
          <cell r="K310">
            <v>0</v>
          </cell>
        </row>
        <row r="311">
          <cell r="B311">
            <v>310</v>
          </cell>
          <cell r="K311">
            <v>0</v>
          </cell>
        </row>
        <row r="312">
          <cell r="B312">
            <v>311</v>
          </cell>
          <cell r="K312">
            <v>0</v>
          </cell>
        </row>
        <row r="313">
          <cell r="B313">
            <v>312</v>
          </cell>
          <cell r="K313">
            <v>0</v>
          </cell>
        </row>
        <row r="314">
          <cell r="B314">
            <v>313</v>
          </cell>
          <cell r="K314">
            <v>0</v>
          </cell>
        </row>
        <row r="315">
          <cell r="B315">
            <v>314</v>
          </cell>
          <cell r="K315">
            <v>0</v>
          </cell>
        </row>
        <row r="316">
          <cell r="B316">
            <v>315</v>
          </cell>
          <cell r="K316">
            <v>0</v>
          </cell>
        </row>
        <row r="317">
          <cell r="B317">
            <v>316</v>
          </cell>
          <cell r="K317">
            <v>0</v>
          </cell>
        </row>
        <row r="318">
          <cell r="B318">
            <v>317</v>
          </cell>
          <cell r="K318">
            <v>0</v>
          </cell>
        </row>
        <row r="319">
          <cell r="B319">
            <v>318</v>
          </cell>
          <cell r="K319">
            <v>0</v>
          </cell>
        </row>
        <row r="320">
          <cell r="B320">
            <v>319</v>
          </cell>
          <cell r="K320">
            <v>0</v>
          </cell>
        </row>
        <row r="321">
          <cell r="B321">
            <v>320</v>
          </cell>
          <cell r="K321">
            <v>0</v>
          </cell>
        </row>
        <row r="322">
          <cell r="B322">
            <v>321</v>
          </cell>
          <cell r="K322">
            <v>0</v>
          </cell>
        </row>
        <row r="323">
          <cell r="B323">
            <v>322</v>
          </cell>
          <cell r="K323">
            <v>0</v>
          </cell>
        </row>
        <row r="324">
          <cell r="B324">
            <v>323</v>
          </cell>
          <cell r="K324">
            <v>0</v>
          </cell>
        </row>
        <row r="325">
          <cell r="B325">
            <v>324</v>
          </cell>
          <cell r="K325">
            <v>0</v>
          </cell>
        </row>
        <row r="326">
          <cell r="B326">
            <v>325</v>
          </cell>
          <cell r="K326">
            <v>0</v>
          </cell>
        </row>
        <row r="327">
          <cell r="B327">
            <v>326</v>
          </cell>
          <cell r="K327">
            <v>0</v>
          </cell>
        </row>
        <row r="328">
          <cell r="B328">
            <v>327</v>
          </cell>
          <cell r="K328">
            <v>0</v>
          </cell>
        </row>
        <row r="329">
          <cell r="B329">
            <v>328</v>
          </cell>
          <cell r="K329">
            <v>0</v>
          </cell>
        </row>
        <row r="330">
          <cell r="B330">
            <v>329</v>
          </cell>
          <cell r="K330">
            <v>0</v>
          </cell>
        </row>
        <row r="331">
          <cell r="B331">
            <v>330</v>
          </cell>
          <cell r="K331">
            <v>0</v>
          </cell>
        </row>
        <row r="332">
          <cell r="B332">
            <v>331</v>
          </cell>
          <cell r="K332">
            <v>0</v>
          </cell>
        </row>
        <row r="333">
          <cell r="B333">
            <v>332</v>
          </cell>
          <cell r="K333">
            <v>0</v>
          </cell>
        </row>
        <row r="334">
          <cell r="B334">
            <v>333</v>
          </cell>
          <cell r="K334">
            <v>0</v>
          </cell>
        </row>
        <row r="335">
          <cell r="B335">
            <v>334</v>
          </cell>
          <cell r="K335">
            <v>0</v>
          </cell>
        </row>
        <row r="336">
          <cell r="B336">
            <v>335</v>
          </cell>
          <cell r="K336">
            <v>0</v>
          </cell>
        </row>
        <row r="337">
          <cell r="B337">
            <v>336</v>
          </cell>
          <cell r="K337">
            <v>0</v>
          </cell>
        </row>
        <row r="338">
          <cell r="B338">
            <v>337</v>
          </cell>
          <cell r="K338">
            <v>0</v>
          </cell>
        </row>
        <row r="339">
          <cell r="B339">
            <v>338</v>
          </cell>
          <cell r="K339">
            <v>0</v>
          </cell>
        </row>
        <row r="340">
          <cell r="B340">
            <v>339</v>
          </cell>
          <cell r="K340">
            <v>0</v>
          </cell>
        </row>
        <row r="341">
          <cell r="B341">
            <v>340</v>
          </cell>
          <cell r="K341">
            <v>0</v>
          </cell>
        </row>
        <row r="342">
          <cell r="B342">
            <v>341</v>
          </cell>
          <cell r="K342">
            <v>0</v>
          </cell>
        </row>
        <row r="343">
          <cell r="B343">
            <v>342</v>
          </cell>
          <cell r="K343">
            <v>0</v>
          </cell>
        </row>
        <row r="344">
          <cell r="B344">
            <v>343</v>
          </cell>
          <cell r="K344">
            <v>0</v>
          </cell>
        </row>
        <row r="345">
          <cell r="B345">
            <v>344</v>
          </cell>
          <cell r="K345">
            <v>0</v>
          </cell>
        </row>
        <row r="346">
          <cell r="B346">
            <v>345</v>
          </cell>
          <cell r="K346">
            <v>0</v>
          </cell>
        </row>
        <row r="347">
          <cell r="B347">
            <v>346</v>
          </cell>
          <cell r="K347">
            <v>0</v>
          </cell>
        </row>
        <row r="348">
          <cell r="B348">
            <v>347</v>
          </cell>
          <cell r="K348">
            <v>0</v>
          </cell>
        </row>
        <row r="349">
          <cell r="B349">
            <v>348</v>
          </cell>
          <cell r="K349">
            <v>0</v>
          </cell>
        </row>
        <row r="350">
          <cell r="B350">
            <v>349</v>
          </cell>
          <cell r="K350">
            <v>0</v>
          </cell>
        </row>
        <row r="351">
          <cell r="B351">
            <v>350</v>
          </cell>
          <cell r="K351">
            <v>0</v>
          </cell>
        </row>
        <row r="352">
          <cell r="B352">
            <v>351</v>
          </cell>
          <cell r="K352">
            <v>0</v>
          </cell>
        </row>
        <row r="353">
          <cell r="B353">
            <v>352</v>
          </cell>
          <cell r="K353">
            <v>0</v>
          </cell>
        </row>
        <row r="354">
          <cell r="B354">
            <v>353</v>
          </cell>
          <cell r="K354">
            <v>0</v>
          </cell>
        </row>
        <row r="355">
          <cell r="B355">
            <v>354</v>
          </cell>
          <cell r="K355">
            <v>0</v>
          </cell>
        </row>
        <row r="356">
          <cell r="B356">
            <v>355</v>
          </cell>
          <cell r="K356">
            <v>0</v>
          </cell>
        </row>
        <row r="357">
          <cell r="B357">
            <v>356</v>
          </cell>
          <cell r="K357">
            <v>0</v>
          </cell>
        </row>
        <row r="358">
          <cell r="B358">
            <v>357</v>
          </cell>
          <cell r="K358">
            <v>0</v>
          </cell>
        </row>
        <row r="359">
          <cell r="B359">
            <v>358</v>
          </cell>
          <cell r="K359">
            <v>0</v>
          </cell>
        </row>
        <row r="360">
          <cell r="B360">
            <v>359</v>
          </cell>
          <cell r="K360">
            <v>0</v>
          </cell>
        </row>
        <row r="361">
          <cell r="B361">
            <v>360</v>
          </cell>
          <cell r="K361">
            <v>0</v>
          </cell>
        </row>
        <row r="362">
          <cell r="B362">
            <v>361</v>
          </cell>
          <cell r="K362">
            <v>0</v>
          </cell>
        </row>
        <row r="363">
          <cell r="B363">
            <v>362</v>
          </cell>
          <cell r="K363">
            <v>0</v>
          </cell>
        </row>
        <row r="364">
          <cell r="B364">
            <v>363</v>
          </cell>
          <cell r="K364">
            <v>0</v>
          </cell>
        </row>
        <row r="365">
          <cell r="B365">
            <v>364</v>
          </cell>
          <cell r="K365">
            <v>0</v>
          </cell>
        </row>
        <row r="366">
          <cell r="B366">
            <v>365</v>
          </cell>
          <cell r="K366">
            <v>0</v>
          </cell>
        </row>
        <row r="367">
          <cell r="B367">
            <v>366</v>
          </cell>
          <cell r="K367">
            <v>0</v>
          </cell>
        </row>
        <row r="368">
          <cell r="B368">
            <v>367</v>
          </cell>
          <cell r="K368">
            <v>0</v>
          </cell>
        </row>
        <row r="369">
          <cell r="B369">
            <v>368</v>
          </cell>
          <cell r="K369">
            <v>0</v>
          </cell>
        </row>
        <row r="370">
          <cell r="B370">
            <v>369</v>
          </cell>
          <cell r="K370">
            <v>0</v>
          </cell>
        </row>
        <row r="371">
          <cell r="B371">
            <v>370</v>
          </cell>
          <cell r="K371">
            <v>0</v>
          </cell>
        </row>
        <row r="372">
          <cell r="B372">
            <v>371</v>
          </cell>
          <cell r="K372">
            <v>0</v>
          </cell>
        </row>
        <row r="373">
          <cell r="B373">
            <v>372</v>
          </cell>
          <cell r="K373">
            <v>0</v>
          </cell>
        </row>
        <row r="374">
          <cell r="B374">
            <v>373</v>
          </cell>
          <cell r="K374">
            <v>0</v>
          </cell>
        </row>
        <row r="375">
          <cell r="B375">
            <v>374</v>
          </cell>
          <cell r="K375">
            <v>0</v>
          </cell>
        </row>
        <row r="376">
          <cell r="B376">
            <v>375</v>
          </cell>
          <cell r="K376">
            <v>0</v>
          </cell>
        </row>
        <row r="377">
          <cell r="B377">
            <v>376</v>
          </cell>
          <cell r="K377">
            <v>0</v>
          </cell>
        </row>
        <row r="378">
          <cell r="B378">
            <v>377</v>
          </cell>
          <cell r="K378">
            <v>0</v>
          </cell>
        </row>
        <row r="379">
          <cell r="B379">
            <v>378</v>
          </cell>
          <cell r="K379">
            <v>0</v>
          </cell>
        </row>
        <row r="380">
          <cell r="B380">
            <v>379</v>
          </cell>
          <cell r="K380">
            <v>0</v>
          </cell>
        </row>
        <row r="381">
          <cell r="B381">
            <v>380</v>
          </cell>
          <cell r="K381">
            <v>0</v>
          </cell>
        </row>
        <row r="382">
          <cell r="B382">
            <v>381</v>
          </cell>
          <cell r="K382">
            <v>0</v>
          </cell>
        </row>
        <row r="383">
          <cell r="B383">
            <v>382</v>
          </cell>
          <cell r="K383">
            <v>0</v>
          </cell>
        </row>
        <row r="384">
          <cell r="B384">
            <v>383</v>
          </cell>
          <cell r="K384">
            <v>0</v>
          </cell>
        </row>
        <row r="385">
          <cell r="B385">
            <v>384</v>
          </cell>
          <cell r="K385">
            <v>0</v>
          </cell>
        </row>
        <row r="386">
          <cell r="B386">
            <v>385</v>
          </cell>
          <cell r="K386">
            <v>0</v>
          </cell>
        </row>
        <row r="387">
          <cell r="B387">
            <v>386</v>
          </cell>
          <cell r="K387">
            <v>0</v>
          </cell>
        </row>
        <row r="388">
          <cell r="B388">
            <v>387</v>
          </cell>
          <cell r="K388">
            <v>0</v>
          </cell>
        </row>
        <row r="389">
          <cell r="B389">
            <v>388</v>
          </cell>
          <cell r="K389">
            <v>0</v>
          </cell>
        </row>
        <row r="390">
          <cell r="B390">
            <v>389</v>
          </cell>
          <cell r="K390">
            <v>0</v>
          </cell>
        </row>
        <row r="391">
          <cell r="B391">
            <v>390</v>
          </cell>
          <cell r="K391">
            <v>0</v>
          </cell>
        </row>
        <row r="392">
          <cell r="B392">
            <v>391</v>
          </cell>
          <cell r="K392">
            <v>0</v>
          </cell>
        </row>
        <row r="393">
          <cell r="B393">
            <v>392</v>
          </cell>
          <cell r="K393">
            <v>0</v>
          </cell>
        </row>
        <row r="394">
          <cell r="B394">
            <v>393</v>
          </cell>
          <cell r="K394">
            <v>0</v>
          </cell>
        </row>
        <row r="395">
          <cell r="B395">
            <v>394</v>
          </cell>
          <cell r="K395">
            <v>0</v>
          </cell>
        </row>
        <row r="396">
          <cell r="B396">
            <v>395</v>
          </cell>
          <cell r="K396">
            <v>0</v>
          </cell>
        </row>
        <row r="397">
          <cell r="B397">
            <v>396</v>
          </cell>
          <cell r="K397">
            <v>0</v>
          </cell>
        </row>
        <row r="398">
          <cell r="B398">
            <v>397</v>
          </cell>
          <cell r="K3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mes"/>
    </sheetNames>
    <sheetDataSet>
      <sheetData sheetId="0">
        <row r="2">
          <cell r="A2">
            <v>1</v>
          </cell>
          <cell r="B2" t="str">
            <v>Villanova</v>
          </cell>
          <cell r="C2" t="str">
            <v>Notre Dame</v>
          </cell>
          <cell r="D2">
            <v>1.7662545216942005</v>
          </cell>
          <cell r="E2">
            <v>101.29752325216845</v>
          </cell>
          <cell r="F2">
            <v>98.589856080471137</v>
          </cell>
          <cell r="G2">
            <v>0.53713389121338917</v>
          </cell>
          <cell r="H2">
            <v>66.628749999999997</v>
          </cell>
          <cell r="I2">
            <v>59.75</v>
          </cell>
          <cell r="J2">
            <v>18.6875</v>
          </cell>
          <cell r="K2">
            <v>11.5</v>
          </cell>
          <cell r="L2">
            <v>10.15625</v>
          </cell>
          <cell r="M2">
            <v>0</v>
          </cell>
          <cell r="N2">
            <v>0.62894114418157687</v>
          </cell>
          <cell r="O2">
            <v>98.924362591153454</v>
          </cell>
          <cell r="P2">
            <v>97.69234017295615</v>
          </cell>
          <cell r="Q2">
            <v>0.52279043913285161</v>
          </cell>
          <cell r="R2">
            <v>67.152258064516147</v>
          </cell>
          <cell r="S2">
            <v>58.032258064516128</v>
          </cell>
          <cell r="T2">
            <v>19.774193548387096</v>
          </cell>
          <cell r="U2">
            <v>11.064516129032258</v>
          </cell>
          <cell r="V2">
            <v>11.483870967741936</v>
          </cell>
          <cell r="W2">
            <v>0</v>
          </cell>
          <cell r="X2">
            <v>-7.5</v>
          </cell>
        </row>
        <row r="3">
          <cell r="A3">
            <v>2</v>
          </cell>
          <cell r="B3" t="str">
            <v>Northern Illinois</v>
          </cell>
          <cell r="C3" t="str">
            <v>Grambling</v>
          </cell>
          <cell r="D3">
            <v>-1.1418207392346214</v>
          </cell>
          <cell r="E3">
            <v>95.597565493516797</v>
          </cell>
          <cell r="F3">
            <v>98.051793647262983</v>
          </cell>
          <cell r="G3">
            <v>0.48590722254844393</v>
          </cell>
          <cell r="H3">
            <v>69.318666666666658</v>
          </cell>
          <cell r="I3">
            <v>56.766666666666666</v>
          </cell>
          <cell r="J3">
            <v>21.633333333333333</v>
          </cell>
          <cell r="K3">
            <v>11.766666666666667</v>
          </cell>
          <cell r="L3">
            <v>14.8</v>
          </cell>
          <cell r="M3">
            <v>0</v>
          </cell>
          <cell r="N3">
            <v>-1.4515584801411192</v>
          </cell>
          <cell r="O3">
            <v>94.048710188788007</v>
          </cell>
          <cell r="P3">
            <v>92.299890457286637</v>
          </cell>
          <cell r="Q3">
            <v>0.49034216335540837</v>
          </cell>
          <cell r="R3">
            <v>69.058181818181822</v>
          </cell>
          <cell r="S3">
            <v>54.909090909090907</v>
          </cell>
          <cell r="T3">
            <v>22.515151515151516</v>
          </cell>
          <cell r="U3">
            <v>10.333333333333334</v>
          </cell>
          <cell r="V3">
            <v>14.575757575757576</v>
          </cell>
          <cell r="W3">
            <v>0</v>
          </cell>
          <cell r="X3">
            <v>-1</v>
          </cell>
        </row>
        <row r="4">
          <cell r="A4">
            <v>3</v>
          </cell>
          <cell r="B4" t="str">
            <v>Purdue</v>
          </cell>
          <cell r="C4" t="str">
            <v>Gonzaga</v>
          </cell>
          <cell r="D4">
            <v>1.6247527691532284</v>
          </cell>
          <cell r="E4">
            <v>102.749921687376</v>
          </cell>
          <cell r="F4">
            <v>101.58084764470013</v>
          </cell>
          <cell r="G4">
            <v>0.5771558245083207</v>
          </cell>
          <cell r="H4">
            <v>65.197575757575763</v>
          </cell>
          <cell r="I4">
            <v>60.090909090909093</v>
          </cell>
          <cell r="J4">
            <v>16.90909090909091</v>
          </cell>
          <cell r="K4">
            <v>11.363636363636363</v>
          </cell>
          <cell r="L4">
            <v>9.0303030303030312</v>
          </cell>
          <cell r="M4">
            <v>0</v>
          </cell>
          <cell r="N4">
            <v>2.3717025596508812</v>
          </cell>
          <cell r="O4">
            <v>102.65043408841434</v>
          </cell>
          <cell r="P4">
            <v>86.056972483425454</v>
          </cell>
          <cell r="Q4">
            <v>0.56074766355140182</v>
          </cell>
          <cell r="R4">
            <v>69.724999999999994</v>
          </cell>
          <cell r="S4">
            <v>63.53125</v>
          </cell>
          <cell r="T4">
            <v>19.6875</v>
          </cell>
          <cell r="U4">
            <v>12.03125</v>
          </cell>
          <cell r="V4">
            <v>9.5625</v>
          </cell>
          <cell r="W4">
            <v>0</v>
          </cell>
          <cell r="X4">
            <v>2</v>
          </cell>
        </row>
        <row r="5">
          <cell r="A5">
            <v>4</v>
          </cell>
          <cell r="B5" t="str">
            <v>Ohio State</v>
          </cell>
          <cell r="C5" t="str">
            <v>BYU</v>
          </cell>
          <cell r="D5">
            <v>1.6235866420827869</v>
          </cell>
          <cell r="E5">
            <v>97.797107416748162</v>
          </cell>
          <cell r="F5">
            <v>102.97901248432508</v>
          </cell>
          <cell r="G5">
            <v>0.56646273637374855</v>
          </cell>
          <cell r="H5">
            <v>66.71875</v>
          </cell>
          <cell r="I5">
            <v>56.1875</v>
          </cell>
          <cell r="J5">
            <v>21.09375</v>
          </cell>
          <cell r="K5">
            <v>9.0625</v>
          </cell>
          <cell r="L5">
            <v>10.3125</v>
          </cell>
          <cell r="M5">
            <v>0</v>
          </cell>
          <cell r="N5">
            <v>1.7399677740943762</v>
          </cell>
          <cell r="O5">
            <v>101.35570594233801</v>
          </cell>
          <cell r="P5">
            <v>99.680790689588434</v>
          </cell>
          <cell r="Q5">
            <v>0.54702268431001888</v>
          </cell>
          <cell r="R5">
            <v>70.078823529411764</v>
          </cell>
          <cell r="S5">
            <v>62.235294117647058</v>
          </cell>
          <cell r="T5">
            <v>21.235294117647058</v>
          </cell>
          <cell r="U5">
            <v>12.382352941176471</v>
          </cell>
          <cell r="V5">
            <v>10.882352941176471</v>
          </cell>
          <cell r="W5">
            <v>0</v>
          </cell>
          <cell r="X5">
            <v>-1</v>
          </cell>
        </row>
        <row r="6">
          <cell r="A6">
            <v>5</v>
          </cell>
          <cell r="B6" t="str">
            <v>Arizona</v>
          </cell>
          <cell r="C6" t="str">
            <v>UCLA</v>
          </cell>
          <cell r="D6">
            <v>2.2598969472452048</v>
          </cell>
          <cell r="E6">
            <v>101.76807841686704</v>
          </cell>
          <cell r="F6">
            <v>98.508521311778111</v>
          </cell>
          <cell r="G6">
            <v>0.55109126984126988</v>
          </cell>
          <cell r="H6">
            <v>70.587878787878793</v>
          </cell>
          <cell r="I6">
            <v>61.090909090909093</v>
          </cell>
          <cell r="J6">
            <v>26.060606060606062</v>
          </cell>
          <cell r="K6">
            <v>12.878787878787879</v>
          </cell>
          <cell r="L6">
            <v>10.909090909090908</v>
          </cell>
          <cell r="M6">
            <v>0</v>
          </cell>
          <cell r="N6">
            <v>1.6472501583023471</v>
          </cell>
          <cell r="O6">
            <v>100.85863980873899</v>
          </cell>
          <cell r="P6">
            <v>91.912464074636603</v>
          </cell>
          <cell r="Q6">
            <v>0.54047742605085625</v>
          </cell>
          <cell r="R6">
            <v>65.963636363636368</v>
          </cell>
          <cell r="S6">
            <v>58.393939393939391</v>
          </cell>
          <cell r="T6">
            <v>19.545454545454547</v>
          </cell>
          <cell r="U6">
            <v>10</v>
          </cell>
          <cell r="V6">
            <v>8.9696969696969688</v>
          </cell>
          <cell r="W6">
            <v>0</v>
          </cell>
          <cell r="X6">
            <v>-6</v>
          </cell>
        </row>
        <row r="7">
          <cell r="A7">
            <v>6</v>
          </cell>
          <cell r="B7" t="str">
            <v>Florida</v>
          </cell>
          <cell r="C7" t="str">
            <v>Miami</v>
          </cell>
          <cell r="D7">
            <v>2.7124698926776269</v>
          </cell>
          <cell r="E7">
            <v>104.38676700269771</v>
          </cell>
          <cell r="F7">
            <v>99.463594613732411</v>
          </cell>
          <cell r="G7">
            <v>0.53652636671504594</v>
          </cell>
          <cell r="H7">
            <v>71.564999999999998</v>
          </cell>
          <cell r="I7">
            <v>64.59375</v>
          </cell>
          <cell r="J7">
            <v>25.21875</v>
          </cell>
          <cell r="K7">
            <v>15.96875</v>
          </cell>
          <cell r="L7">
            <v>11.84375</v>
          </cell>
          <cell r="M7">
            <v>0</v>
          </cell>
          <cell r="N7">
            <v>1.7206160434370932</v>
          </cell>
          <cell r="O7">
            <v>100.74202898550723</v>
          </cell>
          <cell r="P7">
            <v>98.374853819532689</v>
          </cell>
          <cell r="Q7">
            <v>0.55597771023302933</v>
          </cell>
          <cell r="R7">
            <v>68.654545454545456</v>
          </cell>
          <cell r="S7">
            <v>59.81818181818182</v>
          </cell>
          <cell r="T7">
            <v>22.424242424242426</v>
          </cell>
          <cell r="U7">
            <v>12.242424242424242</v>
          </cell>
          <cell r="V7">
            <v>11.212121212121213</v>
          </cell>
          <cell r="W7">
            <v>0</v>
          </cell>
          <cell r="X7">
            <v>-5</v>
          </cell>
        </row>
        <row r="8">
          <cell r="A8">
            <v>7</v>
          </cell>
          <cell r="B8" t="str">
            <v>McNeese</v>
          </cell>
          <cell r="C8" t="str">
            <v>UAB</v>
          </cell>
          <cell r="D8">
            <v>0.4006950194130553</v>
          </cell>
          <cell r="E8">
            <v>103.37379689648401</v>
          </cell>
          <cell r="F8">
            <v>86.214997154685847</v>
          </cell>
          <cell r="G8">
            <v>0.52292191435768265</v>
          </cell>
          <cell r="H8">
            <v>67.170909090909092</v>
          </cell>
          <cell r="I8">
            <v>60.151515151515149</v>
          </cell>
          <cell r="J8">
            <v>22.90909090909091</v>
          </cell>
          <cell r="K8">
            <v>12.666666666666666</v>
          </cell>
          <cell r="L8">
            <v>9.6060606060606055</v>
          </cell>
          <cell r="M8">
            <v>0</v>
          </cell>
          <cell r="N8">
            <v>-3.4650080741188945E-3</v>
          </cell>
          <cell r="O8">
            <v>104.36139115334524</v>
          </cell>
          <cell r="P8">
            <v>113.94202357547105</v>
          </cell>
          <cell r="Q8">
            <v>0.48619186046511625</v>
          </cell>
          <cell r="R8">
            <v>70.798749999999998</v>
          </cell>
          <cell r="S8">
            <v>64.5</v>
          </cell>
          <cell r="T8">
            <v>23.40625</v>
          </cell>
          <cell r="U8">
            <v>12.90625</v>
          </cell>
          <cell r="V8">
            <v>8.90625</v>
          </cell>
          <cell r="W8">
            <v>0</v>
          </cell>
          <cell r="X8">
            <v>-1</v>
          </cell>
        </row>
        <row r="9">
          <cell r="A9">
            <v>8</v>
          </cell>
          <cell r="B9" t="str">
            <v>Memphis</v>
          </cell>
          <cell r="C9" t="str">
            <v>Iowa State</v>
          </cell>
          <cell r="D9">
            <v>0.39528841291280453</v>
          </cell>
          <cell r="E9">
            <v>98.850605913717899</v>
          </cell>
          <cell r="F9">
            <v>94.263490727891053</v>
          </cell>
          <cell r="G9">
            <v>0.48702950152594099</v>
          </cell>
          <cell r="H9">
            <v>71.314999999999998</v>
          </cell>
          <cell r="I9">
            <v>61.4375</v>
          </cell>
          <cell r="J9">
            <v>21.3125</v>
          </cell>
          <cell r="K9">
            <v>13.09375</v>
          </cell>
          <cell r="L9">
            <v>13.59375</v>
          </cell>
          <cell r="M9">
            <v>0</v>
          </cell>
          <cell r="N9">
            <v>1.9785624371144439</v>
          </cell>
          <cell r="O9">
            <v>101.50134460238188</v>
          </cell>
          <cell r="P9">
            <v>96.966113821111122</v>
          </cell>
          <cell r="Q9">
            <v>0.56497313141182215</v>
          </cell>
          <cell r="R9">
            <v>67.654117647058825</v>
          </cell>
          <cell r="S9">
            <v>60.205882352941174</v>
          </cell>
          <cell r="T9">
            <v>20.470588235294116</v>
          </cell>
          <cell r="U9">
            <v>11.823529411764707</v>
          </cell>
          <cell r="V9">
            <v>10.264705882352942</v>
          </cell>
          <cell r="W9">
            <v>0</v>
          </cell>
          <cell r="X9">
            <v>13</v>
          </cell>
        </row>
        <row r="10">
          <cell r="A10">
            <v>9</v>
          </cell>
          <cell r="B10" t="str">
            <v>Miami (OH)</v>
          </cell>
          <cell r="C10" t="str">
            <v>James Madison</v>
          </cell>
          <cell r="D10">
            <v>0.33100392095488629</v>
          </cell>
          <cell r="E10">
            <v>96.443484662576694</v>
          </cell>
          <cell r="F10">
            <v>99.106657566560287</v>
          </cell>
          <cell r="G10">
            <v>0.61211129296235678</v>
          </cell>
          <cell r="H10">
            <v>71.92774193548388</v>
          </cell>
          <cell r="I10">
            <v>59.12903225806452</v>
          </cell>
          <cell r="J10">
            <v>23.516129032258064</v>
          </cell>
          <cell r="K10">
            <v>8</v>
          </cell>
          <cell r="L10">
            <v>10.451612903225806</v>
          </cell>
          <cell r="M10">
            <v>0</v>
          </cell>
          <cell r="N10">
            <v>-0.95013583220494058</v>
          </cell>
          <cell r="O10">
            <v>98.10074533540093</v>
          </cell>
          <cell r="P10">
            <v>105.90805366626542</v>
          </cell>
          <cell r="Q10">
            <v>0.52905117270788915</v>
          </cell>
          <cell r="R10">
            <v>66.852121212121205</v>
          </cell>
          <cell r="S10">
            <v>56.848484848484851</v>
          </cell>
          <cell r="T10">
            <v>20.393939393939394</v>
          </cell>
          <cell r="U10">
            <v>10.606060606060606</v>
          </cell>
          <cell r="V10">
            <v>11.636363636363637</v>
          </cell>
          <cell r="W10">
            <v>2.8</v>
          </cell>
          <cell r="X10">
            <v>1</v>
          </cell>
        </row>
        <row r="11">
          <cell r="A11">
            <v>10</v>
          </cell>
          <cell r="B11" t="str">
            <v>Seattle</v>
          </cell>
          <cell r="C11" t="str">
            <v>Hawaii</v>
          </cell>
          <cell r="D11">
            <v>0.19614735939494371</v>
          </cell>
          <cell r="E11">
            <v>95.980057410484974</v>
          </cell>
          <cell r="F11">
            <v>90.894504210092833</v>
          </cell>
          <cell r="G11">
            <v>0.50762527233115473</v>
          </cell>
          <cell r="H11">
            <v>68.88</v>
          </cell>
          <cell r="I11">
            <v>57.375</v>
          </cell>
          <cell r="J11">
            <v>19.96875</v>
          </cell>
          <cell r="K11">
            <v>8.96875</v>
          </cell>
          <cell r="L11">
            <v>11.6875</v>
          </cell>
          <cell r="M11">
            <v>0</v>
          </cell>
          <cell r="N11">
            <v>9.2566686450577307E-2</v>
          </cell>
          <cell r="O11">
            <v>96.315948087298892</v>
          </cell>
          <cell r="P11">
            <v>92.349835431303632</v>
          </cell>
          <cell r="Q11">
            <v>0.52439024390243905</v>
          </cell>
          <cell r="R11">
            <v>71.912258064516138</v>
          </cell>
          <cell r="S11">
            <v>58.193548387096776</v>
          </cell>
          <cell r="T11">
            <v>25.387096774193548</v>
          </cell>
          <cell r="U11">
            <v>10.903225806451612</v>
          </cell>
          <cell r="V11">
            <v>13.451612903225806</v>
          </cell>
          <cell r="W11">
            <v>2.5</v>
          </cell>
          <cell r="X11">
            <v>1</v>
          </cell>
        </row>
        <row r="12">
          <cell r="A12">
            <v>11</v>
          </cell>
          <cell r="B12" t="str">
            <v>Davidson</v>
          </cell>
          <cell r="C12" t="str">
            <v>Washington State</v>
          </cell>
          <cell r="D12">
            <v>0.78372118685034498</v>
          </cell>
          <cell r="E12">
            <v>98.660527417329419</v>
          </cell>
          <cell r="F12">
            <v>101.5274213997161</v>
          </cell>
          <cell r="G12">
            <v>0.53552060737527118</v>
          </cell>
          <cell r="H12">
            <v>64.484848484848484</v>
          </cell>
          <cell r="I12">
            <v>55.878787878787875</v>
          </cell>
          <cell r="J12">
            <v>18.181818181818183</v>
          </cell>
          <cell r="K12">
            <v>9.7878787878787872</v>
          </cell>
          <cell r="L12">
            <v>10.393939393939394</v>
          </cell>
          <cell r="M12">
            <v>0</v>
          </cell>
          <cell r="N12">
            <v>0.23852889049512452</v>
          </cell>
          <cell r="O12">
            <v>95.246142385867842</v>
          </cell>
          <cell r="P12">
            <v>91.655817685265887</v>
          </cell>
          <cell r="Q12">
            <v>0.54604154969118468</v>
          </cell>
          <cell r="R12">
            <v>68.289032258064523</v>
          </cell>
          <cell r="S12">
            <v>57.451612903225808</v>
          </cell>
          <cell r="T12">
            <v>17.225806451612904</v>
          </cell>
          <cell r="U12">
            <v>9.8387096774193541</v>
          </cell>
          <cell r="V12">
            <v>13.096774193548388</v>
          </cell>
          <cell r="W12">
            <v>3.3</v>
          </cell>
          <cell r="X12">
            <v>6</v>
          </cell>
        </row>
        <row r="13">
          <cell r="A13">
            <v>12</v>
          </cell>
          <cell r="B13" t="str">
            <v>Toledo</v>
          </cell>
          <cell r="C13" t="str">
            <v>Arkansas State</v>
          </cell>
          <cell r="D13">
            <v>0.27797370916816511</v>
          </cell>
          <cell r="E13">
            <v>99.64332957718878</v>
          </cell>
          <cell r="F13">
            <v>100.53589835793353</v>
          </cell>
          <cell r="G13">
            <v>0.54814814814814816</v>
          </cell>
          <cell r="H13">
            <v>69.339393939393943</v>
          </cell>
          <cell r="I13">
            <v>61.363636363636367</v>
          </cell>
          <cell r="J13">
            <v>18.333333333333332</v>
          </cell>
          <cell r="K13">
            <v>10.303030303030303</v>
          </cell>
          <cell r="L13">
            <v>10.212121212121213</v>
          </cell>
          <cell r="M13">
            <v>0</v>
          </cell>
          <cell r="N13">
            <v>-0.50131273712077018</v>
          </cell>
          <cell r="O13">
            <v>99.460970873786408</v>
          </cell>
          <cell r="P13">
            <v>101.20653480983282</v>
          </cell>
          <cell r="Q13">
            <v>0.52077922077922079</v>
          </cell>
          <cell r="R13">
            <v>72.624516129032259</v>
          </cell>
          <cell r="S13">
            <v>62.096774193548384</v>
          </cell>
          <cell r="T13">
            <v>24</v>
          </cell>
          <cell r="U13">
            <v>14.387096774193548</v>
          </cell>
          <cell r="V13">
            <v>14.35483870967742</v>
          </cell>
          <cell r="W13">
            <v>2.5</v>
          </cell>
          <cell r="X13">
            <v>-2</v>
          </cell>
        </row>
        <row r="14">
          <cell r="A14">
            <v>13</v>
          </cell>
          <cell r="B14" t="str">
            <v>Liberty</v>
          </cell>
          <cell r="C14" t="str">
            <v>High Point</v>
          </cell>
          <cell r="D14">
            <v>0.97083333602150657</v>
          </cell>
          <cell r="E14">
            <v>95.11301425551521</v>
          </cell>
          <cell r="F14">
            <v>107.7051135503291</v>
          </cell>
          <cell r="G14">
            <v>0.61175115207373276</v>
          </cell>
          <cell r="H14">
            <v>64.793750000000003</v>
          </cell>
          <cell r="I14">
            <v>54.25</v>
          </cell>
          <cell r="J14">
            <v>16.71875</v>
          </cell>
          <cell r="K14">
            <v>5.65625</v>
          </cell>
          <cell r="L14">
            <v>8.84375</v>
          </cell>
          <cell r="M14">
            <v>0</v>
          </cell>
          <cell r="N14">
            <v>1.1919373029271081</v>
          </cell>
          <cell r="O14">
            <v>102.08135263134599</v>
          </cell>
          <cell r="P14">
            <v>95.487748595419589</v>
          </cell>
          <cell r="Q14">
            <v>0.56606463878326996</v>
          </cell>
          <cell r="R14">
            <v>71.407058823529411</v>
          </cell>
          <cell r="S14">
            <v>61.882352941176471</v>
          </cell>
          <cell r="T14">
            <v>26.794117647058822</v>
          </cell>
          <cell r="U14">
            <v>11.617647058823529</v>
          </cell>
          <cell r="V14">
            <v>9.3529411764705888</v>
          </cell>
          <cell r="W14">
            <v>0</v>
          </cell>
          <cell r="X14">
            <v>9</v>
          </cell>
        </row>
        <row r="15">
          <cell r="A15">
            <v>14</v>
          </cell>
          <cell r="B15" t="str">
            <v>Pepperdine</v>
          </cell>
          <cell r="C15" t="str">
            <v>Cornell</v>
          </cell>
          <cell r="D15">
            <v>0.45106928314771205</v>
          </cell>
          <cell r="E15">
            <v>97.660460903693263</v>
          </cell>
          <cell r="F15">
            <v>94.068392508598095</v>
          </cell>
          <cell r="G15">
            <v>0.4837526205450734</v>
          </cell>
          <cell r="H15">
            <v>69.394999999999996</v>
          </cell>
          <cell r="I15">
            <v>59.625</v>
          </cell>
          <cell r="J15">
            <v>18.9375</v>
          </cell>
          <cell r="K15">
            <v>11.4375</v>
          </cell>
          <cell r="L15">
            <v>12.875</v>
          </cell>
          <cell r="M15">
            <v>0</v>
          </cell>
          <cell r="N15">
            <v>-2.5224106291792042E-2</v>
          </cell>
          <cell r="O15">
            <v>97.272279310137606</v>
          </cell>
          <cell r="P15">
            <v>100.77242315365478</v>
          </cell>
          <cell r="Q15">
            <v>0.59271935283136279</v>
          </cell>
          <cell r="R15">
            <v>71.856923076923081</v>
          </cell>
          <cell r="S15">
            <v>61.807692307692307</v>
          </cell>
          <cell r="T15">
            <v>18.73076923076923</v>
          </cell>
          <cell r="U15">
            <v>10.076923076923077</v>
          </cell>
          <cell r="V15">
            <v>11.884615384615385</v>
          </cell>
          <cell r="W15">
            <v>2.5</v>
          </cell>
          <cell r="X15">
            <v>1</v>
          </cell>
        </row>
        <row r="16">
          <cell r="A16">
            <v>15</v>
          </cell>
          <cell r="B16" t="str">
            <v>Notre Dame</v>
          </cell>
          <cell r="C16" t="str">
            <v>Villanova</v>
          </cell>
          <cell r="D16">
            <v>0.62894114418157687</v>
          </cell>
          <cell r="E16">
            <v>98.924362591153454</v>
          </cell>
          <cell r="F16">
            <v>97.69234017295615</v>
          </cell>
          <cell r="G16">
            <v>0.52279043913285161</v>
          </cell>
          <cell r="H16">
            <v>67.152258064516147</v>
          </cell>
          <cell r="I16">
            <v>58.032258064516128</v>
          </cell>
          <cell r="J16">
            <v>19.774193548387096</v>
          </cell>
          <cell r="K16">
            <v>11.064516129032258</v>
          </cell>
          <cell r="L16">
            <v>11.483870967741936</v>
          </cell>
          <cell r="M16">
            <v>0</v>
          </cell>
          <cell r="N16">
            <v>1.7662545216942005</v>
          </cell>
          <cell r="O16">
            <v>101.29752325216845</v>
          </cell>
          <cell r="P16">
            <v>98.589856080471137</v>
          </cell>
          <cell r="Q16">
            <v>0.53713389121338917</v>
          </cell>
          <cell r="R16">
            <v>66.628749999999997</v>
          </cell>
          <cell r="S16">
            <v>59.75</v>
          </cell>
          <cell r="T16">
            <v>18.6875</v>
          </cell>
          <cell r="U16">
            <v>11.5</v>
          </cell>
          <cell r="V16">
            <v>10.15625</v>
          </cell>
          <cell r="W16">
            <v>0</v>
          </cell>
          <cell r="X16">
            <v>7.5</v>
          </cell>
        </row>
        <row r="17">
          <cell r="A17">
            <v>16</v>
          </cell>
          <cell r="B17" t="str">
            <v>Grambling</v>
          </cell>
          <cell r="C17" t="str">
            <v>Northern Illinois</v>
          </cell>
          <cell r="D17">
            <v>-1.4515584801411192</v>
          </cell>
          <cell r="E17">
            <v>94.048710188788007</v>
          </cell>
          <cell r="F17">
            <v>92.299890457286637</v>
          </cell>
          <cell r="G17">
            <v>0.49034216335540837</v>
          </cell>
          <cell r="H17">
            <v>69.058181818181822</v>
          </cell>
          <cell r="I17">
            <v>54.909090909090907</v>
          </cell>
          <cell r="J17">
            <v>22.515151515151516</v>
          </cell>
          <cell r="K17">
            <v>10.333333333333334</v>
          </cell>
          <cell r="L17">
            <v>14.575757575757576</v>
          </cell>
          <cell r="M17">
            <v>0</v>
          </cell>
          <cell r="N17">
            <v>-1.1418207392346214</v>
          </cell>
          <cell r="O17">
            <v>95.597565493516797</v>
          </cell>
          <cell r="P17">
            <v>98.051793647262983</v>
          </cell>
          <cell r="Q17">
            <v>0.48590722254844393</v>
          </cell>
          <cell r="R17">
            <v>69.318666666666658</v>
          </cell>
          <cell r="S17">
            <v>56.766666666666666</v>
          </cell>
          <cell r="T17">
            <v>21.633333333333333</v>
          </cell>
          <cell r="U17">
            <v>11.766666666666667</v>
          </cell>
          <cell r="V17">
            <v>14.8</v>
          </cell>
          <cell r="W17">
            <v>0</v>
          </cell>
          <cell r="X17">
            <v>1</v>
          </cell>
        </row>
        <row r="18">
          <cell r="A18">
            <v>17</v>
          </cell>
          <cell r="B18" t="str">
            <v>Gonzaga</v>
          </cell>
          <cell r="C18" t="str">
            <v>Purdue</v>
          </cell>
          <cell r="D18">
            <v>2.3717025596508812</v>
          </cell>
          <cell r="E18">
            <v>102.65043408841434</v>
          </cell>
          <cell r="F18">
            <v>86.056972483425454</v>
          </cell>
          <cell r="G18">
            <v>0.56074766355140182</v>
          </cell>
          <cell r="H18">
            <v>69.724999999999994</v>
          </cell>
          <cell r="I18">
            <v>63.53125</v>
          </cell>
          <cell r="J18">
            <v>19.6875</v>
          </cell>
          <cell r="K18">
            <v>12.03125</v>
          </cell>
          <cell r="L18">
            <v>9.5625</v>
          </cell>
          <cell r="M18">
            <v>0</v>
          </cell>
          <cell r="N18">
            <v>1.6247527691532284</v>
          </cell>
          <cell r="O18">
            <v>102.749921687376</v>
          </cell>
          <cell r="P18">
            <v>101.58084764470013</v>
          </cell>
          <cell r="Q18">
            <v>0.5771558245083207</v>
          </cell>
          <cell r="R18">
            <v>65.197575757575763</v>
          </cell>
          <cell r="S18">
            <v>60.090909090909093</v>
          </cell>
          <cell r="T18">
            <v>16.90909090909091</v>
          </cell>
          <cell r="U18">
            <v>11.363636363636363</v>
          </cell>
          <cell r="V18">
            <v>9.0303030303030312</v>
          </cell>
          <cell r="W18">
            <v>0</v>
          </cell>
          <cell r="X18">
            <v>-2</v>
          </cell>
        </row>
        <row r="19">
          <cell r="A19">
            <v>18</v>
          </cell>
          <cell r="B19" t="str">
            <v>BYU</v>
          </cell>
          <cell r="C19" t="str">
            <v>Ohio State</v>
          </cell>
          <cell r="D19">
            <v>1.7399677740943762</v>
          </cell>
          <cell r="E19">
            <v>101.35570594233801</v>
          </cell>
          <cell r="F19">
            <v>99.680790689588434</v>
          </cell>
          <cell r="G19">
            <v>0.54702268431001888</v>
          </cell>
          <cell r="H19">
            <v>70.078823529411764</v>
          </cell>
          <cell r="I19">
            <v>62.235294117647058</v>
          </cell>
          <cell r="J19">
            <v>21.235294117647058</v>
          </cell>
          <cell r="K19">
            <v>12.382352941176471</v>
          </cell>
          <cell r="L19">
            <v>10.882352941176471</v>
          </cell>
          <cell r="M19">
            <v>0</v>
          </cell>
          <cell r="N19">
            <v>1.6235866420827869</v>
          </cell>
          <cell r="O19">
            <v>97.797107416748162</v>
          </cell>
          <cell r="P19">
            <v>102.97901248432508</v>
          </cell>
          <cell r="Q19">
            <v>0.56646273637374855</v>
          </cell>
          <cell r="R19">
            <v>66.71875</v>
          </cell>
          <cell r="S19">
            <v>56.1875</v>
          </cell>
          <cell r="T19">
            <v>21.09375</v>
          </cell>
          <cell r="U19">
            <v>9.0625</v>
          </cell>
          <cell r="V19">
            <v>10.3125</v>
          </cell>
          <cell r="W19">
            <v>0</v>
          </cell>
          <cell r="X19">
            <v>1</v>
          </cell>
        </row>
        <row r="20">
          <cell r="A20">
            <v>19</v>
          </cell>
          <cell r="B20" t="str">
            <v>UCLA</v>
          </cell>
          <cell r="C20" t="str">
            <v>Arizona</v>
          </cell>
          <cell r="D20">
            <v>1.6472501583023471</v>
          </cell>
          <cell r="E20">
            <v>100.85863980873899</v>
          </cell>
          <cell r="F20">
            <v>91.912464074636603</v>
          </cell>
          <cell r="G20">
            <v>0.54047742605085625</v>
          </cell>
          <cell r="H20">
            <v>65.963636363636368</v>
          </cell>
          <cell r="I20">
            <v>58.393939393939391</v>
          </cell>
          <cell r="J20">
            <v>19.545454545454547</v>
          </cell>
          <cell r="K20">
            <v>10</v>
          </cell>
          <cell r="L20">
            <v>8.9696969696969688</v>
          </cell>
          <cell r="M20">
            <v>0</v>
          </cell>
          <cell r="N20">
            <v>2.2598969472452048</v>
          </cell>
          <cell r="O20">
            <v>101.76807841686704</v>
          </cell>
          <cell r="P20">
            <v>98.508521311778111</v>
          </cell>
          <cell r="Q20">
            <v>0.55109126984126988</v>
          </cell>
          <cell r="R20">
            <v>70.587878787878793</v>
          </cell>
          <cell r="S20">
            <v>61.090909090909093</v>
          </cell>
          <cell r="T20">
            <v>26.060606060606062</v>
          </cell>
          <cell r="U20">
            <v>12.878787878787879</v>
          </cell>
          <cell r="V20">
            <v>10.909090909090908</v>
          </cell>
          <cell r="W20">
            <v>0</v>
          </cell>
          <cell r="X20">
            <v>6</v>
          </cell>
        </row>
        <row r="21">
          <cell r="A21">
            <v>20</v>
          </cell>
          <cell r="B21" t="str">
            <v>Miami</v>
          </cell>
          <cell r="C21" t="str">
            <v>Florida</v>
          </cell>
          <cell r="D21">
            <v>1.7206160434370932</v>
          </cell>
          <cell r="E21">
            <v>100.74202898550723</v>
          </cell>
          <cell r="F21">
            <v>98.374853819532689</v>
          </cell>
          <cell r="G21">
            <v>0.55597771023302933</v>
          </cell>
          <cell r="H21">
            <v>68.654545454545456</v>
          </cell>
          <cell r="I21">
            <v>59.81818181818182</v>
          </cell>
          <cell r="J21">
            <v>22.424242424242426</v>
          </cell>
          <cell r="K21">
            <v>12.242424242424242</v>
          </cell>
          <cell r="L21">
            <v>11.212121212121213</v>
          </cell>
          <cell r="M21">
            <v>0</v>
          </cell>
          <cell r="N21">
            <v>2.7124698926776269</v>
          </cell>
          <cell r="O21">
            <v>104.38676700269771</v>
          </cell>
          <cell r="P21">
            <v>99.463594613732411</v>
          </cell>
          <cell r="Q21">
            <v>0.53652636671504594</v>
          </cell>
          <cell r="R21">
            <v>71.564999999999998</v>
          </cell>
          <cell r="S21">
            <v>64.59375</v>
          </cell>
          <cell r="T21">
            <v>25.21875</v>
          </cell>
          <cell r="U21">
            <v>15.96875</v>
          </cell>
          <cell r="V21">
            <v>11.84375</v>
          </cell>
          <cell r="W21">
            <v>0</v>
          </cell>
          <cell r="X21">
            <v>5</v>
          </cell>
        </row>
        <row r="22">
          <cell r="A22">
            <v>21</v>
          </cell>
          <cell r="B22" t="str">
            <v>UAB</v>
          </cell>
          <cell r="C22" t="str">
            <v>McNeese</v>
          </cell>
          <cell r="D22">
            <v>-3.4650080741188945E-3</v>
          </cell>
          <cell r="E22">
            <v>104.36139115334524</v>
          </cell>
          <cell r="F22">
            <v>113.94202357547105</v>
          </cell>
          <cell r="G22">
            <v>0.48619186046511625</v>
          </cell>
          <cell r="H22">
            <v>70.798749999999998</v>
          </cell>
          <cell r="I22">
            <v>64.5</v>
          </cell>
          <cell r="J22">
            <v>23.40625</v>
          </cell>
          <cell r="K22">
            <v>12.90625</v>
          </cell>
          <cell r="L22">
            <v>8.90625</v>
          </cell>
          <cell r="M22">
            <v>0</v>
          </cell>
          <cell r="N22">
            <v>0.4006950194130553</v>
          </cell>
          <cell r="O22">
            <v>103.37379689648401</v>
          </cell>
          <cell r="P22">
            <v>86.214997154685847</v>
          </cell>
          <cell r="Q22">
            <v>0.52292191435768265</v>
          </cell>
          <cell r="R22">
            <v>67.170909090909092</v>
          </cell>
          <cell r="S22">
            <v>60.151515151515149</v>
          </cell>
          <cell r="T22">
            <v>22.90909090909091</v>
          </cell>
          <cell r="U22">
            <v>12.666666666666666</v>
          </cell>
          <cell r="V22">
            <v>9.6060606060606055</v>
          </cell>
          <cell r="W22">
            <v>0</v>
          </cell>
          <cell r="X22">
            <v>1</v>
          </cell>
        </row>
        <row r="23">
          <cell r="A23">
            <v>22</v>
          </cell>
          <cell r="B23" t="str">
            <v>Iowa State</v>
          </cell>
          <cell r="C23" t="str">
            <v>Memphis</v>
          </cell>
          <cell r="D23">
            <v>1.9785624371144439</v>
          </cell>
          <cell r="E23">
            <v>101.50134460238188</v>
          </cell>
          <cell r="F23">
            <v>96.966113821111122</v>
          </cell>
          <cell r="G23">
            <v>0.56497313141182215</v>
          </cell>
          <cell r="H23">
            <v>67.654117647058825</v>
          </cell>
          <cell r="I23">
            <v>60.205882352941174</v>
          </cell>
          <cell r="J23">
            <v>20.470588235294116</v>
          </cell>
          <cell r="K23">
            <v>11.823529411764707</v>
          </cell>
          <cell r="L23">
            <v>10.264705882352942</v>
          </cell>
          <cell r="M23">
            <v>0</v>
          </cell>
          <cell r="N23">
            <v>0.39528841291280453</v>
          </cell>
          <cell r="O23">
            <v>98.850605913717899</v>
          </cell>
          <cell r="P23">
            <v>94.263490727891053</v>
          </cell>
          <cell r="Q23">
            <v>0.48702950152594099</v>
          </cell>
          <cell r="R23">
            <v>71.314999999999998</v>
          </cell>
          <cell r="S23">
            <v>61.4375</v>
          </cell>
          <cell r="T23">
            <v>21.3125</v>
          </cell>
          <cell r="U23">
            <v>13.09375</v>
          </cell>
          <cell r="V23">
            <v>13.59375</v>
          </cell>
          <cell r="W23">
            <v>0</v>
          </cell>
          <cell r="X23">
            <v>-13</v>
          </cell>
        </row>
        <row r="24">
          <cell r="A24">
            <v>23</v>
          </cell>
          <cell r="B24" t="str">
            <v>James Madison</v>
          </cell>
          <cell r="C24" t="str">
            <v>Miami (OH)</v>
          </cell>
          <cell r="D24">
            <v>-0.95013583220494058</v>
          </cell>
          <cell r="E24">
            <v>98.10074533540093</v>
          </cell>
          <cell r="F24">
            <v>105.90805366626542</v>
          </cell>
          <cell r="G24">
            <v>0.52905117270788915</v>
          </cell>
          <cell r="H24">
            <v>66.852121212121205</v>
          </cell>
          <cell r="I24">
            <v>56.848484848484851</v>
          </cell>
          <cell r="J24">
            <v>20.393939393939394</v>
          </cell>
          <cell r="K24">
            <v>10.606060606060606</v>
          </cell>
          <cell r="L24">
            <v>11.636363636363637</v>
          </cell>
          <cell r="M24">
            <v>2.8</v>
          </cell>
          <cell r="N24">
            <v>0.33100392095488629</v>
          </cell>
          <cell r="O24">
            <v>96.443484662576694</v>
          </cell>
          <cell r="P24">
            <v>99.106657566560287</v>
          </cell>
          <cell r="Q24">
            <v>0.61211129296235678</v>
          </cell>
          <cell r="R24">
            <v>71.92774193548388</v>
          </cell>
          <cell r="S24">
            <v>59.12903225806452</v>
          </cell>
          <cell r="T24">
            <v>23.516129032258064</v>
          </cell>
          <cell r="U24">
            <v>8</v>
          </cell>
          <cell r="V24">
            <v>10.451612903225806</v>
          </cell>
          <cell r="W24">
            <v>0</v>
          </cell>
          <cell r="X24">
            <v>-1</v>
          </cell>
        </row>
        <row r="25">
          <cell r="A25">
            <v>24</v>
          </cell>
          <cell r="B25" t="str">
            <v>Hawaii</v>
          </cell>
          <cell r="C25" t="str">
            <v>Seattle</v>
          </cell>
          <cell r="D25">
            <v>9.2566686450577307E-2</v>
          </cell>
          <cell r="E25">
            <v>96.315948087298892</v>
          </cell>
          <cell r="F25">
            <v>92.349835431303632</v>
          </cell>
          <cell r="G25">
            <v>0.52439024390243905</v>
          </cell>
          <cell r="H25">
            <v>71.912258064516138</v>
          </cell>
          <cell r="I25">
            <v>58.193548387096776</v>
          </cell>
          <cell r="J25">
            <v>25.387096774193548</v>
          </cell>
          <cell r="K25">
            <v>10.903225806451612</v>
          </cell>
          <cell r="L25">
            <v>13.451612903225806</v>
          </cell>
          <cell r="M25">
            <v>2.5</v>
          </cell>
          <cell r="N25">
            <v>0.19614735939494371</v>
          </cell>
          <cell r="O25">
            <v>95.980057410484974</v>
          </cell>
          <cell r="P25">
            <v>90.894504210092833</v>
          </cell>
          <cell r="Q25">
            <v>0.50762527233115473</v>
          </cell>
          <cell r="R25">
            <v>68.88</v>
          </cell>
          <cell r="S25">
            <v>57.375</v>
          </cell>
          <cell r="T25">
            <v>19.96875</v>
          </cell>
          <cell r="U25">
            <v>8.96875</v>
          </cell>
          <cell r="V25">
            <v>11.6875</v>
          </cell>
          <cell r="W25">
            <v>0</v>
          </cell>
          <cell r="X25">
            <v>-1</v>
          </cell>
        </row>
        <row r="26">
          <cell r="A26">
            <v>25</v>
          </cell>
          <cell r="B26" t="str">
            <v>Washington State</v>
          </cell>
          <cell r="C26" t="str">
            <v>Davidson</v>
          </cell>
          <cell r="D26">
            <v>0.23852889049512452</v>
          </cell>
          <cell r="E26">
            <v>95.246142385867842</v>
          </cell>
          <cell r="F26">
            <v>91.655817685265887</v>
          </cell>
          <cell r="G26">
            <v>0.54604154969118468</v>
          </cell>
          <cell r="H26">
            <v>68.289032258064523</v>
          </cell>
          <cell r="I26">
            <v>57.451612903225808</v>
          </cell>
          <cell r="J26">
            <v>17.225806451612904</v>
          </cell>
          <cell r="K26">
            <v>9.8387096774193541</v>
          </cell>
          <cell r="L26">
            <v>13.096774193548388</v>
          </cell>
          <cell r="M26">
            <v>3.3</v>
          </cell>
          <cell r="N26">
            <v>0.78372118685034498</v>
          </cell>
          <cell r="O26">
            <v>98.660527417329419</v>
          </cell>
          <cell r="P26">
            <v>101.5274213997161</v>
          </cell>
          <cell r="Q26">
            <v>0.53552060737527118</v>
          </cell>
          <cell r="R26">
            <v>64.484848484848484</v>
          </cell>
          <cell r="S26">
            <v>55.878787878787875</v>
          </cell>
          <cell r="T26">
            <v>18.181818181818183</v>
          </cell>
          <cell r="U26">
            <v>9.7878787878787872</v>
          </cell>
          <cell r="V26">
            <v>10.393939393939394</v>
          </cell>
          <cell r="W26">
            <v>0</v>
          </cell>
          <cell r="X26">
            <v>-6</v>
          </cell>
        </row>
        <row r="27">
          <cell r="A27">
            <v>26</v>
          </cell>
          <cell r="B27" t="str">
            <v>Arkansas State</v>
          </cell>
          <cell r="C27" t="str">
            <v>Toledo</v>
          </cell>
          <cell r="D27">
            <v>-0.50131273712077018</v>
          </cell>
          <cell r="E27">
            <v>99.460970873786408</v>
          </cell>
          <cell r="F27">
            <v>101.20653480983282</v>
          </cell>
          <cell r="G27">
            <v>0.52077922077922079</v>
          </cell>
          <cell r="H27">
            <v>72.624516129032259</v>
          </cell>
          <cell r="I27">
            <v>62.096774193548384</v>
          </cell>
          <cell r="J27">
            <v>24</v>
          </cell>
          <cell r="K27">
            <v>14.387096774193548</v>
          </cell>
          <cell r="L27">
            <v>14.35483870967742</v>
          </cell>
          <cell r="M27">
            <v>2.5</v>
          </cell>
          <cell r="N27">
            <v>0.27797370916816511</v>
          </cell>
          <cell r="O27">
            <v>99.64332957718878</v>
          </cell>
          <cell r="P27">
            <v>100.53589835793353</v>
          </cell>
          <cell r="Q27">
            <v>0.54814814814814816</v>
          </cell>
          <cell r="R27">
            <v>69.339393939393943</v>
          </cell>
          <cell r="S27">
            <v>61.363636363636367</v>
          </cell>
          <cell r="T27">
            <v>18.333333333333332</v>
          </cell>
          <cell r="U27">
            <v>10.303030303030303</v>
          </cell>
          <cell r="V27">
            <v>10.212121212121213</v>
          </cell>
          <cell r="W27">
            <v>0</v>
          </cell>
          <cell r="X27">
            <v>2</v>
          </cell>
        </row>
        <row r="28">
          <cell r="A28">
            <v>27</v>
          </cell>
          <cell r="B28" t="str">
            <v>High Point</v>
          </cell>
          <cell r="C28" t="str">
            <v>Liberty</v>
          </cell>
          <cell r="D28">
            <v>1.1919373029271081</v>
          </cell>
          <cell r="E28">
            <v>102.08135263134599</v>
          </cell>
          <cell r="F28">
            <v>95.487748595419589</v>
          </cell>
          <cell r="G28">
            <v>0.56606463878326996</v>
          </cell>
          <cell r="H28">
            <v>71.407058823529411</v>
          </cell>
          <cell r="I28">
            <v>61.882352941176471</v>
          </cell>
          <cell r="J28">
            <v>26.794117647058822</v>
          </cell>
          <cell r="K28">
            <v>11.617647058823529</v>
          </cell>
          <cell r="L28">
            <v>9.3529411764705888</v>
          </cell>
          <cell r="M28">
            <v>0</v>
          </cell>
          <cell r="N28">
            <v>0.97083333602150657</v>
          </cell>
          <cell r="O28">
            <v>95.11301425551521</v>
          </cell>
          <cell r="P28">
            <v>107.7051135503291</v>
          </cell>
          <cell r="Q28">
            <v>0.61175115207373276</v>
          </cell>
          <cell r="R28">
            <v>64.793750000000003</v>
          </cell>
          <cell r="S28">
            <v>54.25</v>
          </cell>
          <cell r="T28">
            <v>16.71875</v>
          </cell>
          <cell r="U28">
            <v>5.65625</v>
          </cell>
          <cell r="V28">
            <v>8.84375</v>
          </cell>
          <cell r="W28">
            <v>0</v>
          </cell>
          <cell r="X28">
            <v>-9</v>
          </cell>
        </row>
        <row r="29">
          <cell r="A29">
            <v>28</v>
          </cell>
          <cell r="B29" t="str">
            <v>Cornell</v>
          </cell>
          <cell r="C29" t="str">
            <v>Pepperdine</v>
          </cell>
          <cell r="D29">
            <v>-2.5224106291792042E-2</v>
          </cell>
          <cell r="E29">
            <v>97.272279310137606</v>
          </cell>
          <cell r="F29">
            <v>100.77242315365478</v>
          </cell>
          <cell r="G29">
            <v>0.59271935283136279</v>
          </cell>
          <cell r="H29">
            <v>71.856923076923081</v>
          </cell>
          <cell r="I29">
            <v>61.807692307692307</v>
          </cell>
          <cell r="J29">
            <v>18.73076923076923</v>
          </cell>
          <cell r="K29">
            <v>10.076923076923077</v>
          </cell>
          <cell r="L29">
            <v>11.884615384615385</v>
          </cell>
          <cell r="M29">
            <v>2.5</v>
          </cell>
          <cell r="N29">
            <v>0.45106928314771205</v>
          </cell>
          <cell r="O29">
            <v>97.660460903693263</v>
          </cell>
          <cell r="P29">
            <v>94.068392508598095</v>
          </cell>
          <cell r="Q29">
            <v>0.4837526205450734</v>
          </cell>
          <cell r="R29">
            <v>69.394999999999996</v>
          </cell>
          <cell r="S29">
            <v>59.625</v>
          </cell>
          <cell r="T29">
            <v>18.9375</v>
          </cell>
          <cell r="U29">
            <v>11.4375</v>
          </cell>
          <cell r="V29">
            <v>12.875</v>
          </cell>
          <cell r="W29">
            <v>0</v>
          </cell>
          <cell r="X29">
            <v>-1</v>
          </cell>
        </row>
        <row r="30"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</row>
        <row r="34"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</row>
        <row r="35"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</row>
        <row r="39"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</row>
        <row r="40"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</row>
        <row r="41"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</row>
        <row r="42"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</row>
        <row r="43"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</row>
        <row r="44"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</row>
        <row r="45"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</row>
        <row r="46"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</row>
        <row r="47"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</row>
        <row r="48"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</row>
        <row r="49"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</row>
        <row r="50"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</row>
        <row r="51"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</row>
        <row r="52"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</row>
        <row r="53"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</row>
        <row r="54"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</row>
        <row r="55"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</row>
        <row r="56"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</row>
        <row r="57"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</row>
        <row r="58"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</row>
        <row r="59"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</row>
        <row r="60"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</row>
        <row r="61"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</row>
        <row r="62"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</row>
        <row r="63"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</row>
        <row r="64"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</row>
        <row r="65"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</row>
        <row r="66"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</row>
        <row r="67"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</row>
        <row r="68"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</row>
        <row r="69"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</row>
        <row r="70"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</row>
        <row r="71"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</row>
        <row r="72"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</row>
        <row r="73"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</row>
        <row r="74"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</row>
        <row r="75"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</row>
        <row r="76"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</row>
        <row r="77"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</row>
        <row r="78"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</row>
        <row r="79"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</row>
        <row r="80"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</row>
        <row r="81"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</row>
        <row r="82"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</row>
        <row r="83"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</row>
        <row r="84"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</row>
        <row r="85"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</row>
        <row r="86"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</row>
        <row r="87"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</row>
        <row r="88"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</row>
        <row r="89"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</row>
        <row r="90"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</row>
        <row r="91"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</row>
        <row r="92"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</row>
        <row r="93"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</row>
        <row r="94"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</row>
        <row r="95"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</row>
        <row r="96"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</row>
        <row r="97"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</row>
        <row r="98"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</row>
        <row r="99"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</row>
        <row r="100"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</row>
        <row r="101"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</row>
        <row r="102"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</row>
        <row r="103"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</row>
        <row r="104"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</row>
        <row r="105"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</row>
        <row r="106"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</row>
        <row r="107"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</row>
        <row r="108"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</row>
        <row r="109"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</row>
        <row r="110"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</row>
        <row r="111"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</row>
        <row r="112"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</row>
        <row r="113"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</row>
        <row r="114"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</row>
        <row r="115"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</row>
        <row r="116"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</row>
        <row r="117"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</row>
        <row r="118"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</row>
        <row r="119"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</row>
        <row r="120"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</row>
        <row r="121"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</row>
        <row r="122"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</row>
        <row r="123"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</row>
        <row r="124"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</row>
        <row r="127"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</row>
        <row r="128"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</row>
        <row r="129"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</row>
        <row r="130"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</row>
        <row r="131"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</row>
        <row r="132"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</row>
        <row r="133"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</row>
        <row r="134"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</row>
        <row r="135"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8"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</row>
        <row r="139"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</row>
        <row r="140"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</row>
        <row r="141"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</row>
        <row r="142"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</row>
        <row r="143"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</row>
        <row r="144"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</row>
        <row r="147"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</row>
        <row r="148"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</row>
        <row r="149"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</row>
        <row r="150"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</row>
        <row r="152"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</row>
        <row r="161"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</row>
        <row r="162"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</row>
        <row r="163"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</row>
        <row r="164"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</row>
        <row r="165"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</row>
        <row r="166"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</row>
        <row r="167"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</row>
        <row r="168"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</row>
        <row r="169"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</row>
        <row r="170"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</row>
        <row r="171"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</row>
        <row r="172"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</row>
        <row r="173"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</row>
        <row r="174"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</row>
        <row r="175"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</row>
        <row r="176"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</row>
        <row r="177"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</row>
        <row r="178"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</row>
        <row r="179"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tting Dashboard"/>
      <sheetName val="Freshmen 25-26"/>
      <sheetName val="Teams"/>
      <sheetName val="Tracking Dashboard"/>
      <sheetName val="ScheduleRaw"/>
      <sheetName val="ScheduleAdj"/>
      <sheetName val="Top100Players"/>
      <sheetName val="Transfer Ratings"/>
      <sheetName val="TeamPER"/>
      <sheetName val="Freshmen 26-27"/>
      <sheetName val="Full Rankings"/>
      <sheetName val="FelderTransferRtg"/>
      <sheetName val="TeamRtg"/>
      <sheetName val="ATS Data"/>
      <sheetName val="PlayerRtg"/>
      <sheetName val="Market Odds"/>
      <sheetName val="TeamRosters"/>
      <sheetName val="PlayerData"/>
      <sheetName val="TeamData"/>
      <sheetName val="HCA"/>
      <sheetName val="PythonFilter"/>
      <sheetName val="Output"/>
      <sheetName val="Def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Duke</v>
          </cell>
          <cell r="B3">
            <v>2.3724603209097661</v>
          </cell>
          <cell r="C3">
            <v>1.1176608138421091</v>
          </cell>
          <cell r="D3">
            <v>1</v>
          </cell>
          <cell r="E3">
            <v>2.6348279045041623</v>
          </cell>
          <cell r="F3">
            <v>1</v>
          </cell>
          <cell r="G3">
            <v>2.786135048373541</v>
          </cell>
        </row>
        <row r="4">
          <cell r="A4" t="str">
            <v>Florida</v>
          </cell>
          <cell r="B4">
            <v>2.3298564444458925</v>
          </cell>
          <cell r="C4">
            <v>1.1018571453442105</v>
          </cell>
          <cell r="D4">
            <v>2</v>
          </cell>
          <cell r="E4">
            <v>2.5651526083725922</v>
          </cell>
          <cell r="F4">
            <v>2</v>
          </cell>
          <cell r="G4">
            <v>2.7124698926776269</v>
          </cell>
        </row>
        <row r="5">
          <cell r="A5" t="str">
            <v>Houston</v>
          </cell>
          <cell r="B5">
            <v>2.1421383544845458</v>
          </cell>
          <cell r="C5">
            <v>1.0288746057697002</v>
          </cell>
          <cell r="D5">
            <v>4</v>
          </cell>
          <cell r="E5">
            <v>2.2460957598070088</v>
          </cell>
          <cell r="F5">
            <v>3</v>
          </cell>
          <cell r="G5">
            <v>2.3751426945118781</v>
          </cell>
        </row>
        <row r="6">
          <cell r="A6" t="str">
            <v>Gonzaga</v>
          </cell>
          <cell r="B6">
            <v>2.1488184458900852</v>
          </cell>
          <cell r="C6">
            <v>1.0274141191803989</v>
          </cell>
          <cell r="D6">
            <v>5</v>
          </cell>
          <cell r="E6">
            <v>2.2428419498760026</v>
          </cell>
          <cell r="F6">
            <v>4</v>
          </cell>
          <cell r="G6">
            <v>2.3717025596508812</v>
          </cell>
        </row>
        <row r="7">
          <cell r="A7" t="str">
            <v>Illinois</v>
          </cell>
          <cell r="B7">
            <v>1.920033914208608</v>
          </cell>
          <cell r="C7">
            <v>1.0201821441899521</v>
          </cell>
          <cell r="D7">
            <v>6</v>
          </cell>
          <cell r="E7">
            <v>2.1481710563811225</v>
          </cell>
          <cell r="F7">
            <v>5</v>
          </cell>
          <cell r="G7">
            <v>2.2716104682444449</v>
          </cell>
        </row>
        <row r="8">
          <cell r="A8" t="str">
            <v>Arizona</v>
          </cell>
          <cell r="B8">
            <v>2.4411326789092134</v>
          </cell>
          <cell r="C8">
            <v>0.97368047890533727</v>
          </cell>
          <cell r="D8">
            <v>8</v>
          </cell>
          <cell r="E8">
            <v>2.1370919642831652</v>
          </cell>
          <cell r="F8">
            <v>6</v>
          </cell>
          <cell r="G8">
            <v>2.2598969472452048</v>
          </cell>
        </row>
        <row r="9">
          <cell r="A9" t="str">
            <v>Texas</v>
          </cell>
          <cell r="B9">
            <v>1.4596895432031811</v>
          </cell>
          <cell r="C9">
            <v>1.0341456841277203</v>
          </cell>
          <cell r="D9">
            <v>3</v>
          </cell>
          <cell r="E9">
            <v>2.0603373075650984</v>
          </cell>
          <cell r="F9">
            <v>7</v>
          </cell>
          <cell r="G9">
            <v>2.1787470411601855</v>
          </cell>
        </row>
        <row r="10">
          <cell r="A10" t="str">
            <v>UConn</v>
          </cell>
          <cell r="B10">
            <v>1.8429141834358775</v>
          </cell>
          <cell r="C10">
            <v>0.98813725081894255</v>
          </cell>
          <cell r="D10">
            <v>7</v>
          </cell>
          <cell r="E10">
            <v>2.0096716421589371</v>
          </cell>
          <cell r="F10">
            <v>8</v>
          </cell>
          <cell r="G10">
            <v>2.1251800764280349</v>
          </cell>
        </row>
        <row r="11">
          <cell r="A11" t="str">
            <v>Michigan State</v>
          </cell>
          <cell r="B11">
            <v>2.0438264420963757</v>
          </cell>
          <cell r="C11">
            <v>0.96939635396333257</v>
          </cell>
          <cell r="D11">
            <v>10</v>
          </cell>
          <cell r="E11">
            <v>2.0024769922614785</v>
          </cell>
          <cell r="F11">
            <v>9</v>
          </cell>
          <cell r="G11">
            <v>2.1175734348448678</v>
          </cell>
        </row>
        <row r="12">
          <cell r="A12" t="str">
            <v>Alabama</v>
          </cell>
          <cell r="B12">
            <v>2.0079188366631255</v>
          </cell>
          <cell r="C12">
            <v>0.97070135904010846</v>
          </cell>
          <cell r="D12">
            <v>9</v>
          </cell>
          <cell r="E12">
            <v>1.9964028054228948</v>
          </cell>
          <cell r="F12">
            <v>10</v>
          </cell>
          <cell r="G12">
            <v>2.1111514180895261</v>
          </cell>
        </row>
        <row r="13">
          <cell r="A13" t="str">
            <v>Iowa State</v>
          </cell>
          <cell r="B13">
            <v>2.1151351908000979</v>
          </cell>
          <cell r="C13">
            <v>0.92693190814616266</v>
          </cell>
          <cell r="D13">
            <v>22</v>
          </cell>
          <cell r="E13">
            <v>1.8709951221573267</v>
          </cell>
          <cell r="F13">
            <v>11</v>
          </cell>
          <cell r="G13">
            <v>1.9785624371144439</v>
          </cell>
        </row>
        <row r="14">
          <cell r="A14" t="str">
            <v>Vanderbilt</v>
          </cell>
          <cell r="B14">
            <v>1.9750140720740106</v>
          </cell>
          <cell r="C14">
            <v>0.92715319009308883</v>
          </cell>
          <cell r="D14">
            <v>21</v>
          </cell>
          <cell r="E14">
            <v>1.8297554145226278</v>
          </cell>
          <cell r="F14">
            <v>12</v>
          </cell>
          <cell r="G14">
            <v>1.9349611946019263</v>
          </cell>
        </row>
        <row r="15">
          <cell r="A15" t="str">
            <v>Kansas</v>
          </cell>
          <cell r="B15">
            <v>1.7036280870418232</v>
          </cell>
          <cell r="C15">
            <v>0.94455714818237113</v>
          </cell>
          <cell r="D15">
            <v>16</v>
          </cell>
          <cell r="E15">
            <v>1.8109948885624674</v>
          </cell>
          <cell r="F15">
            <v>13</v>
          </cell>
          <cell r="G15">
            <v>1.9151263730436112</v>
          </cell>
        </row>
        <row r="16">
          <cell r="A16" t="str">
            <v>Arkansas</v>
          </cell>
          <cell r="B16">
            <v>2.0353783970235364</v>
          </cell>
          <cell r="C16">
            <v>0.9105750811681721</v>
          </cell>
          <cell r="D16">
            <v>27</v>
          </cell>
          <cell r="E16">
            <v>1.7881825478708564</v>
          </cell>
          <cell r="F16">
            <v>14</v>
          </cell>
          <cell r="G16">
            <v>1.891007715181541</v>
          </cell>
        </row>
        <row r="17">
          <cell r="A17" t="str">
            <v>Nebraska</v>
          </cell>
          <cell r="B17">
            <v>1.5980765174629916</v>
          </cell>
          <cell r="C17">
            <v>0.94516456227102752</v>
          </cell>
          <cell r="D17">
            <v>15</v>
          </cell>
          <cell r="E17">
            <v>1.7815161440218561</v>
          </cell>
          <cell r="F17">
            <v>15</v>
          </cell>
          <cell r="G17">
            <v>1.8839595689269328</v>
          </cell>
        </row>
        <row r="18">
          <cell r="A18" t="str">
            <v>Texas Tech</v>
          </cell>
          <cell r="B18">
            <v>1.7307723029482374</v>
          </cell>
          <cell r="C18">
            <v>0.92725193957608387</v>
          </cell>
          <cell r="D18">
            <v>20</v>
          </cell>
          <cell r="E18">
            <v>1.7568383877135534</v>
          </cell>
          <cell r="F18">
            <v>16</v>
          </cell>
          <cell r="G18">
            <v>1.8578686750002795</v>
          </cell>
        </row>
        <row r="19">
          <cell r="A19" t="str">
            <v>Virginia</v>
          </cell>
          <cell r="B19">
            <v>1.2837239079548026</v>
          </cell>
          <cell r="C19">
            <v>0.96394256673225964</v>
          </cell>
          <cell r="D19">
            <v>11</v>
          </cell>
          <cell r="E19">
            <v>1.754812278220939</v>
          </cell>
          <cell r="F19">
            <v>17</v>
          </cell>
          <cell r="G19">
            <v>1.8557265431469958</v>
          </cell>
        </row>
        <row r="20">
          <cell r="A20" t="str">
            <v>Michigan</v>
          </cell>
          <cell r="B20">
            <v>2.3843675202568266</v>
          </cell>
          <cell r="C20">
            <v>0.86156740213891791</v>
          </cell>
          <cell r="D20">
            <v>44</v>
          </cell>
          <cell r="E20">
            <v>1.7164487669195201</v>
          </cell>
          <cell r="F20">
            <v>18</v>
          </cell>
          <cell r="G20">
            <v>1.8151661983768144</v>
          </cell>
        </row>
        <row r="21">
          <cell r="A21" t="str">
            <v>Georgia</v>
          </cell>
          <cell r="B21">
            <v>1.4165505551334869</v>
          </cell>
          <cell r="C21">
            <v>0.93983140088692674</v>
          </cell>
          <cell r="D21">
            <v>17</v>
          </cell>
          <cell r="E21">
            <v>1.7078586616465663</v>
          </cell>
          <cell r="F21">
            <v>19</v>
          </cell>
          <cell r="G21">
            <v>1.8060841925941404</v>
          </cell>
        </row>
        <row r="22">
          <cell r="A22" t="str">
            <v>Kentucky</v>
          </cell>
          <cell r="B22">
            <v>1.8370317256087239</v>
          </cell>
          <cell r="C22">
            <v>0.90392140277345323</v>
          </cell>
          <cell r="D22">
            <v>32</v>
          </cell>
          <cell r="E22">
            <v>1.7047249141072558</v>
          </cell>
          <cell r="F22">
            <v>20</v>
          </cell>
          <cell r="G22">
            <v>1.8027709953318127</v>
          </cell>
        </row>
        <row r="23">
          <cell r="A23" t="str">
            <v>Louisville</v>
          </cell>
          <cell r="B23">
            <v>1.6836789259046161</v>
          </cell>
          <cell r="C23">
            <v>0.91542125191975066</v>
          </cell>
          <cell r="D23">
            <v>24</v>
          </cell>
          <cell r="E23">
            <v>1.7001192053813263</v>
          </cell>
          <cell r="F23">
            <v>21</v>
          </cell>
          <cell r="G23">
            <v>1.7979015470592865</v>
          </cell>
        </row>
        <row r="24">
          <cell r="A24" t="str">
            <v>Tennessee</v>
          </cell>
          <cell r="B24">
            <v>2.1093237350207152</v>
          </cell>
          <cell r="C24">
            <v>0.87992650724593546</v>
          </cell>
          <cell r="D24">
            <v>38</v>
          </cell>
          <cell r="E24">
            <v>1.7000294861641656</v>
          </cell>
          <cell r="F24">
            <v>22</v>
          </cell>
          <cell r="G24">
            <v>1.7978066901951177</v>
          </cell>
        </row>
        <row r="25">
          <cell r="A25" t="str">
            <v>St. John's</v>
          </cell>
          <cell r="B25">
            <v>1.5225420471935447</v>
          </cell>
          <cell r="C25">
            <v>0.92199351773058957</v>
          </cell>
          <cell r="D25">
            <v>23</v>
          </cell>
          <cell r="E25">
            <v>1.6754386840318154</v>
          </cell>
          <cell r="F25">
            <v>23</v>
          </cell>
          <cell r="G25">
            <v>1.7718077297551607</v>
          </cell>
        </row>
        <row r="26">
          <cell r="A26" t="str">
            <v>Villanova</v>
          </cell>
          <cell r="B26">
            <v>1.1705506225722693</v>
          </cell>
          <cell r="C26">
            <v>0.94986667286414983</v>
          </cell>
          <cell r="D26">
            <v>13</v>
          </cell>
          <cell r="E26">
            <v>1.6701862493838142</v>
          </cell>
          <cell r="F26">
            <v>24</v>
          </cell>
          <cell r="G26">
            <v>1.7662545216942005</v>
          </cell>
        </row>
        <row r="27">
          <cell r="A27" t="str">
            <v>BYU</v>
          </cell>
          <cell r="B27">
            <v>1.7198667772762584</v>
          </cell>
          <cell r="C27">
            <v>0.8971847951683477</v>
          </cell>
          <cell r="D27">
            <v>34</v>
          </cell>
          <cell r="E27">
            <v>1.6453232472486652</v>
          </cell>
          <cell r="F27">
            <v>25</v>
          </cell>
          <cell r="G27">
            <v>1.7399677740943762</v>
          </cell>
        </row>
        <row r="28">
          <cell r="A28" t="str">
            <v>Miami</v>
          </cell>
          <cell r="B28">
            <v>1.2132616285585638</v>
          </cell>
          <cell r="C28">
            <v>0.93431695272592707</v>
          </cell>
          <cell r="D28">
            <v>19</v>
          </cell>
          <cell r="E28">
            <v>1.6270196469716165</v>
          </cell>
          <cell r="F28">
            <v>26</v>
          </cell>
          <cell r="G28">
            <v>1.7206160434370932</v>
          </cell>
        </row>
        <row r="29">
          <cell r="A29" t="str">
            <v>Southern California</v>
          </cell>
          <cell r="B29">
            <v>0.93770939839851419</v>
          </cell>
          <cell r="C29">
            <v>0.94937183505913092</v>
          </cell>
          <cell r="D29">
            <v>14</v>
          </cell>
          <cell r="E29">
            <v>1.5985524370203119</v>
          </cell>
          <cell r="F29">
            <v>27</v>
          </cell>
          <cell r="G29">
            <v>1.6905186980403659</v>
          </cell>
        </row>
        <row r="30">
          <cell r="A30" t="str">
            <v>Baylor</v>
          </cell>
          <cell r="B30">
            <v>1.3263082288045847</v>
          </cell>
          <cell r="C30">
            <v>0.90744848937632461</v>
          </cell>
          <cell r="D30">
            <v>29</v>
          </cell>
          <cell r="E30">
            <v>1.5642055836363322</v>
          </cell>
          <cell r="F30">
            <v>28</v>
          </cell>
          <cell r="G30">
            <v>1.6542050195535489</v>
          </cell>
        </row>
        <row r="31">
          <cell r="A31" t="str">
            <v>UCLA</v>
          </cell>
          <cell r="B31">
            <v>1.6111786314801126</v>
          </cell>
          <cell r="C31">
            <v>0.88188243571735692</v>
          </cell>
          <cell r="D31">
            <v>37</v>
          </cell>
          <cell r="E31">
            <v>1.557627412279011</v>
          </cell>
          <cell r="F31">
            <v>29</v>
          </cell>
          <cell r="G31">
            <v>1.6472501583023471</v>
          </cell>
        </row>
        <row r="32">
          <cell r="A32" t="str">
            <v>Purdue</v>
          </cell>
          <cell r="B32">
            <v>2.1468365779649368</v>
          </cell>
          <cell r="C32">
            <v>0.8313342958543577</v>
          </cell>
          <cell r="D32">
            <v>52</v>
          </cell>
          <cell r="E32">
            <v>1.5363485289814229</v>
          </cell>
          <cell r="F32">
            <v>30</v>
          </cell>
          <cell r="G32">
            <v>1.6247527691532284</v>
          </cell>
        </row>
        <row r="33">
          <cell r="A33" t="str">
            <v>Ohio State</v>
          </cell>
          <cell r="B33">
            <v>1.480782681200234</v>
          </cell>
          <cell r="C33">
            <v>0.88653150850159745</v>
          </cell>
          <cell r="D33">
            <v>36</v>
          </cell>
          <cell r="E33">
            <v>1.5352455618025378</v>
          </cell>
          <cell r="F33">
            <v>31</v>
          </cell>
          <cell r="G33">
            <v>1.6235866420827869</v>
          </cell>
        </row>
        <row r="34">
          <cell r="A34" t="str">
            <v>Wisconsin</v>
          </cell>
          <cell r="B34">
            <v>1.633833869039695</v>
          </cell>
          <cell r="C34">
            <v>0.8714403001183274</v>
          </cell>
          <cell r="D34">
            <v>39</v>
          </cell>
          <cell r="E34">
            <v>1.5268316831475599</v>
          </cell>
          <cell r="F34">
            <v>32</v>
          </cell>
          <cell r="G34">
            <v>1.6146909542918793</v>
          </cell>
        </row>
        <row r="35">
          <cell r="A35" t="str">
            <v>LSU</v>
          </cell>
          <cell r="B35">
            <v>1.1732078843986069</v>
          </cell>
          <cell r="C35">
            <v>0.90720087454796516</v>
          </cell>
          <cell r="D35">
            <v>30</v>
          </cell>
          <cell r="E35">
            <v>1.5173840524143034</v>
          </cell>
          <cell r="F35">
            <v>33</v>
          </cell>
          <cell r="G35">
            <v>1.6047023180382403</v>
          </cell>
        </row>
        <row r="36">
          <cell r="A36" t="str">
            <v>Maryland</v>
          </cell>
          <cell r="B36">
            <v>0.48942434053070777</v>
          </cell>
          <cell r="C36">
            <v>0.96155116427328047</v>
          </cell>
          <cell r="D36">
            <v>12</v>
          </cell>
          <cell r="E36">
            <v>1.5079132189287852</v>
          </cell>
          <cell r="F36">
            <v>34</v>
          </cell>
          <cell r="G36">
            <v>1.5946891503587897</v>
          </cell>
        </row>
        <row r="37">
          <cell r="A37" t="str">
            <v>NC State</v>
          </cell>
          <cell r="B37">
            <v>1.2089910120808776</v>
          </cell>
          <cell r="C37">
            <v>0.89757167649615477</v>
          </cell>
          <cell r="D37">
            <v>33</v>
          </cell>
          <cell r="E37">
            <v>1.4934533131537651</v>
          </cell>
          <cell r="F37">
            <v>35</v>
          </cell>
          <cell r="G37">
            <v>1.5794012180584567</v>
          </cell>
        </row>
        <row r="38">
          <cell r="A38" t="str">
            <v>TCU</v>
          </cell>
          <cell r="B38">
            <v>1.2612728385669907</v>
          </cell>
          <cell r="C38">
            <v>0.8901795486952917</v>
          </cell>
          <cell r="D38">
            <v>35</v>
          </cell>
          <cell r="E38">
            <v>1.4825257676015906</v>
          </cell>
          <cell r="F38">
            <v>36</v>
          </cell>
          <cell r="G38">
            <v>1.5678479217085559</v>
          </cell>
        </row>
        <row r="39">
          <cell r="A39" t="str">
            <v>VCU</v>
          </cell>
          <cell r="B39">
            <v>1.0029156853985772</v>
          </cell>
          <cell r="C39">
            <v>0.90666559607042319</v>
          </cell>
          <cell r="D39">
            <v>31</v>
          </cell>
          <cell r="E39">
            <v>1.4643693588107203</v>
          </cell>
          <cell r="F39">
            <v>37</v>
          </cell>
          <cell r="G39">
            <v>1.5486518112545364</v>
          </cell>
        </row>
        <row r="40">
          <cell r="A40" t="str">
            <v>Auburn</v>
          </cell>
          <cell r="B40">
            <v>1.7297344382488178</v>
          </cell>
          <cell r="C40">
            <v>0.84505679756514906</v>
          </cell>
          <cell r="D40">
            <v>50</v>
          </cell>
          <cell r="E40">
            <v>1.4606196978025325</v>
          </cell>
          <cell r="F40">
            <v>38</v>
          </cell>
          <cell r="G40">
            <v>1.5446874310895287</v>
          </cell>
        </row>
        <row r="41">
          <cell r="A41" t="str">
            <v>North Carolina</v>
          </cell>
          <cell r="B41">
            <v>1.399308931370413</v>
          </cell>
          <cell r="C41">
            <v>0.86836846148475177</v>
          </cell>
          <cell r="D41">
            <v>40</v>
          </cell>
          <cell r="E41">
            <v>1.4454154026580002</v>
          </cell>
          <cell r="F41">
            <v>39</v>
          </cell>
          <cell r="G41">
            <v>1.5286124829909424</v>
          </cell>
        </row>
        <row r="42">
          <cell r="A42" t="str">
            <v>West Virginia</v>
          </cell>
          <cell r="B42">
            <v>0.85148932871286476</v>
          </cell>
          <cell r="C42">
            <v>0.9116522020389134</v>
          </cell>
          <cell r="D42">
            <v>26</v>
          </cell>
          <cell r="E42">
            <v>1.4368935256660258</v>
          </cell>
          <cell r="F42">
            <v>40</v>
          </cell>
          <cell r="G42">
            <v>1.5196026124874891</v>
          </cell>
        </row>
        <row r="43">
          <cell r="A43" t="str">
            <v>Marquette</v>
          </cell>
          <cell r="B43">
            <v>0.51719732592928536</v>
          </cell>
          <cell r="C43">
            <v>0.9382139429597065</v>
          </cell>
          <cell r="D43">
            <v>18</v>
          </cell>
          <cell r="E43">
            <v>1.4322297495125931</v>
          </cell>
          <cell r="F43">
            <v>41</v>
          </cell>
          <cell r="G43">
            <v>1.5146717716364539</v>
          </cell>
        </row>
        <row r="44">
          <cell r="A44" t="str">
            <v>Colorado State</v>
          </cell>
          <cell r="B44">
            <v>0.80398951321808487</v>
          </cell>
          <cell r="C44">
            <v>0.90908164432085536</v>
          </cell>
          <cell r="D44">
            <v>28</v>
          </cell>
          <cell r="E44">
            <v>1.4133894225157595</v>
          </cell>
          <cell r="F44">
            <v>42</v>
          </cell>
          <cell r="G44">
            <v>1.4947525793453595</v>
          </cell>
        </row>
        <row r="45">
          <cell r="A45" t="str">
            <v>Providence</v>
          </cell>
          <cell r="B45">
            <v>0.69425739770880301</v>
          </cell>
          <cell r="C45">
            <v>0.91451230064166888</v>
          </cell>
          <cell r="D45">
            <v>25</v>
          </cell>
          <cell r="E45">
            <v>1.4000204690278981</v>
          </cell>
          <cell r="F45">
            <v>43</v>
          </cell>
          <cell r="G45">
            <v>1.4806180712075676</v>
          </cell>
        </row>
        <row r="46">
          <cell r="A46" t="str">
            <v>New Mexico</v>
          </cell>
          <cell r="B46">
            <v>1.2426414769371414</v>
          </cell>
          <cell r="C46">
            <v>0.8638108296120397</v>
          </cell>
          <cell r="D46">
            <v>42</v>
          </cell>
          <cell r="E46">
            <v>1.3820074243633904</v>
          </cell>
          <cell r="F46">
            <v>44</v>
          </cell>
          <cell r="G46">
            <v>1.4615735344285243</v>
          </cell>
        </row>
        <row r="47">
          <cell r="A47" t="str">
            <v>Oklahoma</v>
          </cell>
          <cell r="B47">
            <v>1.3151389996405596</v>
          </cell>
          <cell r="C47">
            <v>0.85598323204531379</v>
          </cell>
          <cell r="D47">
            <v>46</v>
          </cell>
          <cell r="E47">
            <v>1.3755768709868579</v>
          </cell>
          <cell r="F47">
            <v>45</v>
          </cell>
          <cell r="G47">
            <v>1.4547747442978209</v>
          </cell>
        </row>
        <row r="48">
          <cell r="A48" t="str">
            <v>Cincinnati</v>
          </cell>
          <cell r="B48">
            <v>1.2304938501803491</v>
          </cell>
          <cell r="C48">
            <v>0.8608098813753291</v>
          </cell>
          <cell r="D48">
            <v>45</v>
          </cell>
          <cell r="E48">
            <v>1.3675595467327337</v>
          </cell>
          <cell r="F48">
            <v>46</v>
          </cell>
          <cell r="G48">
            <v>1.4462983190476226</v>
          </cell>
        </row>
        <row r="49">
          <cell r="A49" t="str">
            <v>Iowa</v>
          </cell>
          <cell r="B49">
            <v>1.5661196946449574</v>
          </cell>
          <cell r="C49">
            <v>0.82776355461399631</v>
          </cell>
          <cell r="D49">
            <v>54</v>
          </cell>
          <cell r="E49">
            <v>1.34927858616059</v>
          </cell>
          <cell r="F49">
            <v>47</v>
          </cell>
          <cell r="G49">
            <v>1.4269705245266655</v>
          </cell>
        </row>
        <row r="50">
          <cell r="A50" t="str">
            <v>Indiana</v>
          </cell>
          <cell r="B50">
            <v>1.2531976647873275</v>
          </cell>
          <cell r="C50">
            <v>0.85254936325084407</v>
          </cell>
          <cell r="D50">
            <v>47</v>
          </cell>
          <cell r="E50">
            <v>1.3446323415363581</v>
          </cell>
          <cell r="F50">
            <v>48</v>
          </cell>
          <cell r="G50">
            <v>1.422058219123628</v>
          </cell>
        </row>
        <row r="51">
          <cell r="A51" t="str">
            <v>Clemson</v>
          </cell>
          <cell r="B51">
            <v>1.0833331337032761</v>
          </cell>
          <cell r="C51">
            <v>0.86343816111203875</v>
          </cell>
          <cell r="D51">
            <v>43</v>
          </cell>
          <cell r="E51">
            <v>1.3328732929429448</v>
          </cell>
          <cell r="F51">
            <v>49</v>
          </cell>
          <cell r="G51">
            <v>1.409625804859699</v>
          </cell>
        </row>
        <row r="52">
          <cell r="A52" t="str">
            <v>Missouri</v>
          </cell>
          <cell r="B52">
            <v>1.1832890866486203</v>
          </cell>
          <cell r="C52">
            <v>0.84826322148607547</v>
          </cell>
          <cell r="D52">
            <v>48</v>
          </cell>
          <cell r="E52">
            <v>1.3082294064367099</v>
          </cell>
          <cell r="F52">
            <v>50</v>
          </cell>
          <cell r="G52">
            <v>1.383570720242532</v>
          </cell>
        </row>
        <row r="53">
          <cell r="A53" t="str">
            <v>Texas A&amp;M</v>
          </cell>
          <cell r="B53">
            <v>1.3327173308481712</v>
          </cell>
          <cell r="C53">
            <v>0.82159951716642665</v>
          </cell>
          <cell r="D53">
            <v>57</v>
          </cell>
          <cell r="E53">
            <v>1.2570669808007402</v>
          </cell>
          <cell r="F53">
            <v>51</v>
          </cell>
          <cell r="G53">
            <v>1.3294785489923744</v>
          </cell>
        </row>
        <row r="54">
          <cell r="A54" t="str">
            <v>Saint Louis</v>
          </cell>
          <cell r="B54">
            <v>1.2842333839022859</v>
          </cell>
          <cell r="C54">
            <v>0.81649377123239197</v>
          </cell>
          <cell r="D54">
            <v>60</v>
          </cell>
          <cell r="E54">
            <v>1.224140811994586</v>
          </cell>
          <cell r="F54">
            <v>52</v>
          </cell>
          <cell r="G54">
            <v>1.2946669086228073</v>
          </cell>
        </row>
        <row r="55">
          <cell r="A55" t="str">
            <v>Utah State</v>
          </cell>
          <cell r="B55">
            <v>1.6485162279320009</v>
          </cell>
          <cell r="C55">
            <v>0.78320159988291227</v>
          </cell>
          <cell r="D55">
            <v>68</v>
          </cell>
          <cell r="E55">
            <v>1.2135718963602966</v>
          </cell>
          <cell r="F55">
            <v>53</v>
          </cell>
          <cell r="G55">
            <v>1.2834927786375292</v>
          </cell>
        </row>
        <row r="56">
          <cell r="A56" t="str">
            <v>Florida State</v>
          </cell>
          <cell r="B56">
            <v>0.87649403642374502</v>
          </cell>
          <cell r="C56">
            <v>0.84092450459326185</v>
          </cell>
          <cell r="D56">
            <v>51</v>
          </cell>
          <cell r="E56">
            <v>1.1897710802718031</v>
          </cell>
          <cell r="F56">
            <v>54</v>
          </cell>
          <cell r="G56">
            <v>1.258329041700726</v>
          </cell>
        </row>
        <row r="57">
          <cell r="A57" t="str">
            <v>Creighton</v>
          </cell>
          <cell r="B57">
            <v>0.57564045619396964</v>
          </cell>
          <cell r="C57">
            <v>0.86381548545490028</v>
          </cell>
          <cell r="D57">
            <v>41</v>
          </cell>
          <cell r="E57">
            <v>1.181923879447718</v>
          </cell>
          <cell r="F57">
            <v>55</v>
          </cell>
          <cell r="G57">
            <v>1.2500324817637327</v>
          </cell>
        </row>
        <row r="58">
          <cell r="A58" t="str">
            <v>Grand Canyon</v>
          </cell>
          <cell r="B58">
            <v>0.87218628114457908</v>
          </cell>
          <cell r="C58">
            <v>0.82568253740442243</v>
          </cell>
          <cell r="D58">
            <v>55</v>
          </cell>
          <cell r="E58">
            <v>1.1336067781419044</v>
          </cell>
          <cell r="F58">
            <v>56</v>
          </cell>
          <cell r="G58">
            <v>1.1989485684101833</v>
          </cell>
        </row>
        <row r="59">
          <cell r="A59" t="str">
            <v>High Point</v>
          </cell>
          <cell r="B59">
            <v>0.95095297617021568</v>
          </cell>
          <cell r="C59">
            <v>0.81727669399492719</v>
          </cell>
          <cell r="D59">
            <v>58</v>
          </cell>
          <cell r="E59">
            <v>1.1269752575243839</v>
          </cell>
          <cell r="F59">
            <v>57</v>
          </cell>
          <cell r="G59">
            <v>1.1919373029271081</v>
          </cell>
        </row>
        <row r="60">
          <cell r="A60" t="str">
            <v>Oklahoma State</v>
          </cell>
          <cell r="B60">
            <v>1.0210632551400336</v>
          </cell>
          <cell r="C60">
            <v>0.81138568566065805</v>
          </cell>
          <cell r="D60">
            <v>61</v>
          </cell>
          <cell r="E60">
            <v>1.1268003658106274</v>
          </cell>
          <cell r="F60">
            <v>58</v>
          </cell>
          <cell r="G60">
            <v>1.191752396281007</v>
          </cell>
        </row>
        <row r="61">
          <cell r="A61" t="str">
            <v>Xavier</v>
          </cell>
          <cell r="B61">
            <v>0.54180577683735809</v>
          </cell>
          <cell r="C61">
            <v>0.84509550194992911</v>
          </cell>
          <cell r="D61">
            <v>49</v>
          </cell>
          <cell r="E61">
            <v>1.1043804374336164</v>
          </cell>
          <cell r="F61">
            <v>59</v>
          </cell>
          <cell r="G61">
            <v>1.1680486216825459</v>
          </cell>
        </row>
        <row r="62">
          <cell r="A62" t="str">
            <v>Stanford</v>
          </cell>
          <cell r="B62">
            <v>1.0639598452875727</v>
          </cell>
          <cell r="C62">
            <v>0.79395369481222466</v>
          </cell>
          <cell r="D62">
            <v>65</v>
          </cell>
          <cell r="E62">
            <v>1.0769131537288339</v>
          </cell>
          <cell r="F62">
            <v>60</v>
          </cell>
          <cell r="G62">
            <v>1.1390084619272745</v>
          </cell>
        </row>
        <row r="63">
          <cell r="A63" t="str">
            <v>Utah</v>
          </cell>
          <cell r="B63">
            <v>0.62009023953642373</v>
          </cell>
          <cell r="C63">
            <v>0.81705182256421549</v>
          </cell>
          <cell r="D63">
            <v>59</v>
          </cell>
          <cell r="E63">
            <v>1.0269068861990325</v>
          </cell>
          <cell r="F63">
            <v>61</v>
          </cell>
          <cell r="G63">
            <v>1.0861386545797997</v>
          </cell>
        </row>
        <row r="64">
          <cell r="A64" t="str">
            <v>Pittsburgh</v>
          </cell>
          <cell r="B64">
            <v>0.43935032086783271</v>
          </cell>
          <cell r="C64">
            <v>0.82815745802291663</v>
          </cell>
          <cell r="D64">
            <v>53</v>
          </cell>
          <cell r="E64">
            <v>1.0126658493948923</v>
          </cell>
          <cell r="F64">
            <v>62</v>
          </cell>
          <cell r="G64">
            <v>1.0710821244795583</v>
          </cell>
        </row>
        <row r="65">
          <cell r="A65" t="str">
            <v>SMU</v>
          </cell>
          <cell r="B65">
            <v>1.3725727887868471</v>
          </cell>
          <cell r="C65">
            <v>0.73705157441634761</v>
          </cell>
          <cell r="D65">
            <v>79</v>
          </cell>
          <cell r="E65">
            <v>0.96464606707092271</v>
          </cell>
          <cell r="F65">
            <v>63</v>
          </cell>
          <cell r="G65">
            <v>1.0203125556685499</v>
          </cell>
        </row>
        <row r="66">
          <cell r="A66" t="str">
            <v>UCF</v>
          </cell>
          <cell r="B66">
            <v>1.2719714896161205</v>
          </cell>
          <cell r="C66">
            <v>0.74511597610672342</v>
          </cell>
          <cell r="D66">
            <v>77</v>
          </cell>
          <cell r="E66">
            <v>0.96349799623669097</v>
          </cell>
          <cell r="F66">
            <v>64</v>
          </cell>
          <cell r="G66">
            <v>1.019098742144257</v>
          </cell>
        </row>
        <row r="67">
          <cell r="A67" t="str">
            <v>Syracuse</v>
          </cell>
          <cell r="B67">
            <v>0.52634441261855802</v>
          </cell>
          <cell r="C67">
            <v>0.80411222429338325</v>
          </cell>
          <cell r="D67">
            <v>62</v>
          </cell>
          <cell r="E67">
            <v>0.95219982567473904</v>
          </cell>
          <cell r="F67">
            <v>65</v>
          </cell>
          <cell r="G67">
            <v>1.0071535974554773</v>
          </cell>
        </row>
        <row r="68">
          <cell r="A68" t="str">
            <v>Minnesota</v>
          </cell>
          <cell r="B68">
            <v>0.65884614829491162</v>
          </cell>
          <cell r="C68">
            <v>0.78385768274681267</v>
          </cell>
          <cell r="D68">
            <v>67</v>
          </cell>
          <cell r="E68">
            <v>0.919032809246632</v>
          </cell>
          <cell r="F68">
            <v>66</v>
          </cell>
          <cell r="G68">
            <v>0.97208731765765943</v>
          </cell>
        </row>
        <row r="69">
          <cell r="A69" t="str">
            <v>Mississippi State</v>
          </cell>
          <cell r="B69">
            <v>0.53126980142787505</v>
          </cell>
          <cell r="C69">
            <v>0.79435025282580485</v>
          </cell>
          <cell r="D69">
            <v>64</v>
          </cell>
          <cell r="E69">
            <v>0.91853377267078473</v>
          </cell>
          <cell r="F69">
            <v>67</v>
          </cell>
          <cell r="G69">
            <v>0.97155970444180273</v>
          </cell>
        </row>
        <row r="70">
          <cell r="A70" t="str">
            <v>Liberty</v>
          </cell>
          <cell r="B70">
            <v>0.56445281638974321</v>
          </cell>
          <cell r="C70">
            <v>0.79139420895056478</v>
          </cell>
          <cell r="D70">
            <v>66</v>
          </cell>
          <cell r="E70">
            <v>0.91784674588985082</v>
          </cell>
          <cell r="F70">
            <v>68</v>
          </cell>
          <cell r="G70">
            <v>0.97083333602150657</v>
          </cell>
        </row>
        <row r="71">
          <cell r="A71" t="str">
            <v>Arizona State</v>
          </cell>
          <cell r="B71">
            <v>1.0400032442688223</v>
          </cell>
          <cell r="C71">
            <v>0.74557446757882773</v>
          </cell>
          <cell r="D71">
            <v>76</v>
          </cell>
          <cell r="E71">
            <v>0.89555811881432823</v>
          </cell>
          <cell r="F71">
            <v>69</v>
          </cell>
          <cell r="G71">
            <v>0.94726838151214798</v>
          </cell>
        </row>
        <row r="72">
          <cell r="A72" t="str">
            <v>Dayton</v>
          </cell>
          <cell r="B72">
            <v>0.68173237323609626</v>
          </cell>
          <cell r="C72">
            <v>0.7724795533106632</v>
          </cell>
          <cell r="D72">
            <v>71</v>
          </cell>
          <cell r="E72">
            <v>0.88493674363688157</v>
          </cell>
          <cell r="F72">
            <v>70</v>
          </cell>
          <cell r="G72">
            <v>0.9360387879604557</v>
          </cell>
        </row>
        <row r="73">
          <cell r="A73" t="str">
            <v>Saint Mary's</v>
          </cell>
          <cell r="B73">
            <v>1.5120905367113564</v>
          </cell>
          <cell r="C73">
            <v>0.70070224788683122</v>
          </cell>
          <cell r="D73">
            <v>91</v>
          </cell>
          <cell r="E73">
            <v>0.87564168470995607</v>
          </cell>
          <cell r="F73">
            <v>71</v>
          </cell>
          <cell r="G73">
            <v>0.92621146032683244</v>
          </cell>
        </row>
        <row r="74">
          <cell r="A74" t="str">
            <v>Wichita State</v>
          </cell>
          <cell r="B74">
            <v>0.72871408452276532</v>
          </cell>
          <cell r="C74">
            <v>0.76495430498099004</v>
          </cell>
          <cell r="D74">
            <v>72</v>
          </cell>
          <cell r="E74">
            <v>0.87193992181604085</v>
          </cell>
          <cell r="F74">
            <v>72</v>
          </cell>
          <cell r="G74">
            <v>0.92229772109543129</v>
          </cell>
        </row>
        <row r="75">
          <cell r="A75" t="str">
            <v>California</v>
          </cell>
          <cell r="B75">
            <v>0.8808176745014038</v>
          </cell>
          <cell r="C75">
            <v>0.75209248895118019</v>
          </cell>
          <cell r="D75">
            <v>73</v>
          </cell>
          <cell r="E75">
            <v>0.87126770698890432</v>
          </cell>
          <cell r="F75">
            <v>73</v>
          </cell>
          <cell r="G75">
            <v>0.92158701281500133</v>
          </cell>
        </row>
        <row r="76">
          <cell r="A76" t="str">
            <v>Santa Clara</v>
          </cell>
          <cell r="B76">
            <v>1.5890742504072184</v>
          </cell>
          <cell r="C76">
            <v>0.68631642807940241</v>
          </cell>
          <cell r="D76">
            <v>97</v>
          </cell>
          <cell r="E76">
            <v>0.84694700404323808</v>
          </cell>
          <cell r="F76">
            <v>74</v>
          </cell>
          <cell r="G76">
            <v>0.89587361841846413</v>
          </cell>
        </row>
        <row r="77">
          <cell r="A77" t="str">
            <v>Kansas State</v>
          </cell>
          <cell r="B77">
            <v>0.7961542429416445</v>
          </cell>
          <cell r="C77">
            <v>0.74699681326693845</v>
          </cell>
          <cell r="D77">
            <v>75</v>
          </cell>
          <cell r="E77">
            <v>0.82752394628828119</v>
          </cell>
          <cell r="F77">
            <v>75</v>
          </cell>
          <cell r="G77">
            <v>0.87533832609752737</v>
          </cell>
        </row>
        <row r="78">
          <cell r="A78" t="str">
            <v>Pennsylvania</v>
          </cell>
          <cell r="B78">
            <v>-0.13764132567735701</v>
          </cell>
          <cell r="C78">
            <v>0.82179820232454981</v>
          </cell>
          <cell r="D78">
            <v>56</v>
          </cell>
          <cell r="E78">
            <v>0.81667466206162409</v>
          </cell>
          <cell r="F78">
            <v>76</v>
          </cell>
          <cell r="G78">
            <v>0.86386777259981795</v>
          </cell>
        </row>
        <row r="79">
          <cell r="A79" t="str">
            <v>Fresno State</v>
          </cell>
          <cell r="B79">
            <v>0.29120551811351308</v>
          </cell>
          <cell r="C79">
            <v>0.78227578690701605</v>
          </cell>
          <cell r="D79">
            <v>69</v>
          </cell>
          <cell r="E79">
            <v>0.80304570241929962</v>
          </cell>
          <cell r="F79">
            <v>77</v>
          </cell>
          <cell r="G79">
            <v>0.84945836941437158</v>
          </cell>
        </row>
        <row r="80">
          <cell r="A80" t="str">
            <v>DePaul</v>
          </cell>
          <cell r="B80">
            <v>0.36664718639439264</v>
          </cell>
          <cell r="C80">
            <v>0.77329692194337085</v>
          </cell>
          <cell r="D80">
            <v>70</v>
          </cell>
          <cell r="E80">
            <v>0.79335376258603851</v>
          </cell>
          <cell r="F80">
            <v>78</v>
          </cell>
          <cell r="G80">
            <v>0.83921143403767196</v>
          </cell>
        </row>
        <row r="81">
          <cell r="A81" t="str">
            <v>Virginia Tech</v>
          </cell>
          <cell r="B81">
            <v>0.73519766761354333</v>
          </cell>
          <cell r="C81">
            <v>0.73675441103581052</v>
          </cell>
          <cell r="D81">
            <v>80</v>
          </cell>
          <cell r="E81">
            <v>0.77236372512572826</v>
          </cell>
          <cell r="F81">
            <v>79</v>
          </cell>
          <cell r="G81">
            <v>0.81701943108361175</v>
          </cell>
        </row>
        <row r="82">
          <cell r="A82" t="str">
            <v>Davidson</v>
          </cell>
          <cell r="B82">
            <v>0.53828750834892591</v>
          </cell>
          <cell r="C82">
            <v>0.74441492693717659</v>
          </cell>
          <cell r="D82">
            <v>78</v>
          </cell>
          <cell r="E82">
            <v>0.74086898374228083</v>
          </cell>
          <cell r="F82">
            <v>80</v>
          </cell>
          <cell r="G82">
            <v>0.78372118685034498</v>
          </cell>
        </row>
        <row r="83">
          <cell r="A83" t="str">
            <v>San Francisco</v>
          </cell>
          <cell r="B83">
            <v>0.46295289499995351</v>
          </cell>
          <cell r="C83">
            <v>0.74738226263687779</v>
          </cell>
          <cell r="D83">
            <v>74</v>
          </cell>
          <cell r="E83">
            <v>0.72895118223720545</v>
          </cell>
          <cell r="F83">
            <v>81</v>
          </cell>
          <cell r="G83">
            <v>0.7711209289086125</v>
          </cell>
        </row>
        <row r="84">
          <cell r="A84" t="str">
            <v>Murray State</v>
          </cell>
          <cell r="B84">
            <v>0.53533832444252472</v>
          </cell>
          <cell r="C84">
            <v>0.72879609861585504</v>
          </cell>
          <cell r="D84">
            <v>82</v>
          </cell>
          <cell r="E84">
            <v>0.68375553085117091</v>
          </cell>
          <cell r="F84">
            <v>82</v>
          </cell>
          <cell r="G84">
            <v>0.72333721099166848</v>
          </cell>
        </row>
        <row r="85">
          <cell r="A85" t="str">
            <v>Ole Miss</v>
          </cell>
          <cell r="B85">
            <v>0.98084267348770082</v>
          </cell>
          <cell r="C85">
            <v>0.69116077722038916</v>
          </cell>
          <cell r="D85">
            <v>95</v>
          </cell>
          <cell r="E85">
            <v>0.68191747190859364</v>
          </cell>
          <cell r="F85">
            <v>83</v>
          </cell>
          <cell r="G85">
            <v>0.72139389814334498</v>
          </cell>
        </row>
        <row r="86">
          <cell r="A86" t="str">
            <v>South Florida</v>
          </cell>
          <cell r="B86">
            <v>1.0405794082736679</v>
          </cell>
          <cell r="C86">
            <v>0.67422615884430481</v>
          </cell>
          <cell r="D86">
            <v>104</v>
          </cell>
          <cell r="E86">
            <v>0.63887287328070541</v>
          </cell>
          <cell r="F86">
            <v>84</v>
          </cell>
          <cell r="G86">
            <v>0.67588441004868616</v>
          </cell>
        </row>
        <row r="87">
          <cell r="A87" t="str">
            <v>Florida Atlantic</v>
          </cell>
          <cell r="B87">
            <v>0.38154914856129396</v>
          </cell>
          <cell r="C87">
            <v>0.72612453406622901</v>
          </cell>
          <cell r="D87">
            <v>83</v>
          </cell>
          <cell r="E87">
            <v>0.62800098906909685</v>
          </cell>
          <cell r="F87">
            <v>85</v>
          </cell>
          <cell r="G87">
            <v>0.66438996240911286</v>
          </cell>
        </row>
        <row r="88">
          <cell r="A88" t="str">
            <v>Northwestern</v>
          </cell>
          <cell r="B88">
            <v>1.0107445736967684</v>
          </cell>
          <cell r="C88">
            <v>0.66669593647914704</v>
          </cell>
          <cell r="D88">
            <v>106</v>
          </cell>
          <cell r="E88">
            <v>0.60281318088141222</v>
          </cell>
          <cell r="F88">
            <v>86</v>
          </cell>
          <cell r="G88">
            <v>0.63775980918693098</v>
          </cell>
        </row>
        <row r="89">
          <cell r="A89" t="str">
            <v>Butler</v>
          </cell>
          <cell r="B89">
            <v>0.62459123259469296</v>
          </cell>
          <cell r="C89">
            <v>0.69800987483342225</v>
          </cell>
          <cell r="D89">
            <v>93</v>
          </cell>
          <cell r="E89">
            <v>0.59969919262359028</v>
          </cell>
          <cell r="F89">
            <v>87</v>
          </cell>
          <cell r="G89">
            <v>0.63446750269404528</v>
          </cell>
        </row>
        <row r="90">
          <cell r="A90" t="str">
            <v>Notre Dame</v>
          </cell>
          <cell r="B90">
            <v>0.70249525702957005</v>
          </cell>
          <cell r="C90">
            <v>0.69006604680682448</v>
          </cell>
          <cell r="D90">
            <v>96</v>
          </cell>
          <cell r="E90">
            <v>0.59447215329613778</v>
          </cell>
          <cell r="F90">
            <v>88</v>
          </cell>
          <cell r="G90">
            <v>0.62894114418157687</v>
          </cell>
        </row>
        <row r="91">
          <cell r="A91" t="str">
            <v>Texas State</v>
          </cell>
          <cell r="B91">
            <v>-0.64015751557396283</v>
          </cell>
          <cell r="C91">
            <v>0.79911749660374265</v>
          </cell>
          <cell r="D91">
            <v>63</v>
          </cell>
          <cell r="E91">
            <v>0.58426793468362981</v>
          </cell>
          <cell r="F91">
            <v>89</v>
          </cell>
          <cell r="G91">
            <v>0.61815259508913967</v>
          </cell>
        </row>
        <row r="92">
          <cell r="A92" t="str">
            <v>Oregon State</v>
          </cell>
          <cell r="B92">
            <v>0.17381517979660244</v>
          </cell>
          <cell r="C92">
            <v>0.73024162490977984</v>
          </cell>
          <cell r="D92">
            <v>81</v>
          </cell>
          <cell r="E92">
            <v>0.58050256686955548</v>
          </cell>
          <cell r="F92">
            <v>90</v>
          </cell>
          <cell r="G92">
            <v>0.61417160868970788</v>
          </cell>
        </row>
        <row r="93">
          <cell r="A93" t="str">
            <v>UC Santa Barbara</v>
          </cell>
          <cell r="B93">
            <v>0.18582827122902343</v>
          </cell>
          <cell r="C93">
            <v>0.71848675377687343</v>
          </cell>
          <cell r="D93">
            <v>87</v>
          </cell>
          <cell r="E93">
            <v>0.54178826900974886</v>
          </cell>
          <cell r="F93">
            <v>91</v>
          </cell>
          <cell r="G93">
            <v>0.57324039005354555</v>
          </cell>
        </row>
        <row r="94">
          <cell r="A94" t="str">
            <v>Florida International</v>
          </cell>
          <cell r="B94">
            <v>0.32987067603626036</v>
          </cell>
          <cell r="C94">
            <v>0.69824604204197183</v>
          </cell>
          <cell r="D94">
            <v>92</v>
          </cell>
          <cell r="E94">
            <v>0.51213324145378403</v>
          </cell>
          <cell r="F94">
            <v>92</v>
          </cell>
          <cell r="G94">
            <v>0.54188720831820514</v>
          </cell>
        </row>
        <row r="95">
          <cell r="A95" t="str">
            <v>Colorado</v>
          </cell>
          <cell r="B95">
            <v>0.90686552488418681</v>
          </cell>
          <cell r="C95">
            <v>0.64672399288114735</v>
          </cell>
          <cell r="D95">
            <v>114</v>
          </cell>
          <cell r="E95">
            <v>0.49974929829074977</v>
          </cell>
          <cell r="F95">
            <v>93</v>
          </cell>
          <cell r="G95">
            <v>0.52879411576052715</v>
          </cell>
        </row>
        <row r="96">
          <cell r="A96" t="str">
            <v>San Diego State</v>
          </cell>
          <cell r="B96">
            <v>1.4358114615475326</v>
          </cell>
          <cell r="C96">
            <v>0.60156173923128942</v>
          </cell>
          <cell r="D96">
            <v>146</v>
          </cell>
          <cell r="E96">
            <v>0.49584631819906222</v>
          </cell>
          <cell r="F96">
            <v>94</v>
          </cell>
          <cell r="G96">
            <v>0.52466763690653995</v>
          </cell>
        </row>
        <row r="97">
          <cell r="A97" t="str">
            <v>Fordham</v>
          </cell>
          <cell r="B97">
            <v>3.7541287537337059E-3</v>
          </cell>
          <cell r="C97">
            <v>0.72010341344317197</v>
          </cell>
          <cell r="D97">
            <v>86</v>
          </cell>
          <cell r="E97">
            <v>0.49298609585375269</v>
          </cell>
          <cell r="F97">
            <v>95</v>
          </cell>
          <cell r="G97">
            <v>0.52164362788052465</v>
          </cell>
        </row>
        <row r="98">
          <cell r="A98" t="str">
            <v>Boston College</v>
          </cell>
          <cell r="B98">
            <v>-5.0237973065669808E-2</v>
          </cell>
          <cell r="C98">
            <v>0.72313395274871739</v>
          </cell>
          <cell r="D98">
            <v>84</v>
          </cell>
          <cell r="E98">
            <v>0.48769858449433801</v>
          </cell>
          <cell r="F98">
            <v>96</v>
          </cell>
          <cell r="G98">
            <v>0.51605333448873647</v>
          </cell>
        </row>
        <row r="99">
          <cell r="A99" t="str">
            <v>Seton Hall</v>
          </cell>
          <cell r="B99">
            <v>0.93513266741954915</v>
          </cell>
          <cell r="C99">
            <v>0.63732805074651089</v>
          </cell>
          <cell r="D99">
            <v>120</v>
          </cell>
          <cell r="E99">
            <v>0.47440349846421515</v>
          </cell>
          <cell r="F99">
            <v>97</v>
          </cell>
          <cell r="G99">
            <v>0.50199692372658966</v>
          </cell>
        </row>
        <row r="100">
          <cell r="A100" t="str">
            <v>Western Kentucky</v>
          </cell>
          <cell r="B100">
            <v>0.50704336024940022</v>
          </cell>
          <cell r="C100">
            <v>0.67235475583126669</v>
          </cell>
          <cell r="D100">
            <v>105</v>
          </cell>
          <cell r="E100">
            <v>0.47207489830247146</v>
          </cell>
          <cell r="F100">
            <v>98</v>
          </cell>
          <cell r="G100">
            <v>0.49953497949395281</v>
          </cell>
        </row>
        <row r="101">
          <cell r="A101" t="str">
            <v>Belmont</v>
          </cell>
          <cell r="B101">
            <v>0.85738907237928474</v>
          </cell>
          <cell r="C101">
            <v>0.63910228287105275</v>
          </cell>
          <cell r="D101">
            <v>118</v>
          </cell>
          <cell r="E101">
            <v>0.45746775962718383</v>
          </cell>
          <cell r="F101">
            <v>99</v>
          </cell>
          <cell r="G101">
            <v>0.48409138320474643</v>
          </cell>
        </row>
        <row r="102">
          <cell r="A102" t="str">
            <v>Rutgers</v>
          </cell>
          <cell r="B102">
            <v>0.32044654665317462</v>
          </cell>
          <cell r="C102">
            <v>0.6804043104376517</v>
          </cell>
          <cell r="D102">
            <v>99</v>
          </cell>
          <cell r="E102">
            <v>0.4450747227677096</v>
          </cell>
          <cell r="F102">
            <v>100</v>
          </cell>
          <cell r="G102">
            <v>0.47098867621266638</v>
          </cell>
        </row>
        <row r="103">
          <cell r="A103" t="str">
            <v>Nevada</v>
          </cell>
          <cell r="B103">
            <v>0.88560573839134515</v>
          </cell>
          <cell r="C103">
            <v>0.631396085002359</v>
          </cell>
          <cell r="D103">
            <v>123</v>
          </cell>
          <cell r="E103">
            <v>0.43818999527406138</v>
          </cell>
          <cell r="F103">
            <v>101</v>
          </cell>
          <cell r="G103">
            <v>0.46370970431155178</v>
          </cell>
        </row>
        <row r="104">
          <cell r="A104" t="str">
            <v>UNC Wilmington</v>
          </cell>
          <cell r="B104">
            <v>0.23642245351378369</v>
          </cell>
          <cell r="C104">
            <v>0.68498682397295318</v>
          </cell>
          <cell r="D104">
            <v>98</v>
          </cell>
          <cell r="E104">
            <v>0.43636481223470286</v>
          </cell>
          <cell r="F104">
            <v>102</v>
          </cell>
          <cell r="G104">
            <v>0.46178000468725461</v>
          </cell>
        </row>
        <row r="105">
          <cell r="A105" t="str">
            <v>South Carolina</v>
          </cell>
          <cell r="B105">
            <v>0.56868601627495829</v>
          </cell>
          <cell r="C105">
            <v>0.65597764835575278</v>
          </cell>
          <cell r="D105">
            <v>108</v>
          </cell>
          <cell r="E105">
            <v>0.43160914797646788</v>
          </cell>
          <cell r="F105">
            <v>103</v>
          </cell>
          <cell r="G105">
            <v>0.4567520138860553</v>
          </cell>
        </row>
        <row r="106">
          <cell r="A106" t="str">
            <v>Pepperdine</v>
          </cell>
          <cell r="B106">
            <v>-0.2486532878937173</v>
          </cell>
          <cell r="C106">
            <v>0.72259513258691332</v>
          </cell>
          <cell r="D106">
            <v>85</v>
          </cell>
          <cell r="E106">
            <v>0.42623420587134991</v>
          </cell>
          <cell r="F106">
            <v>104</v>
          </cell>
          <cell r="G106">
            <v>0.45106928314771205</v>
          </cell>
        </row>
        <row r="107">
          <cell r="A107" t="str">
            <v>UIC</v>
          </cell>
          <cell r="B107">
            <v>0.50425981875781944</v>
          </cell>
          <cell r="C107">
            <v>0.65949754066582322</v>
          </cell>
          <cell r="D107">
            <v>107</v>
          </cell>
          <cell r="E107">
            <v>0.42495310741574571</v>
          </cell>
          <cell r="F107">
            <v>105</v>
          </cell>
          <cell r="G107">
            <v>0.4497148243591097</v>
          </cell>
        </row>
        <row r="108">
          <cell r="A108" t="str">
            <v>Rhode Island</v>
          </cell>
          <cell r="B108">
            <v>0.18364761929382362</v>
          </cell>
          <cell r="C108">
            <v>0.67967727135734668</v>
          </cell>
          <cell r="D108">
            <v>100</v>
          </cell>
          <cell r="E108">
            <v>0.40141766124308387</v>
          </cell>
          <cell r="F108">
            <v>106</v>
          </cell>
          <cell r="G108">
            <v>0.42483165337971318</v>
          </cell>
        </row>
        <row r="109">
          <cell r="A109" t="str">
            <v>Georgia Tech</v>
          </cell>
          <cell r="B109">
            <v>-0.25980172922660771</v>
          </cell>
          <cell r="C109">
            <v>0.71454534484274623</v>
          </cell>
          <cell r="D109">
            <v>89</v>
          </cell>
          <cell r="E109">
            <v>0.3939099656176922</v>
          </cell>
          <cell r="F109">
            <v>107</v>
          </cell>
          <cell r="G109">
            <v>0.41689403993753049</v>
          </cell>
        </row>
        <row r="110">
          <cell r="A110" t="str">
            <v>UC Irvine</v>
          </cell>
          <cell r="B110">
            <v>0.47970174828222711</v>
          </cell>
          <cell r="C110">
            <v>0.64920504033333026</v>
          </cell>
          <cell r="D110">
            <v>111</v>
          </cell>
          <cell r="E110">
            <v>0.38053208160668178</v>
          </cell>
          <cell r="F110">
            <v>108</v>
          </cell>
          <cell r="G110">
            <v>0.40275008988252042</v>
          </cell>
        </row>
        <row r="111">
          <cell r="A111" t="str">
            <v>McNeese</v>
          </cell>
          <cell r="B111">
            <v>0.68994679516813917</v>
          </cell>
          <cell r="C111">
            <v>0.63114497958185067</v>
          </cell>
          <cell r="D111">
            <v>124</v>
          </cell>
          <cell r="E111">
            <v>0.378588318070468</v>
          </cell>
          <cell r="F111">
            <v>109</v>
          </cell>
          <cell r="G111">
            <v>0.4006950194130553</v>
          </cell>
        </row>
        <row r="112">
          <cell r="A112" t="str">
            <v>Memphis</v>
          </cell>
          <cell r="B112">
            <v>0.40694785604434924</v>
          </cell>
          <cell r="C112">
            <v>0.65330737096436742</v>
          </cell>
          <cell r="D112">
            <v>109</v>
          </cell>
          <cell r="E112">
            <v>0.3734745447347152</v>
          </cell>
          <cell r="F112">
            <v>110</v>
          </cell>
          <cell r="G112">
            <v>0.39528841291280453</v>
          </cell>
        </row>
        <row r="113">
          <cell r="A113" t="str">
            <v>George Washington</v>
          </cell>
          <cell r="B113">
            <v>0.77812493291986051</v>
          </cell>
          <cell r="C113">
            <v>0.617863680442722</v>
          </cell>
          <cell r="D113">
            <v>133</v>
          </cell>
          <cell r="E113">
            <v>0.35722830378659387</v>
          </cell>
          <cell r="F113">
            <v>111</v>
          </cell>
          <cell r="G113">
            <v>0.37811185342381765</v>
          </cell>
        </row>
        <row r="114">
          <cell r="A114" t="str">
            <v>Montana State</v>
          </cell>
          <cell r="B114">
            <v>0.46943153251006403</v>
          </cell>
          <cell r="C114">
            <v>0.6430643478786956</v>
          </cell>
          <cell r="D114">
            <v>116</v>
          </cell>
          <cell r="E114">
            <v>0.3553441639975472</v>
          </cell>
          <cell r="F114">
            <v>112</v>
          </cell>
          <cell r="G114">
            <v>0.37611982097302044</v>
          </cell>
        </row>
        <row r="115">
          <cell r="A115" t="str">
            <v>Oregon</v>
          </cell>
          <cell r="B115">
            <v>0.8057097643968506</v>
          </cell>
          <cell r="C115">
            <v>0.61292917596050112</v>
          </cell>
          <cell r="D115">
            <v>136</v>
          </cell>
          <cell r="E115">
            <v>0.34773924777405324</v>
          </cell>
          <cell r="F115">
            <v>113</v>
          </cell>
          <cell r="G115">
            <v>0.36807941972951241</v>
          </cell>
        </row>
        <row r="116">
          <cell r="A116" t="str">
            <v>Washington</v>
          </cell>
          <cell r="B116">
            <v>1.1275487418938004</v>
          </cell>
          <cell r="C116">
            <v>0.58580594488124826</v>
          </cell>
          <cell r="D116">
            <v>159</v>
          </cell>
          <cell r="E116">
            <v>0.34664571884977641</v>
          </cell>
          <cell r="F116">
            <v>114</v>
          </cell>
          <cell r="G116">
            <v>0.3669232713822887</v>
          </cell>
        </row>
        <row r="117">
          <cell r="A117" t="str">
            <v>Georgetown</v>
          </cell>
          <cell r="B117">
            <v>0.48617637249629647</v>
          </cell>
          <cell r="C117">
            <v>0.63884619421285249</v>
          </cell>
          <cell r="D117">
            <v>119</v>
          </cell>
          <cell r="E117">
            <v>0.34518201547778782</v>
          </cell>
          <cell r="F117">
            <v>115</v>
          </cell>
          <cell r="G117">
            <v>0.36537575105906589</v>
          </cell>
        </row>
        <row r="118">
          <cell r="A118" t="str">
            <v>Utah Valley</v>
          </cell>
          <cell r="B118">
            <v>0.62659560101312139</v>
          </cell>
          <cell r="C118">
            <v>0.62569350994626605</v>
          </cell>
          <cell r="D118">
            <v>127</v>
          </cell>
          <cell r="E118">
            <v>0.33995734950553813</v>
          </cell>
          <cell r="F118">
            <v>116</v>
          </cell>
          <cell r="G118">
            <v>0.35985190180870685</v>
          </cell>
        </row>
        <row r="119">
          <cell r="A119" t="str">
            <v>Wake Forest</v>
          </cell>
          <cell r="B119">
            <v>1.0121462885583019</v>
          </cell>
          <cell r="C119">
            <v>0.59343023756097613</v>
          </cell>
          <cell r="D119">
            <v>152</v>
          </cell>
          <cell r="E119">
            <v>0.33947288352332894</v>
          </cell>
          <cell r="F119">
            <v>117</v>
          </cell>
          <cell r="G119">
            <v>0.35933969355140105</v>
          </cell>
        </row>
        <row r="120">
          <cell r="A120" t="str">
            <v>Robert Morris</v>
          </cell>
          <cell r="B120">
            <v>-1.0911008807614841E-2</v>
          </cell>
          <cell r="C120">
            <v>0.67857134000219832</v>
          </cell>
          <cell r="D120">
            <v>102</v>
          </cell>
          <cell r="E120">
            <v>0.33906865509120132</v>
          </cell>
          <cell r="F120">
            <v>118</v>
          </cell>
          <cell r="G120">
            <v>0.35891231753662006</v>
          </cell>
        </row>
        <row r="121">
          <cell r="A121" t="str">
            <v>Western Michigan</v>
          </cell>
          <cell r="B121">
            <v>-0.46297355823685532</v>
          </cell>
          <cell r="C121">
            <v>0.71478303065778981</v>
          </cell>
          <cell r="D121">
            <v>88</v>
          </cell>
          <cell r="E121">
            <v>0.33381409978475862</v>
          </cell>
          <cell r="F121">
            <v>119</v>
          </cell>
          <cell r="G121">
            <v>0.35335686738064281</v>
          </cell>
        </row>
        <row r="122">
          <cell r="A122" t="str">
            <v>Miami (OH)</v>
          </cell>
          <cell r="B122">
            <v>0.73051599018835067</v>
          </cell>
          <cell r="C122">
            <v>0.60945443265736921</v>
          </cell>
          <cell r="D122">
            <v>140</v>
          </cell>
          <cell r="E122">
            <v>0.31267183588923697</v>
          </cell>
          <cell r="F122">
            <v>120</v>
          </cell>
          <cell r="G122">
            <v>0.33100392095488629</v>
          </cell>
        </row>
        <row r="123">
          <cell r="A123" t="str">
            <v>Wyoming</v>
          </cell>
          <cell r="B123">
            <v>0.25293111545269453</v>
          </cell>
          <cell r="C123">
            <v>0.64685809935046756</v>
          </cell>
          <cell r="D123">
            <v>113</v>
          </cell>
          <cell r="E123">
            <v>0.30405176661377931</v>
          </cell>
          <cell r="F123">
            <v>121</v>
          </cell>
          <cell r="G123">
            <v>0.32189023532250571</v>
          </cell>
        </row>
        <row r="124">
          <cell r="A124" t="str">
            <v>Penn State</v>
          </cell>
          <cell r="B124">
            <v>0.2419193506861386</v>
          </cell>
          <cell r="C124">
            <v>0.64550060546444699</v>
          </cell>
          <cell r="D124">
            <v>115</v>
          </cell>
          <cell r="E124">
            <v>0.29586117960161862</v>
          </cell>
          <cell r="F124">
            <v>122</v>
          </cell>
          <cell r="G124">
            <v>0.31323062566182475</v>
          </cell>
        </row>
        <row r="125">
          <cell r="A125" t="str">
            <v>Charlotte</v>
          </cell>
          <cell r="B125">
            <v>-0.16586767922154799</v>
          </cell>
          <cell r="C125">
            <v>0.67874098737547728</v>
          </cell>
          <cell r="D125">
            <v>101</v>
          </cell>
          <cell r="E125">
            <v>0.29319239445758266</v>
          </cell>
          <cell r="F125">
            <v>123</v>
          </cell>
          <cell r="G125">
            <v>0.31040901622390987</v>
          </cell>
        </row>
        <row r="126">
          <cell r="A126" t="str">
            <v>Harvard</v>
          </cell>
          <cell r="B126">
            <v>-0.38781223878403404</v>
          </cell>
          <cell r="C126">
            <v>0.69535898639040594</v>
          </cell>
          <cell r="D126">
            <v>94</v>
          </cell>
          <cell r="E126">
            <v>0.28643479738834277</v>
          </cell>
          <cell r="F126">
            <v>124</v>
          </cell>
          <cell r="G126">
            <v>0.30326445469530439</v>
          </cell>
        </row>
        <row r="127">
          <cell r="A127" t="str">
            <v>UC San Diego</v>
          </cell>
          <cell r="B127">
            <v>0.12468687898564436</v>
          </cell>
          <cell r="C127">
            <v>0.65123093085631756</v>
          </cell>
          <cell r="D127">
            <v>110</v>
          </cell>
          <cell r="E127">
            <v>0.28132094548238223</v>
          </cell>
          <cell r="F127">
            <v>125</v>
          </cell>
          <cell r="G127">
            <v>0.2978577651256315</v>
          </cell>
        </row>
        <row r="128">
          <cell r="A128" t="str">
            <v>Toledo</v>
          </cell>
          <cell r="B128">
            <v>0.41038060530622356</v>
          </cell>
          <cell r="C128">
            <v>0.62219940045586164</v>
          </cell>
          <cell r="D128">
            <v>129</v>
          </cell>
          <cell r="E128">
            <v>0.26251385176154418</v>
          </cell>
          <cell r="F128">
            <v>126</v>
          </cell>
          <cell r="G128">
            <v>0.27797370916816511</v>
          </cell>
        </row>
        <row r="129">
          <cell r="A129" t="str">
            <v>Kent State</v>
          </cell>
          <cell r="B129">
            <v>0.45153011804969945</v>
          </cell>
          <cell r="C129">
            <v>0.61610104988815484</v>
          </cell>
          <cell r="D129">
            <v>135</v>
          </cell>
          <cell r="E129">
            <v>0.25290428598262921</v>
          </cell>
          <cell r="F129">
            <v>127</v>
          </cell>
          <cell r="G129">
            <v>0.26781386488221948</v>
          </cell>
        </row>
        <row r="130">
          <cell r="A130" t="str">
            <v>Yale</v>
          </cell>
          <cell r="B130">
            <v>0.71034705100013029</v>
          </cell>
          <cell r="C130">
            <v>0.5939898727231383</v>
          </cell>
          <cell r="D130">
            <v>151</v>
          </cell>
          <cell r="E130">
            <v>0.25094783165216467</v>
          </cell>
          <cell r="F130">
            <v>128</v>
          </cell>
          <cell r="G130">
            <v>0.26574537689770539</v>
          </cell>
        </row>
        <row r="131">
          <cell r="A131" t="str">
            <v>Northern Iowa</v>
          </cell>
          <cell r="B131">
            <v>0.87518734435095391</v>
          </cell>
          <cell r="C131">
            <v>0.57986620966771674</v>
          </cell>
          <cell r="D131">
            <v>169</v>
          </cell>
          <cell r="E131">
            <v>0.24955390455992399</v>
          </cell>
          <cell r="F131">
            <v>129</v>
          </cell>
          <cell r="G131">
            <v>0.26427162849648211</v>
          </cell>
        </row>
        <row r="132">
          <cell r="A132" t="str">
            <v>Duquesne</v>
          </cell>
          <cell r="B132">
            <v>0.52609115371575177</v>
          </cell>
          <cell r="C132">
            <v>0.60835546759907955</v>
          </cell>
          <cell r="D132">
            <v>141</v>
          </cell>
          <cell r="E132">
            <v>0.24738804630314523</v>
          </cell>
          <cell r="F132">
            <v>130</v>
          </cell>
          <cell r="G132">
            <v>0.26198174535914159</v>
          </cell>
        </row>
        <row r="133">
          <cell r="A133" t="str">
            <v>Kennesaw State</v>
          </cell>
          <cell r="B133">
            <v>0.64835568430563517</v>
          </cell>
          <cell r="C133">
            <v>0.59761274272400633</v>
          </cell>
          <cell r="D133">
            <v>149</v>
          </cell>
          <cell r="E133">
            <v>0.24539296606289021</v>
          </cell>
          <cell r="F133">
            <v>131</v>
          </cell>
          <cell r="G133">
            <v>0.2598724196054813</v>
          </cell>
        </row>
        <row r="134">
          <cell r="A134" t="str">
            <v>Washington State</v>
          </cell>
          <cell r="B134">
            <v>0.49065338021690152</v>
          </cell>
          <cell r="C134">
            <v>0.60514683459786955</v>
          </cell>
          <cell r="D134">
            <v>145</v>
          </cell>
          <cell r="E134">
            <v>0.22520544732070993</v>
          </cell>
          <cell r="F134">
            <v>132</v>
          </cell>
          <cell r="G134">
            <v>0.23852889049512452</v>
          </cell>
        </row>
        <row r="135">
          <cell r="A135" t="str">
            <v>American University</v>
          </cell>
          <cell r="B135">
            <v>-0.7196715002636187</v>
          </cell>
          <cell r="C135">
            <v>0.70510226883051375</v>
          </cell>
          <cell r="D135">
            <v>90</v>
          </cell>
          <cell r="E135">
            <v>0.2219534069965485</v>
          </cell>
          <cell r="F135">
            <v>133</v>
          </cell>
          <cell r="G135">
            <v>0.23509062657506352</v>
          </cell>
        </row>
        <row r="136">
          <cell r="A136" t="str">
            <v>Stephen F. Austin</v>
          </cell>
          <cell r="B136">
            <v>0.38424007333727062</v>
          </cell>
          <cell r="C136">
            <v>0.61250466909417811</v>
          </cell>
          <cell r="D136">
            <v>137</v>
          </cell>
          <cell r="E136">
            <v>0.21977009084774912</v>
          </cell>
          <cell r="F136">
            <v>134</v>
          </cell>
          <cell r="G136">
            <v>0.23278228584363697</v>
          </cell>
        </row>
        <row r="137">
          <cell r="A137" t="str">
            <v>UNLV</v>
          </cell>
          <cell r="B137">
            <v>0.72997113970794492</v>
          </cell>
          <cell r="C137">
            <v>0.5806357355959878</v>
          </cell>
          <cell r="D137">
            <v>166</v>
          </cell>
          <cell r="E137">
            <v>0.20875938162760632</v>
          </cell>
          <cell r="F137">
            <v>135</v>
          </cell>
          <cell r="G137">
            <v>0.22114106357322683</v>
          </cell>
        </row>
        <row r="138">
          <cell r="A138" t="str">
            <v>Seattle</v>
          </cell>
          <cell r="B138">
            <v>0.50626190025899143</v>
          </cell>
          <cell r="C138">
            <v>0.59271131091787066</v>
          </cell>
          <cell r="D138">
            <v>153</v>
          </cell>
          <cell r="E138">
            <v>0.18511938896628183</v>
          </cell>
          <cell r="F138">
            <v>136</v>
          </cell>
          <cell r="G138">
            <v>0.19614735939494371</v>
          </cell>
        </row>
        <row r="139">
          <cell r="A139" t="str">
            <v>St. Thomas - Minnesota</v>
          </cell>
          <cell r="B139">
            <v>0.31396897582297317</v>
          </cell>
          <cell r="C139">
            <v>0.60832495217020921</v>
          </cell>
          <cell r="D139">
            <v>142</v>
          </cell>
          <cell r="E139">
            <v>0.1836415356021992</v>
          </cell>
          <cell r="F139">
            <v>137</v>
          </cell>
          <cell r="G139">
            <v>0.19458487879988029</v>
          </cell>
        </row>
        <row r="140">
          <cell r="A140" t="str">
            <v>Central Arkansas</v>
          </cell>
          <cell r="B140">
            <v>-0.13509578530234509</v>
          </cell>
          <cell r="C140">
            <v>0.64098352022952398</v>
          </cell>
          <cell r="D140">
            <v>117</v>
          </cell>
          <cell r="E140">
            <v>0.16649486711381456</v>
          </cell>
          <cell r="F140">
            <v>138</v>
          </cell>
          <cell r="G140">
            <v>0.1764563300316353</v>
          </cell>
        </row>
        <row r="141">
          <cell r="A141" t="str">
            <v>Boise State</v>
          </cell>
          <cell r="B141">
            <v>1.0250421608817428</v>
          </cell>
          <cell r="C141">
            <v>0.54184315260506122</v>
          </cell>
          <cell r="D141">
            <v>200</v>
          </cell>
          <cell r="E141">
            <v>0.15762511472744775</v>
          </cell>
          <cell r="F141">
            <v>139</v>
          </cell>
          <cell r="G141">
            <v>0.1670786635299803</v>
          </cell>
        </row>
        <row r="142">
          <cell r="A142" t="str">
            <v>Furman</v>
          </cell>
          <cell r="B142">
            <v>-7.5894324784166509E-2</v>
          </cell>
          <cell r="C142">
            <v>0.6329718201920167</v>
          </cell>
          <cell r="D142">
            <v>122</v>
          </cell>
          <cell r="E142">
            <v>0.15541271539260956</v>
          </cell>
          <cell r="F142">
            <v>140</v>
          </cell>
          <cell r="G142">
            <v>0.16473957420404994</v>
          </cell>
        </row>
        <row r="143">
          <cell r="A143" t="str">
            <v>Richmond</v>
          </cell>
          <cell r="B143">
            <v>0.22526411899587312</v>
          </cell>
          <cell r="C143">
            <v>0.60540843584223147</v>
          </cell>
          <cell r="D143">
            <v>144</v>
          </cell>
          <cell r="E143">
            <v>0.1465304487722966</v>
          </cell>
          <cell r="F143">
            <v>141</v>
          </cell>
          <cell r="G143">
            <v>0.15534867685813247</v>
          </cell>
        </row>
        <row r="144">
          <cell r="A144" t="str">
            <v>Sam Houston</v>
          </cell>
          <cell r="B144">
            <v>0.86693386348458423</v>
          </cell>
          <cell r="C144">
            <v>0.54662767543895874</v>
          </cell>
          <cell r="D144">
            <v>196</v>
          </cell>
          <cell r="E144">
            <v>0.1274171882362565</v>
          </cell>
          <cell r="F144">
            <v>142</v>
          </cell>
          <cell r="G144">
            <v>0.13514092186581456</v>
          </cell>
        </row>
        <row r="145">
          <cell r="A145" t="str">
            <v>Eastern Michigan</v>
          </cell>
          <cell r="B145">
            <v>-0.27337007334217339</v>
          </cell>
          <cell r="C145">
            <v>0.63483050102301353</v>
          </cell>
          <cell r="D145">
            <v>121</v>
          </cell>
          <cell r="E145">
            <v>0.10286135079488604</v>
          </cell>
          <cell r="F145">
            <v>143</v>
          </cell>
          <cell r="G145">
            <v>0.10917892832155619</v>
          </cell>
        </row>
        <row r="146">
          <cell r="A146" t="str">
            <v>North Texas</v>
          </cell>
          <cell r="B146">
            <v>0.3382752486351055</v>
          </cell>
          <cell r="C146">
            <v>0.58139719792805544</v>
          </cell>
          <cell r="D146">
            <v>165</v>
          </cell>
          <cell r="E146">
            <v>9.3991923347222825E-2</v>
          </cell>
          <cell r="F146">
            <v>144</v>
          </cell>
          <cell r="G146">
            <v>9.9801605365770693E-2</v>
          </cell>
        </row>
        <row r="147">
          <cell r="A147" t="str">
            <v>Illinois State</v>
          </cell>
          <cell r="B147">
            <v>0.57079341533301753</v>
          </cell>
          <cell r="C147">
            <v>0.56110840511101978</v>
          </cell>
          <cell r="D147">
            <v>186</v>
          </cell>
          <cell r="E147">
            <v>9.0706529643690026E-2</v>
          </cell>
          <cell r="F147">
            <v>145</v>
          </cell>
          <cell r="G147">
            <v>9.632807813115217E-2</v>
          </cell>
        </row>
        <row r="148">
          <cell r="A148" t="str">
            <v>Hawaii</v>
          </cell>
          <cell r="B148">
            <v>0.18081084214434534</v>
          </cell>
          <cell r="C148">
            <v>0.59261819890806433</v>
          </cell>
          <cell r="D148">
            <v>154</v>
          </cell>
          <cell r="E148">
            <v>8.7148862837246099E-2</v>
          </cell>
          <cell r="F148">
            <v>146</v>
          </cell>
          <cell r="G148">
            <v>9.2566686450577307E-2</v>
          </cell>
        </row>
        <row r="149">
          <cell r="A149" t="str">
            <v>Valparaiso</v>
          </cell>
          <cell r="B149">
            <v>-2.2101432585717803E-4</v>
          </cell>
          <cell r="C149">
            <v>0.60618687178238317</v>
          </cell>
          <cell r="D149">
            <v>143</v>
          </cell>
          <cell r="E149">
            <v>8.1687323801544254E-2</v>
          </cell>
          <cell r="F149">
            <v>147</v>
          </cell>
          <cell r="G149">
            <v>8.6792399928069155E-2</v>
          </cell>
        </row>
        <row r="150">
          <cell r="A150" t="str">
            <v>Northern Colorado</v>
          </cell>
          <cell r="B150">
            <v>0.27139441481342952</v>
          </cell>
          <cell r="C150">
            <v>0.58015847595009618</v>
          </cell>
          <cell r="D150">
            <v>167</v>
          </cell>
          <cell r="E150">
            <v>6.9468201451375985E-2</v>
          </cell>
          <cell r="F150">
            <v>148</v>
          </cell>
          <cell r="G150">
            <v>7.3873566419377104E-2</v>
          </cell>
        </row>
        <row r="151">
          <cell r="A151" t="str">
            <v>Lamar</v>
          </cell>
          <cell r="B151">
            <v>-0.13112777718949112</v>
          </cell>
          <cell r="C151">
            <v>0.61224449057335428</v>
          </cell>
          <cell r="D151">
            <v>138</v>
          </cell>
          <cell r="E151">
            <v>6.4223077759979597E-2</v>
          </cell>
          <cell r="F151">
            <v>149</v>
          </cell>
          <cell r="G151">
            <v>6.8328087966850345E-2</v>
          </cell>
        </row>
        <row r="152">
          <cell r="A152" t="str">
            <v>Princeton</v>
          </cell>
          <cell r="B152">
            <v>-0.56851860224779205</v>
          </cell>
          <cell r="C152">
            <v>0.64827910000519695</v>
          </cell>
          <cell r="D152">
            <v>112</v>
          </cell>
          <cell r="E152">
            <v>6.2732536976704834E-2</v>
          </cell>
          <cell r="F152">
            <v>150</v>
          </cell>
          <cell r="G152">
            <v>6.6752193425064624E-2</v>
          </cell>
        </row>
        <row r="153">
          <cell r="A153" t="str">
            <v>Eastern Washington</v>
          </cell>
          <cell r="B153">
            <v>7.6675453498547264E-2</v>
          </cell>
          <cell r="C153">
            <v>0.59051521763770531</v>
          </cell>
          <cell r="D153">
            <v>156</v>
          </cell>
          <cell r="E153">
            <v>4.8337390368311972E-2</v>
          </cell>
          <cell r="F153">
            <v>151</v>
          </cell>
          <cell r="G153">
            <v>5.1532728635559549E-2</v>
          </cell>
        </row>
        <row r="154">
          <cell r="A154" t="str">
            <v>George Mason</v>
          </cell>
          <cell r="B154">
            <v>0.43996959520184292</v>
          </cell>
          <cell r="C154">
            <v>0.55833241475125128</v>
          </cell>
          <cell r="D154">
            <v>189</v>
          </cell>
          <cell r="E154">
            <v>4.1465655547430466E-2</v>
          </cell>
          <cell r="F154">
            <v>152</v>
          </cell>
          <cell r="G154">
            <v>4.4267493414666001E-2</v>
          </cell>
        </row>
        <row r="155">
          <cell r="A155" t="str">
            <v>Pacific</v>
          </cell>
          <cell r="B155">
            <v>0.37105364493232823</v>
          </cell>
          <cell r="C155">
            <v>0.56048497854077184</v>
          </cell>
          <cell r="D155">
            <v>188</v>
          </cell>
          <cell r="E155">
            <v>2.8540226317872314E-2</v>
          </cell>
          <cell r="F155">
            <v>153</v>
          </cell>
          <cell r="G155">
            <v>3.0601907339022513E-2</v>
          </cell>
        </row>
        <row r="156">
          <cell r="A156" t="str">
            <v>Ohio</v>
          </cell>
          <cell r="B156">
            <v>3.845994786832751E-3</v>
          </cell>
          <cell r="C156">
            <v>0.58773171785055756</v>
          </cell>
          <cell r="D156">
            <v>158</v>
          </cell>
          <cell r="E156">
            <v>1.6467790319032709E-2</v>
          </cell>
          <cell r="F156">
            <v>154</v>
          </cell>
          <cell r="G156">
            <v>1.7838159972895062E-2</v>
          </cell>
        </row>
        <row r="157">
          <cell r="A157" t="str">
            <v>Drake</v>
          </cell>
          <cell r="B157">
            <v>0.11940024353176501</v>
          </cell>
          <cell r="C157">
            <v>0.57786798491943725</v>
          </cell>
          <cell r="D157">
            <v>170</v>
          </cell>
          <cell r="E157">
            <v>1.5624048060538513E-2</v>
          </cell>
          <cell r="F157">
            <v>155</v>
          </cell>
          <cell r="G157">
            <v>1.694610197974597E-2</v>
          </cell>
        </row>
        <row r="158">
          <cell r="A158" t="str">
            <v>UMass</v>
          </cell>
          <cell r="B158">
            <v>0.17121017614130188</v>
          </cell>
          <cell r="C158">
            <v>0.5730788159408764</v>
          </cell>
          <cell r="D158">
            <v>175</v>
          </cell>
          <cell r="E158">
            <v>1.3925738722242689E-2</v>
          </cell>
          <cell r="F158">
            <v>156</v>
          </cell>
          <cell r="G158">
            <v>1.5150541303704568E-2</v>
          </cell>
        </row>
        <row r="159">
          <cell r="A159" t="str">
            <v>Middle Tennessee</v>
          </cell>
          <cell r="B159">
            <v>0.63326234815045102</v>
          </cell>
          <cell r="C159">
            <v>0.53300113559803997</v>
          </cell>
          <cell r="D159">
            <v>207</v>
          </cell>
          <cell r="E159">
            <v>8.259391258044535E-3</v>
          </cell>
          <cell r="F159">
            <v>157</v>
          </cell>
          <cell r="G159">
            <v>9.1597182810210023E-3</v>
          </cell>
        </row>
        <row r="160">
          <cell r="A160" t="str">
            <v>South Dakota State</v>
          </cell>
          <cell r="B160">
            <v>-5.8054341572980693E-2</v>
          </cell>
          <cell r="C160">
            <v>0.59033632069506692</v>
          </cell>
          <cell r="D160">
            <v>157</v>
          </cell>
          <cell r="E160">
            <v>7.2744123642779455E-3</v>
          </cell>
          <cell r="F160">
            <v>158</v>
          </cell>
          <cell r="G160">
            <v>8.118335931823803E-3</v>
          </cell>
        </row>
        <row r="161">
          <cell r="A161" t="str">
            <v>Loyola Marymount</v>
          </cell>
          <cell r="B161">
            <v>0.24321029257216253</v>
          </cell>
          <cell r="C161">
            <v>0.56490228579169455</v>
          </cell>
          <cell r="D161">
            <v>182</v>
          </cell>
          <cell r="E161">
            <v>6.0897857085022572E-3</v>
          </cell>
          <cell r="F161">
            <v>159</v>
          </cell>
          <cell r="G161">
            <v>6.8658732673744192E-3</v>
          </cell>
        </row>
        <row r="162">
          <cell r="A162" t="str">
            <v>Abilene Christian</v>
          </cell>
          <cell r="B162">
            <v>0.14057028310587075</v>
          </cell>
          <cell r="C162">
            <v>0.57271009781211335</v>
          </cell>
          <cell r="D162">
            <v>176</v>
          </cell>
          <cell r="E162">
            <v>3.406363929401815E-3</v>
          </cell>
          <cell r="F162">
            <v>160</v>
          </cell>
          <cell r="G162">
            <v>4.0287890477111758E-3</v>
          </cell>
        </row>
        <row r="163">
          <cell r="A163" t="str">
            <v>UAB</v>
          </cell>
          <cell r="B163">
            <v>2.9833613008207541E-2</v>
          </cell>
          <cell r="C163">
            <v>0.57996916950282529</v>
          </cell>
          <cell r="D163">
            <v>168</v>
          </cell>
          <cell r="E163">
            <v>-3.6815533997728266E-3</v>
          </cell>
          <cell r="F163">
            <v>161</v>
          </cell>
          <cell r="G163">
            <v>-3.4650080741188945E-3</v>
          </cell>
        </row>
        <row r="164">
          <cell r="A164" t="str">
            <v>East Tennessee State</v>
          </cell>
          <cell r="B164">
            <v>0.16988979621936584</v>
          </cell>
          <cell r="C164">
            <v>0.567805719561842</v>
          </cell>
          <cell r="D164">
            <v>178</v>
          </cell>
          <cell r="E164">
            <v>-5.4538313908090927E-3</v>
          </cell>
          <cell r="F164">
            <v>162</v>
          </cell>
          <cell r="G164">
            <v>-5.3387731155992635E-3</v>
          </cell>
        </row>
        <row r="165">
          <cell r="A165" t="str">
            <v>Cal Poly</v>
          </cell>
          <cell r="B165">
            <v>-0.24260698715410275</v>
          </cell>
          <cell r="C165">
            <v>0.60155915668070881</v>
          </cell>
          <cell r="D165">
            <v>147</v>
          </cell>
          <cell r="E165">
            <v>-7.6885137449386048E-3</v>
          </cell>
          <cell r="F165">
            <v>163</v>
          </cell>
          <cell r="G165">
            <v>-7.7014214671327621E-3</v>
          </cell>
        </row>
        <row r="166">
          <cell r="A166" t="str">
            <v>Ball State</v>
          </cell>
          <cell r="B166">
            <v>-0.56277466361383588</v>
          </cell>
          <cell r="C166">
            <v>0.62732501991747336</v>
          </cell>
          <cell r="D166">
            <v>126</v>
          </cell>
          <cell r="E166">
            <v>-1.098019832758429E-2</v>
          </cell>
          <cell r="F166">
            <v>164</v>
          </cell>
          <cell r="G166">
            <v>-1.1181599819364623E-2</v>
          </cell>
        </row>
        <row r="167">
          <cell r="A167" t="str">
            <v>Longwood</v>
          </cell>
          <cell r="B167">
            <v>-0.50353831456378129</v>
          </cell>
          <cell r="C167">
            <v>0.6207396639688596</v>
          </cell>
          <cell r="D167">
            <v>130</v>
          </cell>
          <cell r="E167">
            <v>-1.6916961139868014E-2</v>
          </cell>
          <cell r="F167">
            <v>165</v>
          </cell>
          <cell r="G167">
            <v>-1.7458323151415694E-2</v>
          </cell>
        </row>
        <row r="168">
          <cell r="A168" t="str">
            <v>St. Joseph's</v>
          </cell>
          <cell r="B168">
            <v>1.0527669301433141E-2</v>
          </cell>
          <cell r="C168">
            <v>0.57665966857727158</v>
          </cell>
          <cell r="D168">
            <v>171</v>
          </cell>
          <cell r="E168">
            <v>-2.1387733886306309E-2</v>
          </cell>
          <cell r="F168">
            <v>166</v>
          </cell>
          <cell r="G168">
            <v>-2.2185108522022844E-2</v>
          </cell>
        </row>
        <row r="169">
          <cell r="A169" t="str">
            <v>Lehigh Mountain</v>
          </cell>
          <cell r="B169">
            <v>-1.163965644701193</v>
          </cell>
          <cell r="C169">
            <v>0.67430507239547532</v>
          </cell>
          <cell r="D169">
            <v>103</v>
          </cell>
          <cell r="E169">
            <v>-2.2206549200683379E-2</v>
          </cell>
          <cell r="F169">
            <v>167</v>
          </cell>
          <cell r="G169">
            <v>-2.3050812164040885E-2</v>
          </cell>
        </row>
        <row r="170">
          <cell r="A170" t="str">
            <v>Cornell</v>
          </cell>
          <cell r="B170">
            <v>0.32268235175379645</v>
          </cell>
          <cell r="C170">
            <v>0.5498487707918307</v>
          </cell>
          <cell r="D170">
            <v>194</v>
          </cell>
          <cell r="E170">
            <v>-2.4262133153524504E-2</v>
          </cell>
          <cell r="F170">
            <v>168</v>
          </cell>
          <cell r="G170">
            <v>-2.5224106291792042E-2</v>
          </cell>
        </row>
        <row r="171">
          <cell r="A171" t="str">
            <v>UNC Greensboro</v>
          </cell>
          <cell r="B171">
            <v>-0.53242000403236911</v>
          </cell>
          <cell r="C171">
            <v>0.61755802473539223</v>
          </cell>
          <cell r="D171">
            <v>134</v>
          </cell>
          <cell r="E171">
            <v>-3.703555576665378E-2</v>
          </cell>
          <cell r="F171">
            <v>169</v>
          </cell>
          <cell r="G171">
            <v>-3.8728981302140621E-2</v>
          </cell>
        </row>
        <row r="172">
          <cell r="A172" t="str">
            <v>Tennessee State</v>
          </cell>
          <cell r="B172">
            <v>3.7196552468586344E-2</v>
          </cell>
          <cell r="C172">
            <v>0.56844934593730601</v>
          </cell>
          <cell r="D172">
            <v>177</v>
          </cell>
          <cell r="E172">
            <v>-4.2944711827300162E-2</v>
          </cell>
          <cell r="F172">
            <v>170</v>
          </cell>
          <cell r="G172">
            <v>-4.4976517020065401E-2</v>
          </cell>
        </row>
        <row r="173">
          <cell r="A173" t="str">
            <v>Columbia</v>
          </cell>
          <cell r="B173">
            <v>7.9006387626589444E-2</v>
          </cell>
          <cell r="C173">
            <v>0.56370338455378222</v>
          </cell>
          <cell r="D173">
            <v>184</v>
          </cell>
          <cell r="E173">
            <v>-4.7487500525576931E-2</v>
          </cell>
          <cell r="F173">
            <v>171</v>
          </cell>
          <cell r="G173">
            <v>-4.9779442236490404E-2</v>
          </cell>
        </row>
        <row r="174">
          <cell r="A174" t="str">
            <v>Wright State</v>
          </cell>
          <cell r="B174">
            <v>0.2328124560290219</v>
          </cell>
          <cell r="C174">
            <v>0.54866657249686179</v>
          </cell>
          <cell r="D174">
            <v>195</v>
          </cell>
          <cell r="E174">
            <v>-5.5479085047441604E-2</v>
          </cell>
          <cell r="F174">
            <v>172</v>
          </cell>
          <cell r="G174">
            <v>-5.8228653804225323E-2</v>
          </cell>
        </row>
        <row r="175">
          <cell r="A175" t="str">
            <v>Colgate</v>
          </cell>
          <cell r="B175">
            <v>-0.71892535474385477</v>
          </cell>
          <cell r="C175">
            <v>0.6238439871151189</v>
          </cell>
          <cell r="D175">
            <v>128</v>
          </cell>
          <cell r="E175">
            <v>-7.0357327854823015E-2</v>
          </cell>
          <cell r="F175">
            <v>173</v>
          </cell>
          <cell r="G175">
            <v>-7.3958878629071981E-2</v>
          </cell>
        </row>
        <row r="176">
          <cell r="A176" t="str">
            <v>Western Carolina</v>
          </cell>
          <cell r="B176">
            <v>-4.6087651532144891E-2</v>
          </cell>
          <cell r="C176">
            <v>0.56265836076172493</v>
          </cell>
          <cell r="D176">
            <v>185</v>
          </cell>
          <cell r="E176">
            <v>-8.8777859196390932E-2</v>
          </cell>
          <cell r="F176">
            <v>174</v>
          </cell>
          <cell r="G176">
            <v>-9.3434236246723035E-2</v>
          </cell>
        </row>
        <row r="177">
          <cell r="A177" t="str">
            <v>Tennessee Tech</v>
          </cell>
          <cell r="B177">
            <v>-0.73725031260889751</v>
          </cell>
          <cell r="C177">
            <v>0.6192991739231376</v>
          </cell>
          <cell r="D177">
            <v>132</v>
          </cell>
          <cell r="E177">
            <v>-9.2216409176748948E-2</v>
          </cell>
          <cell r="F177">
            <v>175</v>
          </cell>
          <cell r="G177">
            <v>-9.7069690040746948E-2</v>
          </cell>
        </row>
        <row r="178">
          <cell r="A178" t="str">
            <v>Queens University</v>
          </cell>
          <cell r="B178">
            <v>-0.35843646421985764</v>
          </cell>
          <cell r="C178">
            <v>0.58471074243331034</v>
          </cell>
          <cell r="D178">
            <v>160</v>
          </cell>
          <cell r="E178">
            <v>-0.10309263601075773</v>
          </cell>
          <cell r="F178">
            <v>176</v>
          </cell>
          <cell r="G178">
            <v>-0.1085687289769921</v>
          </cell>
        </row>
        <row r="179">
          <cell r="A179" t="str">
            <v>Howard</v>
          </cell>
          <cell r="B179">
            <v>-0.87238680671345403</v>
          </cell>
          <cell r="C179">
            <v>0.6274870204423646</v>
          </cell>
          <cell r="D179">
            <v>125</v>
          </cell>
          <cell r="E179">
            <v>-0.10328062986945388</v>
          </cell>
          <cell r="F179">
            <v>177</v>
          </cell>
          <cell r="G179">
            <v>-0.10876748804426004</v>
          </cell>
        </row>
        <row r="180">
          <cell r="A180" t="str">
            <v>Sacramento State</v>
          </cell>
          <cell r="B180">
            <v>-0.17211650904521836</v>
          </cell>
          <cell r="C180">
            <v>0.56535576438788115</v>
          </cell>
          <cell r="D180">
            <v>180</v>
          </cell>
          <cell r="E180">
            <v>-0.11687570524210381</v>
          </cell>
          <cell r="F180">
            <v>178</v>
          </cell>
          <cell r="G180">
            <v>-0.12314106662414595</v>
          </cell>
        </row>
        <row r="181">
          <cell r="A181" t="str">
            <v>Bowling Green</v>
          </cell>
          <cell r="B181">
            <v>0.48265500533623013</v>
          </cell>
          <cell r="C181">
            <v>0.50980492415762635</v>
          </cell>
          <cell r="D181">
            <v>228</v>
          </cell>
          <cell r="E181">
            <v>-0.12043053281092533</v>
          </cell>
          <cell r="F181">
            <v>179</v>
          </cell>
          <cell r="G181">
            <v>-0.12689945648207887</v>
          </cell>
        </row>
        <row r="182">
          <cell r="A182" t="str">
            <v>North Dakota State</v>
          </cell>
          <cell r="B182">
            <v>0.31709067448919698</v>
          </cell>
          <cell r="C182">
            <v>0.52284444464956736</v>
          </cell>
          <cell r="D182">
            <v>216</v>
          </cell>
          <cell r="E182">
            <v>-0.12315679376147499</v>
          </cell>
          <cell r="F182">
            <v>180</v>
          </cell>
          <cell r="G182">
            <v>-0.12978183299915455</v>
          </cell>
        </row>
        <row r="183">
          <cell r="A183" t="str">
            <v>Tulsa</v>
          </cell>
          <cell r="B183">
            <v>0.4529141603477394</v>
          </cell>
          <cell r="C183">
            <v>0.51130998143774153</v>
          </cell>
          <cell r="D183">
            <v>225</v>
          </cell>
          <cell r="E183">
            <v>-0.12393449185460789</v>
          </cell>
          <cell r="F183">
            <v>181</v>
          </cell>
          <cell r="G183">
            <v>-0.13060406489906451</v>
          </cell>
        </row>
        <row r="184">
          <cell r="A184" t="str">
            <v>SIU Edwardsville</v>
          </cell>
          <cell r="B184">
            <v>-0.52240005963004199</v>
          </cell>
          <cell r="C184">
            <v>0.59206201560194216</v>
          </cell>
          <cell r="D184">
            <v>155</v>
          </cell>
          <cell r="E184">
            <v>-0.1258167002072243</v>
          </cell>
          <cell r="F184">
            <v>182</v>
          </cell>
          <cell r="G184">
            <v>-0.13259405531239285</v>
          </cell>
        </row>
        <row r="185">
          <cell r="A185" t="str">
            <v>Chattanooga</v>
          </cell>
          <cell r="B185">
            <v>-0.43093427592318861</v>
          </cell>
          <cell r="C185">
            <v>0.58281833678672956</v>
          </cell>
          <cell r="D185">
            <v>162</v>
          </cell>
          <cell r="E185">
            <v>-0.13165475080488964</v>
          </cell>
          <cell r="F185">
            <v>183</v>
          </cell>
          <cell r="G185">
            <v>-0.13876641381124363</v>
          </cell>
        </row>
        <row r="186">
          <cell r="A186" t="str">
            <v>UC Davis</v>
          </cell>
          <cell r="B186">
            <v>-7.3376392588345871E-2</v>
          </cell>
          <cell r="C186">
            <v>0.55134596394069324</v>
          </cell>
          <cell r="D186">
            <v>192</v>
          </cell>
          <cell r="E186">
            <v>-0.13768977333690144</v>
          </cell>
          <cell r="F186">
            <v>184</v>
          </cell>
          <cell r="G186">
            <v>-0.14514702357011</v>
          </cell>
        </row>
        <row r="187">
          <cell r="A187" t="str">
            <v>Idaho</v>
          </cell>
          <cell r="B187">
            <v>0.32382317121734178</v>
          </cell>
          <cell r="C187">
            <v>0.51624134449609516</v>
          </cell>
          <cell r="D187">
            <v>224</v>
          </cell>
          <cell r="E187">
            <v>-0.14490859244819951</v>
          </cell>
          <cell r="F187">
            <v>185</v>
          </cell>
          <cell r="G187">
            <v>-0.15277921838375305</v>
          </cell>
        </row>
        <row r="188">
          <cell r="A188" t="str">
            <v>William &amp; Mary</v>
          </cell>
          <cell r="B188">
            <v>0.1564954690103646</v>
          </cell>
          <cell r="C188">
            <v>0.52953472683088298</v>
          </cell>
          <cell r="D188">
            <v>210</v>
          </cell>
          <cell r="E188">
            <v>-0.14724994728806781</v>
          </cell>
          <cell r="F188">
            <v>186</v>
          </cell>
          <cell r="G188">
            <v>-0.15525464767353445</v>
          </cell>
        </row>
        <row r="189">
          <cell r="A189" t="str">
            <v>Oakland</v>
          </cell>
          <cell r="B189">
            <v>1.0466952595507377E-3</v>
          </cell>
          <cell r="C189">
            <v>0.54139668691755205</v>
          </cell>
          <cell r="D189">
            <v>202</v>
          </cell>
          <cell r="E189">
            <v>-0.15118082761139881</v>
          </cell>
          <cell r="F189">
            <v>187</v>
          </cell>
          <cell r="G189">
            <v>-0.15941062442738105</v>
          </cell>
        </row>
        <row r="190">
          <cell r="A190" t="str">
            <v>San Jose State</v>
          </cell>
          <cell r="B190">
            <v>8.6901354541952983E-2</v>
          </cell>
          <cell r="C190">
            <v>0.52722848465723515</v>
          </cell>
          <cell r="D190">
            <v>212</v>
          </cell>
          <cell r="E190">
            <v>-0.17643078867320977</v>
          </cell>
          <cell r="F190">
            <v>188</v>
          </cell>
          <cell r="G190">
            <v>-0.18610648962215101</v>
          </cell>
        </row>
        <row r="191">
          <cell r="A191" t="str">
            <v>Akron</v>
          </cell>
          <cell r="B191">
            <v>1.0381335670323941</v>
          </cell>
          <cell r="C191">
            <v>0.44725392901683636</v>
          </cell>
          <cell r="D191">
            <v>272</v>
          </cell>
          <cell r="E191">
            <v>-0.17897421429602334</v>
          </cell>
          <cell r="F191">
            <v>189</v>
          </cell>
          <cell r="G191">
            <v>-0.18879556099906683</v>
          </cell>
        </row>
        <row r="192">
          <cell r="A192" t="str">
            <v>Presbyterian</v>
          </cell>
          <cell r="B192">
            <v>-0.41945904709258147</v>
          </cell>
          <cell r="C192">
            <v>0.56436856472414065</v>
          </cell>
          <cell r="D192">
            <v>183</v>
          </cell>
          <cell r="E192">
            <v>-0.19463244332722435</v>
          </cell>
          <cell r="F192">
            <v>190</v>
          </cell>
          <cell r="G192">
            <v>-0.20535043688115248</v>
          </cell>
        </row>
        <row r="193">
          <cell r="A193" t="str">
            <v>UNC Asheville</v>
          </cell>
          <cell r="B193">
            <v>-0.17876048800798897</v>
          </cell>
          <cell r="C193">
            <v>0.54351281039701616</v>
          </cell>
          <cell r="D193">
            <v>199</v>
          </cell>
          <cell r="E193">
            <v>-0.1975048139931343</v>
          </cell>
          <cell r="F193">
            <v>191</v>
          </cell>
          <cell r="G193">
            <v>-0.2083872898845624</v>
          </cell>
        </row>
        <row r="194">
          <cell r="A194" t="str">
            <v>Buffalo</v>
          </cell>
          <cell r="B194">
            <v>-0.13374353746804454</v>
          </cell>
          <cell r="C194">
            <v>0.53971611463085511</v>
          </cell>
          <cell r="D194">
            <v>203</v>
          </cell>
          <cell r="E194">
            <v>-0.19766805619702429</v>
          </cell>
          <cell r="F194">
            <v>192</v>
          </cell>
          <cell r="G194">
            <v>-0.20855987992771044</v>
          </cell>
        </row>
        <row r="195">
          <cell r="A195" t="str">
            <v>San Diego</v>
          </cell>
          <cell r="B195">
            <v>9.8296488726957981E-2</v>
          </cell>
          <cell r="C195">
            <v>0.52031198655082211</v>
          </cell>
          <cell r="D195">
            <v>220</v>
          </cell>
          <cell r="E195">
            <v>-0.1979120471285977</v>
          </cell>
          <cell r="F195">
            <v>193</v>
          </cell>
          <cell r="G195">
            <v>-0.20881784266286416</v>
          </cell>
        </row>
        <row r="196">
          <cell r="A196" t="str">
            <v>Milwaukee</v>
          </cell>
          <cell r="B196">
            <v>-0.40251836095285426</v>
          </cell>
          <cell r="C196">
            <v>0.56108324929385744</v>
          </cell>
          <cell r="D196">
            <v>187</v>
          </cell>
          <cell r="E196">
            <v>-0.2013775656587907</v>
          </cell>
          <cell r="F196">
            <v>194</v>
          </cell>
          <cell r="G196">
            <v>-0.21248180932346758</v>
          </cell>
        </row>
        <row r="197">
          <cell r="A197" t="str">
            <v>UTEP</v>
          </cell>
          <cell r="B197">
            <v>5.4586796710618571E-2</v>
          </cell>
          <cell r="C197">
            <v>0.52166708089431324</v>
          </cell>
          <cell r="D197">
            <v>219</v>
          </cell>
          <cell r="E197">
            <v>-0.20614653564510155</v>
          </cell>
          <cell r="F197">
            <v>195</v>
          </cell>
          <cell r="G197">
            <v>-0.21752386778687685</v>
          </cell>
        </row>
        <row r="198">
          <cell r="A198" t="str">
            <v>Winthrop</v>
          </cell>
          <cell r="B198">
            <v>0.44859935242355203</v>
          </cell>
          <cell r="C198">
            <v>0.48826693806065308</v>
          </cell>
          <cell r="D198">
            <v>244</v>
          </cell>
          <cell r="E198">
            <v>-0.20818524144805423</v>
          </cell>
          <cell r="F198">
            <v>196</v>
          </cell>
          <cell r="G198">
            <v>-0.21967931726080631</v>
          </cell>
        </row>
        <row r="199">
          <cell r="A199" t="str">
            <v>Merrimack</v>
          </cell>
          <cell r="B199">
            <v>-1.140342718181008</v>
          </cell>
          <cell r="C199">
            <v>0.61938295919880737</v>
          </cell>
          <cell r="D199">
            <v>131</v>
          </cell>
          <cell r="E199">
            <v>-0.21284249894347648</v>
          </cell>
          <cell r="F199">
            <v>197</v>
          </cell>
          <cell r="G199">
            <v>-0.22460326617188664</v>
          </cell>
        </row>
        <row r="200">
          <cell r="A200" t="str">
            <v>Louisiana</v>
          </cell>
          <cell r="B200">
            <v>-1.0471900436973152</v>
          </cell>
          <cell r="C200">
            <v>0.60982907334432279</v>
          </cell>
          <cell r="D200">
            <v>139</v>
          </cell>
          <cell r="E200">
            <v>-0.21929124583751419</v>
          </cell>
          <cell r="F200">
            <v>198</v>
          </cell>
          <cell r="G200">
            <v>-0.23142129164673761</v>
          </cell>
        </row>
        <row r="201">
          <cell r="A201" t="str">
            <v>Oral Roberts</v>
          </cell>
          <cell r="B201">
            <v>-0.51024380240871769</v>
          </cell>
          <cell r="C201">
            <v>0.55727248228286352</v>
          </cell>
          <cell r="D201">
            <v>190</v>
          </cell>
          <cell r="E201">
            <v>-0.24741418276784599</v>
          </cell>
          <cell r="F201">
            <v>199</v>
          </cell>
          <cell r="G201">
            <v>-0.26115464970361973</v>
          </cell>
        </row>
        <row r="202">
          <cell r="A202" t="str">
            <v>Little Rock</v>
          </cell>
          <cell r="B202">
            <v>-0.73475249182313362</v>
          </cell>
          <cell r="C202">
            <v>0.57352995787700034</v>
          </cell>
          <cell r="D202">
            <v>174</v>
          </cell>
          <cell r="E202">
            <v>-0.25623892424570832</v>
          </cell>
          <cell r="F202">
            <v>200</v>
          </cell>
          <cell r="G202">
            <v>-0.27048472780928523</v>
          </cell>
        </row>
        <row r="203">
          <cell r="A203" t="str">
            <v>Lipscomb</v>
          </cell>
          <cell r="B203">
            <v>-0.24745526391969025</v>
          </cell>
          <cell r="C203">
            <v>0.53229477004220738</v>
          </cell>
          <cell r="D203">
            <v>208</v>
          </cell>
          <cell r="E203">
            <v>-0.25849884977958837</v>
          </cell>
          <cell r="F203">
            <v>201</v>
          </cell>
          <cell r="G203">
            <v>-0.27287406485637977</v>
          </cell>
        </row>
        <row r="204">
          <cell r="A204" t="str">
            <v>Northeastern</v>
          </cell>
          <cell r="B204">
            <v>-0.78773876416909827</v>
          </cell>
          <cell r="C204">
            <v>0.57619934820471164</v>
          </cell>
          <cell r="D204">
            <v>173</v>
          </cell>
          <cell r="E204">
            <v>-0.26252484425816475</v>
          </cell>
          <cell r="F204">
            <v>202</v>
          </cell>
          <cell r="G204">
            <v>-0.277130602346155</v>
          </cell>
        </row>
        <row r="205">
          <cell r="A205" t="str">
            <v>Long Island University</v>
          </cell>
          <cell r="B205">
            <v>-0.66821390026703498</v>
          </cell>
          <cell r="C205">
            <v>0.56524405385603393</v>
          </cell>
          <cell r="D205">
            <v>181</v>
          </cell>
          <cell r="E205">
            <v>-0.26610708707310565</v>
          </cell>
          <cell r="F205">
            <v>203</v>
          </cell>
          <cell r="G205">
            <v>-0.28091797734639734</v>
          </cell>
        </row>
        <row r="206">
          <cell r="A206" t="str">
            <v>Rice</v>
          </cell>
          <cell r="B206">
            <v>-0.21006897541764014</v>
          </cell>
          <cell r="C206">
            <v>0.52543378135848617</v>
          </cell>
          <cell r="D206">
            <v>214</v>
          </cell>
          <cell r="E206">
            <v>-0.27198292476354624</v>
          </cell>
          <cell r="F206">
            <v>204</v>
          </cell>
          <cell r="G206">
            <v>-0.28713028676368169</v>
          </cell>
        </row>
        <row r="207">
          <cell r="A207" t="str">
            <v>Loyola Chicago</v>
          </cell>
          <cell r="B207">
            <v>-0.51210201693835389</v>
          </cell>
          <cell r="C207">
            <v>0.55058600791322088</v>
          </cell>
          <cell r="D207">
            <v>193</v>
          </cell>
          <cell r="E207">
            <v>-0.27204334689851162</v>
          </cell>
          <cell r="F207">
            <v>205</v>
          </cell>
          <cell r="G207">
            <v>-0.28719416888872207</v>
          </cell>
        </row>
        <row r="208">
          <cell r="A208" t="str">
            <v>UT Martin</v>
          </cell>
          <cell r="B208">
            <v>-0.24829606201909149</v>
          </cell>
          <cell r="C208">
            <v>0.52853300572498085</v>
          </cell>
          <cell r="D208">
            <v>211</v>
          </cell>
          <cell r="E208">
            <v>-0.27229366131101862</v>
          </cell>
          <cell r="F208">
            <v>206</v>
          </cell>
          <cell r="G208">
            <v>-0.28745881721020811</v>
          </cell>
        </row>
        <row r="209">
          <cell r="A209" t="str">
            <v>Brown</v>
          </cell>
          <cell r="B209">
            <v>-0.38563757197209064</v>
          </cell>
          <cell r="C209">
            <v>0.53961322085848928</v>
          </cell>
          <cell r="D209">
            <v>204</v>
          </cell>
          <cell r="E209">
            <v>-0.27360669016161809</v>
          </cell>
          <cell r="F209">
            <v>207</v>
          </cell>
          <cell r="G209">
            <v>-0.28884703484375768</v>
          </cell>
        </row>
        <row r="210">
          <cell r="A210" t="str">
            <v>UT Rio Grande Valley</v>
          </cell>
          <cell r="B210">
            <v>0.49089681326000612</v>
          </cell>
          <cell r="C210">
            <v>0.46551825249663004</v>
          </cell>
          <cell r="D210">
            <v>257</v>
          </cell>
          <cell r="E210">
            <v>-0.27739260502749874</v>
          </cell>
          <cell r="F210">
            <v>208</v>
          </cell>
          <cell r="G210">
            <v>-0.29284974489352822</v>
          </cell>
        </row>
        <row r="211">
          <cell r="A211" t="str">
            <v>Dartmouth</v>
          </cell>
          <cell r="B211">
            <v>-0.42882961305766093</v>
          </cell>
          <cell r="C211">
            <v>0.54149157643454737</v>
          </cell>
          <cell r="D211">
            <v>201</v>
          </cell>
          <cell r="E211">
            <v>-0.27980211228182128</v>
          </cell>
          <cell r="F211">
            <v>209</v>
          </cell>
          <cell r="G211">
            <v>-0.2953972292516131</v>
          </cell>
        </row>
        <row r="212">
          <cell r="A212" t="str">
            <v>Jacksonville</v>
          </cell>
          <cell r="B212">
            <v>-0.75697282929455945</v>
          </cell>
          <cell r="C212">
            <v>0.5676881030808919</v>
          </cell>
          <cell r="D212">
            <v>179</v>
          </cell>
          <cell r="E212">
            <v>-0.28393604527249122</v>
          </cell>
          <cell r="F212">
            <v>210</v>
          </cell>
          <cell r="G212">
            <v>-0.29976788620324096</v>
          </cell>
        </row>
        <row r="213">
          <cell r="A213" t="str">
            <v>VMI</v>
          </cell>
          <cell r="B213">
            <v>-1.170099199782406</v>
          </cell>
          <cell r="C213">
            <v>0.60045101689693381</v>
          </cell>
          <cell r="D213">
            <v>148</v>
          </cell>
          <cell r="E213">
            <v>-0.28992554572742102</v>
          </cell>
          <cell r="F213">
            <v>211</v>
          </cell>
          <cell r="G213">
            <v>-0.30610036712617794</v>
          </cell>
        </row>
        <row r="214">
          <cell r="A214" t="str">
            <v>Montana</v>
          </cell>
          <cell r="B214">
            <v>0.14107697691594234</v>
          </cell>
          <cell r="C214">
            <v>0.49117375006714981</v>
          </cell>
          <cell r="D214">
            <v>241</v>
          </cell>
          <cell r="E214">
            <v>-0.28997726044487948</v>
          </cell>
          <cell r="F214">
            <v>212</v>
          </cell>
          <cell r="G214">
            <v>-0.30615504321547871</v>
          </cell>
        </row>
        <row r="215">
          <cell r="A215" t="str">
            <v>Bellarmine</v>
          </cell>
          <cell r="B215">
            <v>-0.63759860145644409</v>
          </cell>
          <cell r="C215">
            <v>0.55468764206631271</v>
          </cell>
          <cell r="D215">
            <v>191</v>
          </cell>
          <cell r="E215">
            <v>-0.29492619881598087</v>
          </cell>
          <cell r="F215">
            <v>213</v>
          </cell>
          <cell r="G215">
            <v>-0.3113873757045757</v>
          </cell>
        </row>
        <row r="216">
          <cell r="A216" t="str">
            <v>La Salle</v>
          </cell>
          <cell r="B216">
            <v>-0.31239925387414108</v>
          </cell>
          <cell r="C216">
            <v>0.52717899592750384</v>
          </cell>
          <cell r="D216">
            <v>213</v>
          </cell>
          <cell r="E216">
            <v>-0.29639913352669167</v>
          </cell>
          <cell r="F216">
            <v>214</v>
          </cell>
          <cell r="G216">
            <v>-0.31294465598637794</v>
          </cell>
        </row>
        <row r="217">
          <cell r="A217" t="str">
            <v>New Mexico State</v>
          </cell>
          <cell r="B217">
            <v>0.48198626532197303</v>
          </cell>
          <cell r="C217">
            <v>0.46068898820359183</v>
          </cell>
          <cell r="D217">
            <v>261</v>
          </cell>
          <cell r="E217">
            <v>-0.29745140401305059</v>
          </cell>
          <cell r="F217">
            <v>215</v>
          </cell>
          <cell r="G217">
            <v>-0.31405718328824217</v>
          </cell>
        </row>
        <row r="218">
          <cell r="A218" t="str">
            <v>Stetson</v>
          </cell>
          <cell r="B218">
            <v>-1.1739707399412647</v>
          </cell>
          <cell r="C218">
            <v>0.59633359917951501</v>
          </cell>
          <cell r="D218">
            <v>150</v>
          </cell>
          <cell r="E218">
            <v>-0.30590995297003476</v>
          </cell>
          <cell r="F218">
            <v>216</v>
          </cell>
          <cell r="G218">
            <v>-0.32300009936428048</v>
          </cell>
        </row>
        <row r="219">
          <cell r="A219" t="str">
            <v>Northern Kentucky</v>
          </cell>
          <cell r="B219">
            <v>5.4354431038886389E-2</v>
          </cell>
          <cell r="C219">
            <v>0.49098278860580891</v>
          </cell>
          <cell r="D219">
            <v>242</v>
          </cell>
          <cell r="E219">
            <v>-0.31668149666526724</v>
          </cell>
          <cell r="F219">
            <v>217</v>
          </cell>
          <cell r="G219">
            <v>-0.33438846062644545</v>
          </cell>
        </row>
        <row r="220">
          <cell r="A220" t="str">
            <v>East Carolina</v>
          </cell>
          <cell r="B220">
            <v>-0.60281143538851023</v>
          </cell>
          <cell r="C220">
            <v>0.54496954866970326</v>
          </cell>
          <cell r="D220">
            <v>197</v>
          </cell>
          <cell r="E220">
            <v>-0.31947575501420494</v>
          </cell>
          <cell r="F220">
            <v>218</v>
          </cell>
          <cell r="G220">
            <v>-0.33734272831897755</v>
          </cell>
        </row>
        <row r="221">
          <cell r="A221" t="str">
            <v>California Baptist</v>
          </cell>
          <cell r="B221">
            <v>0.40546139098743139</v>
          </cell>
          <cell r="C221">
            <v>0.45672317800461648</v>
          </cell>
          <cell r="D221">
            <v>266</v>
          </cell>
          <cell r="E221">
            <v>-0.33468601555292771</v>
          </cell>
          <cell r="F221">
            <v>219</v>
          </cell>
          <cell r="G221">
            <v>-0.35342398341181014</v>
          </cell>
        </row>
        <row r="222">
          <cell r="A222" t="str">
            <v>Quinnipiac</v>
          </cell>
          <cell r="B222">
            <v>-1.1278332959159658</v>
          </cell>
          <cell r="C222">
            <v>0.58260303112496048</v>
          </cell>
          <cell r="D222">
            <v>163</v>
          </cell>
          <cell r="E222">
            <v>-0.3414995698088833</v>
          </cell>
          <cell r="F222">
            <v>220</v>
          </cell>
          <cell r="G222">
            <v>-0.36062770643811393</v>
          </cell>
        </row>
        <row r="223">
          <cell r="A223" t="str">
            <v>Charleston</v>
          </cell>
          <cell r="B223">
            <v>-0.20754802677768575</v>
          </cell>
          <cell r="C223">
            <v>0.50549035846260937</v>
          </cell>
          <cell r="D223">
            <v>232</v>
          </cell>
          <cell r="E223">
            <v>-0.343024131918581</v>
          </cell>
          <cell r="F223">
            <v>221</v>
          </cell>
          <cell r="G223">
            <v>-0.36223957049057376</v>
          </cell>
        </row>
        <row r="224">
          <cell r="A224" t="str">
            <v>Detroit</v>
          </cell>
          <cell r="B224">
            <v>-0.17578405937188468</v>
          </cell>
          <cell r="C224">
            <v>0.50008377314777352</v>
          </cell>
          <cell r="D224">
            <v>237</v>
          </cell>
          <cell r="E224">
            <v>-0.35295896582891406</v>
          </cell>
          <cell r="F224">
            <v>222</v>
          </cell>
          <cell r="G224">
            <v>-0.37274330893806817</v>
          </cell>
        </row>
        <row r="225">
          <cell r="A225" t="str">
            <v>Houston Christian</v>
          </cell>
          <cell r="B225">
            <v>-0.72826409605345066</v>
          </cell>
          <cell r="C225">
            <v>0.54434819366559406</v>
          </cell>
          <cell r="D225">
            <v>198</v>
          </cell>
          <cell r="E225">
            <v>-0.3593484676597386</v>
          </cell>
          <cell r="F225">
            <v>223</v>
          </cell>
          <cell r="G225">
            <v>-0.37949869676301851</v>
          </cell>
        </row>
        <row r="226">
          <cell r="A226" t="str">
            <v>Fairfield</v>
          </cell>
          <cell r="B226">
            <v>-1.2090244399959735</v>
          </cell>
          <cell r="C226">
            <v>0.58407867058239449</v>
          </cell>
          <cell r="D226">
            <v>161</v>
          </cell>
          <cell r="E226">
            <v>-0.36054452446649765</v>
          </cell>
          <cell r="F226">
            <v>224</v>
          </cell>
          <cell r="G226">
            <v>-0.38076324411025458</v>
          </cell>
        </row>
        <row r="227">
          <cell r="A227" t="str">
            <v>Stony Brook</v>
          </cell>
          <cell r="B227">
            <v>-0.47394175936490213</v>
          </cell>
          <cell r="C227">
            <v>0.52232828270841469</v>
          </cell>
          <cell r="D227">
            <v>217</v>
          </cell>
          <cell r="E227">
            <v>-0.3623247371694378</v>
          </cell>
          <cell r="F227">
            <v>225</v>
          </cell>
          <cell r="G227">
            <v>-0.38264539823395283</v>
          </cell>
        </row>
        <row r="228">
          <cell r="A228" t="str">
            <v>Northern Arizona</v>
          </cell>
          <cell r="B228">
            <v>-0.26522904411852988</v>
          </cell>
          <cell r="C228">
            <v>0.50423271356386445</v>
          </cell>
          <cell r="D228">
            <v>233</v>
          </cell>
          <cell r="E228">
            <v>-0.36485603249449444</v>
          </cell>
          <cell r="F228">
            <v>226</v>
          </cell>
          <cell r="G228">
            <v>-0.38532164468837077</v>
          </cell>
        </row>
        <row r="229">
          <cell r="A229" t="str">
            <v>Loyola (MD)</v>
          </cell>
          <cell r="B229">
            <v>-1.2949392373837925</v>
          </cell>
          <cell r="C229">
            <v>0.58236539623829464</v>
          </cell>
          <cell r="D229">
            <v>164</v>
          </cell>
          <cell r="E229">
            <v>-0.39248685177422615</v>
          </cell>
          <cell r="F229">
            <v>227</v>
          </cell>
          <cell r="G229">
            <v>-0.41453470465733794</v>
          </cell>
        </row>
        <row r="230">
          <cell r="A230" t="str">
            <v>Temple</v>
          </cell>
          <cell r="B230">
            <v>7.0578008497332687E-2</v>
          </cell>
          <cell r="C230">
            <v>0.46272102106225438</v>
          </cell>
          <cell r="D230">
            <v>260</v>
          </cell>
          <cell r="E230">
            <v>-0.4135584436271994</v>
          </cell>
          <cell r="F230">
            <v>228</v>
          </cell>
          <cell r="G230">
            <v>-0.43681293210367533</v>
          </cell>
        </row>
        <row r="231">
          <cell r="A231" t="str">
            <v>Eastern Kentucky</v>
          </cell>
          <cell r="B231">
            <v>-0.59637149281778701</v>
          </cell>
          <cell r="C231">
            <v>0.51722199387522938</v>
          </cell>
          <cell r="D231">
            <v>222</v>
          </cell>
          <cell r="E231">
            <v>-0.41743659639646513</v>
          </cell>
          <cell r="F231">
            <v>229</v>
          </cell>
          <cell r="G231">
            <v>-0.44091316193292546</v>
          </cell>
        </row>
        <row r="232">
          <cell r="A232" t="str">
            <v>Southern Miss</v>
          </cell>
          <cell r="B232">
            <v>-0.53598235260125271</v>
          </cell>
          <cell r="C232">
            <v>0.51109102311995414</v>
          </cell>
          <cell r="D232">
            <v>226</v>
          </cell>
          <cell r="E232">
            <v>-0.42139170852129437</v>
          </cell>
          <cell r="F232">
            <v>230</v>
          </cell>
          <cell r="G232">
            <v>-0.44509475808890264</v>
          </cell>
        </row>
        <row r="233">
          <cell r="A233" t="str">
            <v>Indiana State</v>
          </cell>
          <cell r="B233">
            <v>-0.17765865914764806</v>
          </cell>
          <cell r="C233">
            <v>0.48093778955610655</v>
          </cell>
          <cell r="D233">
            <v>249</v>
          </cell>
          <cell r="E233">
            <v>-0.42244800925808362</v>
          </cell>
          <cell r="F233">
            <v>231</v>
          </cell>
          <cell r="G233">
            <v>-0.44621154642791955</v>
          </cell>
        </row>
        <row r="234">
          <cell r="A234" t="str">
            <v>Samford</v>
          </cell>
          <cell r="B234">
            <v>-0.22027293602827602</v>
          </cell>
          <cell r="C234">
            <v>0.4831021294115172</v>
          </cell>
          <cell r="D234">
            <v>247</v>
          </cell>
          <cell r="E234">
            <v>-0.42744054194331776</v>
          </cell>
          <cell r="F234">
            <v>232</v>
          </cell>
          <cell r="G234">
            <v>-0.45148996959931492</v>
          </cell>
        </row>
        <row r="235">
          <cell r="A235" t="str">
            <v>Hampton</v>
          </cell>
          <cell r="B235">
            <v>-0.60597089496803425</v>
          </cell>
          <cell r="C235">
            <v>0.51083912568686785</v>
          </cell>
          <cell r="D235">
            <v>227</v>
          </cell>
          <cell r="E235">
            <v>-0.44329511675967836</v>
          </cell>
          <cell r="F235">
            <v>233</v>
          </cell>
          <cell r="G235">
            <v>-0.46825243473666123</v>
          </cell>
        </row>
        <row r="236">
          <cell r="A236" t="str">
            <v>Tarleton</v>
          </cell>
          <cell r="B236">
            <v>0.22159427595714928</v>
          </cell>
          <cell r="C236">
            <v>0.44146030776626372</v>
          </cell>
          <cell r="D236">
            <v>282</v>
          </cell>
          <cell r="E236">
            <v>-0.44479337781199618</v>
          </cell>
          <cell r="F236">
            <v>234</v>
          </cell>
          <cell r="G236">
            <v>-0.46983649163802982</v>
          </cell>
        </row>
        <row r="237">
          <cell r="A237" t="str">
            <v>Coastal Carolina</v>
          </cell>
          <cell r="B237">
            <v>-0.73861427645633759</v>
          </cell>
          <cell r="C237">
            <v>0.52015599291304848</v>
          </cell>
          <cell r="D237">
            <v>221</v>
          </cell>
          <cell r="E237">
            <v>-0.44954686292578339</v>
          </cell>
          <cell r="F237">
            <v>235</v>
          </cell>
          <cell r="G237">
            <v>-0.47486217850908546</v>
          </cell>
        </row>
        <row r="238">
          <cell r="A238" t="str">
            <v>IU Indianapolis</v>
          </cell>
          <cell r="B238">
            <v>-0.60870842040017847</v>
          </cell>
          <cell r="C238">
            <v>0.50932786176473621</v>
          </cell>
          <cell r="D238">
            <v>229</v>
          </cell>
          <cell r="E238">
            <v>-0.44955701311735302</v>
          </cell>
          <cell r="F238">
            <v>236</v>
          </cell>
          <cell r="G238">
            <v>-0.4748729099373511</v>
          </cell>
        </row>
        <row r="239">
          <cell r="A239" t="str">
            <v>Elon</v>
          </cell>
          <cell r="B239">
            <v>-0.26772283609125525</v>
          </cell>
          <cell r="C239">
            <v>0.48032285405886227</v>
          </cell>
          <cell r="D239">
            <v>251</v>
          </cell>
          <cell r="E239">
            <v>-0.45168106618611537</v>
          </cell>
          <cell r="F239">
            <v>237</v>
          </cell>
          <cell r="G239">
            <v>-0.47711859397034456</v>
          </cell>
        </row>
        <row r="240">
          <cell r="A240" t="str">
            <v>Army</v>
          </cell>
          <cell r="B240">
            <v>-1.4450141490054567</v>
          </cell>
          <cell r="C240">
            <v>0.57643552301868894</v>
          </cell>
          <cell r="D240">
            <v>172</v>
          </cell>
          <cell r="E240">
            <v>-0.45885721653136302</v>
          </cell>
          <cell r="F240">
            <v>238</v>
          </cell>
          <cell r="G240">
            <v>-0.48470567665000375</v>
          </cell>
        </row>
        <row r="241">
          <cell r="A241" t="str">
            <v>Tulane</v>
          </cell>
          <cell r="B241">
            <v>-0.4065261522975932</v>
          </cell>
          <cell r="C241">
            <v>0.48779798874607966</v>
          </cell>
          <cell r="D241">
            <v>245</v>
          </cell>
          <cell r="E241">
            <v>-0.46641113789227706</v>
          </cell>
          <cell r="F241">
            <v>239</v>
          </cell>
          <cell r="G241">
            <v>-0.49269216288058454</v>
          </cell>
        </row>
        <row r="242">
          <cell r="A242" t="str">
            <v>SE Louisiana</v>
          </cell>
          <cell r="B242">
            <v>-0.82284766374893981</v>
          </cell>
          <cell r="C242">
            <v>0.52202157954608353</v>
          </cell>
          <cell r="D242">
            <v>218</v>
          </cell>
          <cell r="E242">
            <v>-0.46810065785164723</v>
          </cell>
          <cell r="F242">
            <v>240</v>
          </cell>
          <cell r="G242">
            <v>-0.49447843086606014</v>
          </cell>
        </row>
        <row r="243">
          <cell r="A243" t="str">
            <v>Arkansas State</v>
          </cell>
          <cell r="B243">
            <v>-4.3097588579278194E-2</v>
          </cell>
          <cell r="C243">
            <v>0.45524789805938809</v>
          </cell>
          <cell r="D243">
            <v>268</v>
          </cell>
          <cell r="E243">
            <v>-0.47456480372430943</v>
          </cell>
          <cell r="F243">
            <v>241</v>
          </cell>
          <cell r="G243">
            <v>-0.50131273712077018</v>
          </cell>
        </row>
        <row r="244">
          <cell r="A244" t="str">
            <v>Bradley</v>
          </cell>
          <cell r="B244">
            <v>0.55230527993356471</v>
          </cell>
          <cell r="C244">
            <v>0.40341639469586793</v>
          </cell>
          <cell r="D244">
            <v>305</v>
          </cell>
          <cell r="E244">
            <v>-0.48254039426147788</v>
          </cell>
          <cell r="F244">
            <v>242</v>
          </cell>
          <cell r="G244">
            <v>-0.5097450388303737</v>
          </cell>
        </row>
        <row r="245">
          <cell r="A245" t="str">
            <v>Troy</v>
          </cell>
          <cell r="B245">
            <v>4.3545942352952879E-2</v>
          </cell>
          <cell r="C245">
            <v>0.44474107223693299</v>
          </cell>
          <cell r="D245">
            <v>275</v>
          </cell>
          <cell r="E245">
            <v>-0.48639693344121238</v>
          </cell>
          <cell r="F245">
            <v>243</v>
          </cell>
          <cell r="G245">
            <v>-0.51382241739775114</v>
          </cell>
        </row>
        <row r="246">
          <cell r="A246" t="str">
            <v>Youngstown State</v>
          </cell>
          <cell r="B246">
            <v>-0.11127230015118804</v>
          </cell>
          <cell r="C246">
            <v>0.45761668077300255</v>
          </cell>
          <cell r="D246">
            <v>264</v>
          </cell>
          <cell r="E246">
            <v>-0.48648946054050995</v>
          </cell>
          <cell r="F246">
            <v>244</v>
          </cell>
          <cell r="G246">
            <v>-0.51392024293354754</v>
          </cell>
        </row>
        <row r="247">
          <cell r="A247" t="str">
            <v>Monmouth</v>
          </cell>
          <cell r="B247">
            <v>-0.32666940840585101</v>
          </cell>
          <cell r="C247">
            <v>0.47366806646656573</v>
          </cell>
          <cell r="D247">
            <v>255</v>
          </cell>
          <cell r="E247">
            <v>-0.4933226633959652</v>
          </cell>
          <cell r="F247">
            <v>245</v>
          </cell>
          <cell r="G247">
            <v>-0.52114473970925335</v>
          </cell>
        </row>
        <row r="248">
          <cell r="A248" t="str">
            <v>Georgia State</v>
          </cell>
          <cell r="B248">
            <v>-1.0593228334729399</v>
          </cell>
          <cell r="C248">
            <v>0.53456590342483468</v>
          </cell>
          <cell r="D248">
            <v>206</v>
          </cell>
          <cell r="E248">
            <v>-0.49388290730711581</v>
          </cell>
          <cell r="F248">
            <v>246</v>
          </cell>
          <cell r="G248">
            <v>-0.52173706521390084</v>
          </cell>
        </row>
        <row r="249">
          <cell r="A249" t="str">
            <v>St. Bonaventure</v>
          </cell>
          <cell r="B249">
            <v>0.33129528281111209</v>
          </cell>
          <cell r="C249">
            <v>0.4175432660469503</v>
          </cell>
          <cell r="D249">
            <v>295</v>
          </cell>
          <cell r="E249">
            <v>-0.49798582824823839</v>
          </cell>
          <cell r="F249">
            <v>247</v>
          </cell>
          <cell r="G249">
            <v>-0.52607493425381269</v>
          </cell>
        </row>
        <row r="250">
          <cell r="A250" t="str">
            <v>Utah Tech</v>
          </cell>
          <cell r="B250">
            <v>8.148106316355036E-2</v>
          </cell>
          <cell r="C250">
            <v>0.43601966322026897</v>
          </cell>
          <cell r="D250">
            <v>286</v>
          </cell>
          <cell r="E250">
            <v>-0.50641398101128066</v>
          </cell>
          <cell r="F250">
            <v>248</v>
          </cell>
          <cell r="G250">
            <v>-0.53498571353986057</v>
          </cell>
        </row>
        <row r="251">
          <cell r="A251" t="str">
            <v>CSU Fullerton</v>
          </cell>
          <cell r="B251">
            <v>6.3086279155328606E-2</v>
          </cell>
          <cell r="C251">
            <v>0.43670749683503746</v>
          </cell>
          <cell r="D251">
            <v>285</v>
          </cell>
          <cell r="E251">
            <v>-0.50945617487155137</v>
          </cell>
          <cell r="F251">
            <v>249</v>
          </cell>
          <cell r="G251">
            <v>-0.53820211442821586</v>
          </cell>
        </row>
        <row r="252">
          <cell r="A252" t="str">
            <v>Austin Peay</v>
          </cell>
          <cell r="B252">
            <v>-5.8407405171534046E-2</v>
          </cell>
          <cell r="C252">
            <v>0.44658950450176416</v>
          </cell>
          <cell r="D252">
            <v>273</v>
          </cell>
          <cell r="E252">
            <v>-0.51032847316796981</v>
          </cell>
          <cell r="F252">
            <v>250</v>
          </cell>
          <cell r="G252">
            <v>-0.53912436368134575</v>
          </cell>
        </row>
        <row r="253">
          <cell r="A253" t="str">
            <v>Florida Gulf Coast</v>
          </cell>
          <cell r="B253">
            <v>-0.48392103773354533</v>
          </cell>
          <cell r="C253">
            <v>0.47879125134623135</v>
          </cell>
          <cell r="D253">
            <v>252</v>
          </cell>
          <cell r="E253">
            <v>-0.52205438624513434</v>
          </cell>
          <cell r="F253">
            <v>251</v>
          </cell>
          <cell r="G253">
            <v>-0.55152174496947048</v>
          </cell>
        </row>
        <row r="254">
          <cell r="A254" t="str">
            <v>Central Michigan</v>
          </cell>
          <cell r="B254">
            <v>-0.46860168992857687</v>
          </cell>
          <cell r="C254">
            <v>0.47747337922827421</v>
          </cell>
          <cell r="D254">
            <v>253</v>
          </cell>
          <cell r="E254">
            <v>-0.5222029987977076</v>
          </cell>
          <cell r="F254">
            <v>252</v>
          </cell>
          <cell r="G254">
            <v>-0.55167886761453266</v>
          </cell>
        </row>
        <row r="255">
          <cell r="A255" t="str">
            <v>Marist</v>
          </cell>
          <cell r="B255">
            <v>-1.031925993086914</v>
          </cell>
          <cell r="C255">
            <v>0.52404281575198974</v>
          </cell>
          <cell r="D255">
            <v>215</v>
          </cell>
          <cell r="E255">
            <v>-0.52354758780274779</v>
          </cell>
          <cell r="F255">
            <v>253</v>
          </cell>
          <cell r="G255">
            <v>-0.55310045265116115</v>
          </cell>
        </row>
        <row r="256">
          <cell r="A256" t="str">
            <v>Navy</v>
          </cell>
          <cell r="B256">
            <v>-0.7095878884483634</v>
          </cell>
          <cell r="C256">
            <v>0.49353369364077926</v>
          </cell>
          <cell r="D256">
            <v>238</v>
          </cell>
          <cell r="E256">
            <v>-0.5366807848210009</v>
          </cell>
          <cell r="F256">
            <v>254</v>
          </cell>
          <cell r="G256">
            <v>-0.56698570405085158</v>
          </cell>
        </row>
        <row r="257">
          <cell r="A257" t="str">
            <v>Denver</v>
          </cell>
          <cell r="B257">
            <v>-0.27897291479286784</v>
          </cell>
          <cell r="C257">
            <v>0.45741972792987928</v>
          </cell>
          <cell r="D257">
            <v>265</v>
          </cell>
          <cell r="E257">
            <v>-0.53750868671598784</v>
          </cell>
          <cell r="F257">
            <v>255</v>
          </cell>
          <cell r="G257">
            <v>-0.56786101460396343</v>
          </cell>
        </row>
        <row r="258">
          <cell r="A258" t="str">
            <v>Kansas City</v>
          </cell>
          <cell r="B258">
            <v>-1.2123375278921862</v>
          </cell>
          <cell r="C258">
            <v>0.5316780858178447</v>
          </cell>
          <cell r="D258">
            <v>209</v>
          </cell>
          <cell r="E258">
            <v>-0.5501836283364443</v>
          </cell>
          <cell r="F258">
            <v>256</v>
          </cell>
          <cell r="G258">
            <v>-0.58126176924366246</v>
          </cell>
        </row>
        <row r="259">
          <cell r="A259" t="str">
            <v>Cleveland State</v>
          </cell>
          <cell r="B259">
            <v>-0.76323796105349218</v>
          </cell>
          <cell r="C259">
            <v>0.4913971908970961</v>
          </cell>
          <cell r="D259">
            <v>240</v>
          </cell>
          <cell r="E259">
            <v>-0.56046734174713064</v>
          </cell>
          <cell r="F259">
            <v>257</v>
          </cell>
          <cell r="G259">
            <v>-0.59213436529405983</v>
          </cell>
        </row>
        <row r="260">
          <cell r="A260" t="str">
            <v>Portland State</v>
          </cell>
          <cell r="B260">
            <v>0.29970626859125021</v>
          </cell>
          <cell r="C260">
            <v>0.4014587154247255</v>
          </cell>
          <cell r="D260">
            <v>307</v>
          </cell>
          <cell r="E260">
            <v>-0.56536785782284704</v>
          </cell>
          <cell r="F260">
            <v>258</v>
          </cell>
          <cell r="G260">
            <v>-0.59731550265193045</v>
          </cell>
        </row>
        <row r="261">
          <cell r="A261" t="str">
            <v>Old Dominion</v>
          </cell>
          <cell r="B261">
            <v>-0.65460564228929552</v>
          </cell>
          <cell r="C261">
            <v>0.48047314531337176</v>
          </cell>
          <cell r="D261">
            <v>250</v>
          </cell>
          <cell r="E261">
            <v>-0.56720485071742321</v>
          </cell>
          <cell r="F261">
            <v>259</v>
          </cell>
          <cell r="G261">
            <v>-0.59925768840648697</v>
          </cell>
        </row>
        <row r="262">
          <cell r="A262" t="str">
            <v>Marshall</v>
          </cell>
          <cell r="B262">
            <v>-0.20986316996108806</v>
          </cell>
          <cell r="C262">
            <v>0.44241050612650168</v>
          </cell>
          <cell r="D262">
            <v>278</v>
          </cell>
          <cell r="E262">
            <v>-0.57080984177862371</v>
          </cell>
          <cell r="F262">
            <v>260</v>
          </cell>
          <cell r="G262">
            <v>-0.6030691142998803</v>
          </cell>
        </row>
        <row r="263">
          <cell r="A263" t="str">
            <v>Portland</v>
          </cell>
          <cell r="B263">
            <v>-6.5049439993332338E-4</v>
          </cell>
          <cell r="C263">
            <v>0.42360795510250138</v>
          </cell>
          <cell r="D263">
            <v>292</v>
          </cell>
          <cell r="E263">
            <v>-0.57573632522699514</v>
          </cell>
          <cell r="F263">
            <v>261</v>
          </cell>
          <cell r="G263">
            <v>-0.60827770601612252</v>
          </cell>
        </row>
        <row r="264">
          <cell r="A264" t="str">
            <v>Mount St. Mary's</v>
          </cell>
          <cell r="B264">
            <v>-1.4118484457158085</v>
          </cell>
          <cell r="C264">
            <v>0.53492605625466405</v>
          </cell>
          <cell r="D264">
            <v>205</v>
          </cell>
          <cell r="E264">
            <v>-0.59834401967612627</v>
          </cell>
          <cell r="F264">
            <v>262</v>
          </cell>
          <cell r="G264">
            <v>-0.63217999885139198</v>
          </cell>
        </row>
        <row r="265">
          <cell r="A265" t="str">
            <v>Missouri State</v>
          </cell>
          <cell r="B265">
            <v>0.30270906340303638</v>
          </cell>
          <cell r="C265">
            <v>0.39194831750718856</v>
          </cell>
          <cell r="D265">
            <v>313</v>
          </cell>
          <cell r="E265">
            <v>-0.59870500949566252</v>
          </cell>
          <cell r="F265">
            <v>263</v>
          </cell>
          <cell r="G265">
            <v>-0.63256166025417326</v>
          </cell>
        </row>
        <row r="266">
          <cell r="A266" t="str">
            <v>East Texas A&amp;M</v>
          </cell>
          <cell r="B266">
            <v>-0.58644246649867371</v>
          </cell>
          <cell r="C266">
            <v>0.462925659141188</v>
          </cell>
          <cell r="D266">
            <v>259</v>
          </cell>
          <cell r="E266">
            <v>-0.60992787704350981</v>
          </cell>
          <cell r="F266">
            <v>264</v>
          </cell>
          <cell r="G266">
            <v>-0.64442718980578995</v>
          </cell>
        </row>
        <row r="267">
          <cell r="A267" t="str">
            <v>Green Bay</v>
          </cell>
          <cell r="B267">
            <v>-0.37609124854190523</v>
          </cell>
          <cell r="C267">
            <v>0.44463028185926423</v>
          </cell>
          <cell r="D267">
            <v>276</v>
          </cell>
          <cell r="E267">
            <v>-0.61268694256513379</v>
          </cell>
          <cell r="F267">
            <v>265</v>
          </cell>
          <cell r="G267">
            <v>-0.64734424940237723</v>
          </cell>
        </row>
        <row r="268">
          <cell r="A268" t="str">
            <v>Omaha</v>
          </cell>
          <cell r="B268">
            <v>-0.38692843551576828</v>
          </cell>
          <cell r="C268">
            <v>0.44536196780283799</v>
          </cell>
          <cell r="D268">
            <v>274</v>
          </cell>
          <cell r="E268">
            <v>-0.6133039863602503</v>
          </cell>
          <cell r="F268">
            <v>266</v>
          </cell>
          <cell r="G268">
            <v>-0.64799662735786701</v>
          </cell>
        </row>
        <row r="269">
          <cell r="A269" t="str">
            <v>Southern Indiana</v>
          </cell>
          <cell r="B269">
            <v>-1.1565772372608749</v>
          </cell>
          <cell r="C269">
            <v>0.50182117299876738</v>
          </cell>
          <cell r="D269">
            <v>236</v>
          </cell>
          <cell r="E269">
            <v>-0.64094217786488428</v>
          </cell>
          <cell r="F269">
            <v>267</v>
          </cell>
          <cell r="G269">
            <v>-0.67721748171200946</v>
          </cell>
        </row>
        <row r="270">
          <cell r="A270" t="str">
            <v>Central Connecticut</v>
          </cell>
          <cell r="B270">
            <v>-1.2400084019103557</v>
          </cell>
          <cell r="C270">
            <v>0.50761430767670623</v>
          </cell>
          <cell r="D270">
            <v>230</v>
          </cell>
          <cell r="E270">
            <v>-0.64511590275633945</v>
          </cell>
          <cell r="F270">
            <v>268</v>
          </cell>
          <cell r="G270">
            <v>-0.6816302091926415</v>
          </cell>
        </row>
        <row r="271">
          <cell r="A271" t="str">
            <v>Charleston Southern</v>
          </cell>
          <cell r="B271">
            <v>-0.4925205749428157</v>
          </cell>
          <cell r="C271">
            <v>0.44258005794517058</v>
          </cell>
          <cell r="D271">
            <v>277</v>
          </cell>
          <cell r="E271">
            <v>-0.65499666678477952</v>
          </cell>
          <cell r="F271">
            <v>269</v>
          </cell>
          <cell r="G271">
            <v>-0.69207678152116336</v>
          </cell>
        </row>
        <row r="272">
          <cell r="A272" t="str">
            <v>Appalachian State</v>
          </cell>
          <cell r="B272">
            <v>-0.48409398306696466</v>
          </cell>
          <cell r="C272">
            <v>0.4418272839052006</v>
          </cell>
          <cell r="D272">
            <v>280</v>
          </cell>
          <cell r="E272">
            <v>-0.65517871990252929</v>
          </cell>
          <cell r="F272">
            <v>270</v>
          </cell>
          <cell r="G272">
            <v>-0.69226925965916275</v>
          </cell>
        </row>
        <row r="273">
          <cell r="A273" t="str">
            <v>UTSA</v>
          </cell>
          <cell r="B273">
            <v>-1.0378985434192385</v>
          </cell>
          <cell r="C273">
            <v>0.48542563519009885</v>
          </cell>
          <cell r="D273">
            <v>246</v>
          </cell>
          <cell r="E273">
            <v>-0.66436346712602745</v>
          </cell>
          <cell r="F273">
            <v>271</v>
          </cell>
          <cell r="G273">
            <v>-0.70197995874207697</v>
          </cell>
        </row>
        <row r="274">
          <cell r="A274" t="str">
            <v>Southern Utah</v>
          </cell>
          <cell r="B274">
            <v>-0.10687192272743963</v>
          </cell>
          <cell r="C274">
            <v>0.40441033440979685</v>
          </cell>
          <cell r="D274">
            <v>304</v>
          </cell>
          <cell r="E274">
            <v>-0.67671531381300698</v>
          </cell>
          <cell r="F274">
            <v>272</v>
          </cell>
          <cell r="G274">
            <v>-0.71503911686334576</v>
          </cell>
        </row>
        <row r="275">
          <cell r="A275" t="str">
            <v>Mercyhurst</v>
          </cell>
          <cell r="B275">
            <v>-1.0565034134603191</v>
          </cell>
          <cell r="C275">
            <v>0.48291422041372051</v>
          </cell>
          <cell r="D275">
            <v>248</v>
          </cell>
          <cell r="E275">
            <v>-0.67898616858247052</v>
          </cell>
          <cell r="F275">
            <v>273</v>
          </cell>
          <cell r="G275">
            <v>-0.71744000899359894</v>
          </cell>
        </row>
        <row r="276">
          <cell r="A276" t="str">
            <v>Nicholls</v>
          </cell>
          <cell r="B276">
            <v>-0.22615085685927205</v>
          </cell>
          <cell r="C276">
            <v>0.41345389551469036</v>
          </cell>
          <cell r="D276">
            <v>299</v>
          </cell>
          <cell r="E276">
            <v>-0.67994164383327649</v>
          </cell>
          <cell r="F276">
            <v>274</v>
          </cell>
          <cell r="G276">
            <v>-0.71845019821448575</v>
          </cell>
        </row>
        <row r="277">
          <cell r="A277" t="str">
            <v>Bucknell</v>
          </cell>
          <cell r="B277">
            <v>-1.4900716546612731</v>
          </cell>
          <cell r="C277">
            <v>0.51719628550175978</v>
          </cell>
          <cell r="D277">
            <v>223</v>
          </cell>
          <cell r="E277">
            <v>-0.68563919660133377</v>
          </cell>
          <cell r="F277">
            <v>275</v>
          </cell>
          <cell r="G277">
            <v>-0.72447401346963836</v>
          </cell>
        </row>
        <row r="278">
          <cell r="A278" t="str">
            <v>Delaware</v>
          </cell>
          <cell r="B278">
            <v>-0.74063314890632026</v>
          </cell>
          <cell r="C278">
            <v>0.45455701617321476</v>
          </cell>
          <cell r="D278">
            <v>270</v>
          </cell>
          <cell r="E278">
            <v>-0.6863126871204015</v>
          </cell>
          <cell r="F278">
            <v>276</v>
          </cell>
          <cell r="G278">
            <v>-0.72518607049273531</v>
          </cell>
        </row>
        <row r="279">
          <cell r="A279" t="str">
            <v>Evansville</v>
          </cell>
          <cell r="B279">
            <v>-0.35882162143131835</v>
          </cell>
          <cell r="C279">
            <v>0.42217100574068617</v>
          </cell>
          <cell r="D279">
            <v>294</v>
          </cell>
          <cell r="E279">
            <v>-0.68836076529009516</v>
          </cell>
          <cell r="F279">
            <v>277</v>
          </cell>
          <cell r="G279">
            <v>-0.72735142902903771</v>
          </cell>
        </row>
        <row r="280">
          <cell r="A280" t="str">
            <v>Mercer</v>
          </cell>
          <cell r="B280">
            <v>5.9907704329181424E-2</v>
          </cell>
          <cell r="C280">
            <v>0.38542549682058014</v>
          </cell>
          <cell r="D280">
            <v>316</v>
          </cell>
          <cell r="E280">
            <v>-0.69502795413533525</v>
          </cell>
          <cell r="F280">
            <v>278</v>
          </cell>
          <cell r="G280">
            <v>-0.73440040523161076</v>
          </cell>
        </row>
        <row r="281">
          <cell r="A281" t="str">
            <v>Bethune-Cookman</v>
          </cell>
          <cell r="B281">
            <v>-1.3905299536615858</v>
          </cell>
          <cell r="C281">
            <v>0.50552952545752738</v>
          </cell>
          <cell r="D281">
            <v>231</v>
          </cell>
          <cell r="E281">
            <v>-0.69777770650560866</v>
          </cell>
          <cell r="F281">
            <v>279</v>
          </cell>
          <cell r="G281">
            <v>-0.73730761837210324</v>
          </cell>
        </row>
        <row r="282">
          <cell r="A282" t="str">
            <v>Southeast Missouri State</v>
          </cell>
          <cell r="B282">
            <v>-0.1473958300394646</v>
          </cell>
          <cell r="C282">
            <v>0.40066501917536723</v>
          </cell>
          <cell r="D282">
            <v>308</v>
          </cell>
          <cell r="E282">
            <v>-0.70235584044571375</v>
          </cell>
          <cell r="F282">
            <v>280</v>
          </cell>
          <cell r="G282">
            <v>-0.74214791282679415</v>
          </cell>
        </row>
        <row r="283">
          <cell r="A283" t="str">
            <v>Hofstra</v>
          </cell>
          <cell r="B283">
            <v>0.12966106826535534</v>
          </cell>
          <cell r="C283">
            <v>0.37619858834451536</v>
          </cell>
          <cell r="D283">
            <v>320</v>
          </cell>
          <cell r="E283">
            <v>-0.70731935645999455</v>
          </cell>
          <cell r="F283">
            <v>281</v>
          </cell>
          <cell r="G283">
            <v>-0.7473956577276657</v>
          </cell>
        </row>
        <row r="284">
          <cell r="A284" t="str">
            <v>UMass Lowell</v>
          </cell>
          <cell r="B284">
            <v>-1.2592408314687409</v>
          </cell>
          <cell r="C284">
            <v>0.49074621189808693</v>
          </cell>
          <cell r="D284">
            <v>243</v>
          </cell>
          <cell r="E284">
            <v>-0.71161176543630944</v>
          </cell>
          <cell r="F284">
            <v>282</v>
          </cell>
          <cell r="G284">
            <v>-0.75193386557329411</v>
          </cell>
        </row>
        <row r="285">
          <cell r="A285" t="str">
            <v>New Orleans</v>
          </cell>
          <cell r="B285">
            <v>-0.24409708122164661</v>
          </cell>
          <cell r="C285">
            <v>0.40611357328333952</v>
          </cell>
          <cell r="D285">
            <v>302</v>
          </cell>
          <cell r="E285">
            <v>-0.71175110155229127</v>
          </cell>
          <cell r="F285">
            <v>283</v>
          </cell>
          <cell r="G285">
            <v>-0.7520811805794404</v>
          </cell>
        </row>
        <row r="286">
          <cell r="A286" t="str">
            <v>Towson</v>
          </cell>
          <cell r="B286">
            <v>-0.26710012511177489</v>
          </cell>
          <cell r="C286">
            <v>0.40164099008214527</v>
          </cell>
          <cell r="D286">
            <v>306</v>
          </cell>
          <cell r="E286">
            <v>-0.73475357647992401</v>
          </cell>
          <cell r="F286">
            <v>284</v>
          </cell>
          <cell r="G286">
            <v>-0.7764008604518543</v>
          </cell>
        </row>
        <row r="287">
          <cell r="A287" t="str">
            <v>Le Moyne</v>
          </cell>
          <cell r="B287">
            <v>-1.0667210688070272</v>
          </cell>
          <cell r="C287">
            <v>0.46668818419045499</v>
          </cell>
          <cell r="D287">
            <v>256</v>
          </cell>
          <cell r="E287">
            <v>-0.74046614695445712</v>
          </cell>
          <cell r="F287">
            <v>285</v>
          </cell>
          <cell r="G287">
            <v>-0.78244055338169449</v>
          </cell>
        </row>
        <row r="288">
          <cell r="A288" t="str">
            <v>Jacksonville State</v>
          </cell>
          <cell r="B288">
            <v>0.37610014588371365</v>
          </cell>
          <cell r="C288">
            <v>0.34628294155297568</v>
          </cell>
          <cell r="D288">
            <v>327</v>
          </cell>
          <cell r="E288">
            <v>-0.74108571563687253</v>
          </cell>
          <cell r="F288">
            <v>286</v>
          </cell>
          <cell r="G288">
            <v>-0.78309560080866569</v>
          </cell>
        </row>
        <row r="289">
          <cell r="A289" t="str">
            <v>Wofford</v>
          </cell>
          <cell r="B289">
            <v>-0.3694900213924564</v>
          </cell>
          <cell r="C289">
            <v>0.40817605786075051</v>
          </cell>
          <cell r="D289">
            <v>301</v>
          </cell>
          <cell r="E289">
            <v>-0.74194391819735261</v>
          </cell>
          <cell r="F289">
            <v>287</v>
          </cell>
          <cell r="G289">
            <v>-0.78400294715301444</v>
          </cell>
        </row>
        <row r="290">
          <cell r="A290" t="str">
            <v>Vermont</v>
          </cell>
          <cell r="B290">
            <v>-0.99880753440112935</v>
          </cell>
          <cell r="C290">
            <v>0.46056835185149114</v>
          </cell>
          <cell r="D290">
            <v>262</v>
          </cell>
          <cell r="E290">
            <v>-0.74212384187068903</v>
          </cell>
          <cell r="F290">
            <v>288</v>
          </cell>
          <cell r="G290">
            <v>-0.78419317390690846</v>
          </cell>
        </row>
        <row r="291">
          <cell r="A291" t="str">
            <v>West Georgia</v>
          </cell>
          <cell r="B291">
            <v>-0.99029419966785215</v>
          </cell>
          <cell r="C291">
            <v>0.45960804408988587</v>
          </cell>
          <cell r="D291">
            <v>263</v>
          </cell>
          <cell r="E291">
            <v>-0.74302700569720592</v>
          </cell>
          <cell r="F291">
            <v>289</v>
          </cell>
          <cell r="G291">
            <v>-0.78514805616207173</v>
          </cell>
        </row>
        <row r="292">
          <cell r="A292" t="str">
            <v>Purdue Fort Wayne</v>
          </cell>
          <cell r="B292">
            <v>-0.23684363240805686</v>
          </cell>
          <cell r="C292">
            <v>0.39387114015355362</v>
          </cell>
          <cell r="D292">
            <v>309</v>
          </cell>
          <cell r="E292">
            <v>-0.75364854397322623</v>
          </cell>
          <cell r="F292">
            <v>290</v>
          </cell>
          <cell r="G292">
            <v>-0.79637782215195208</v>
          </cell>
        </row>
        <row r="293">
          <cell r="A293" t="str">
            <v>Southern Illinois</v>
          </cell>
          <cell r="B293">
            <v>0.43197783725393485</v>
          </cell>
          <cell r="C293">
            <v>0.33287169773746417</v>
          </cell>
          <cell r="D293">
            <v>335</v>
          </cell>
          <cell r="E293">
            <v>-0.77260367228908522</v>
          </cell>
          <cell r="F293">
            <v>291</v>
          </cell>
          <cell r="G293">
            <v>-0.81641838970098757</v>
          </cell>
        </row>
        <row r="294">
          <cell r="A294" t="str">
            <v>North Dakota</v>
          </cell>
          <cell r="B294">
            <v>-0.26579765400691208</v>
          </cell>
          <cell r="C294">
            <v>0.38926390721613097</v>
          </cell>
          <cell r="D294">
            <v>314</v>
          </cell>
          <cell r="E294">
            <v>-0.77892105915867649</v>
          </cell>
          <cell r="F294">
            <v>292</v>
          </cell>
          <cell r="G294">
            <v>-0.82309753300108912</v>
          </cell>
        </row>
        <row r="295">
          <cell r="A295" t="str">
            <v>South Dakota</v>
          </cell>
          <cell r="B295">
            <v>-0.63505337753077429</v>
          </cell>
          <cell r="C295">
            <v>0.41554507015032105</v>
          </cell>
          <cell r="D295">
            <v>297</v>
          </cell>
          <cell r="E295">
            <v>-0.7950840487368005</v>
          </cell>
          <cell r="F295">
            <v>293</v>
          </cell>
          <cell r="G295">
            <v>-0.84018607384540211</v>
          </cell>
        </row>
        <row r="296">
          <cell r="A296" t="str">
            <v>Saint Peter's</v>
          </cell>
          <cell r="B296">
            <v>-1.126966484071918</v>
          </cell>
          <cell r="C296">
            <v>0.45537360622037237</v>
          </cell>
          <cell r="D296">
            <v>267</v>
          </cell>
          <cell r="E296">
            <v>-0.79927291562204283</v>
          </cell>
          <cell r="F296">
            <v>294</v>
          </cell>
          <cell r="G296">
            <v>-0.84461481040517428</v>
          </cell>
        </row>
        <row r="297">
          <cell r="A297" t="str">
            <v>New Hampshire</v>
          </cell>
          <cell r="B297">
            <v>-1.5727700768928783</v>
          </cell>
          <cell r="C297">
            <v>0.49228533171561195</v>
          </cell>
          <cell r="D297">
            <v>239</v>
          </cell>
          <cell r="E297">
            <v>-0.80012961747885736</v>
          </cell>
          <cell r="F297">
            <v>295</v>
          </cell>
          <cell r="G297">
            <v>-0.84552057011013559</v>
          </cell>
        </row>
        <row r="298">
          <cell r="A298" t="str">
            <v>Bryant</v>
          </cell>
          <cell r="B298">
            <v>-1.7501361704785552</v>
          </cell>
          <cell r="C298">
            <v>0.50416276708820451</v>
          </cell>
          <cell r="D298">
            <v>234</v>
          </cell>
          <cell r="E298">
            <v>-0.81057998181597646</v>
          </cell>
          <cell r="F298">
            <v>296</v>
          </cell>
          <cell r="G298">
            <v>-0.85656936012201035</v>
          </cell>
        </row>
        <row r="299">
          <cell r="A299" t="str">
            <v>Drexel</v>
          </cell>
          <cell r="B299">
            <v>-0.62249051246425324</v>
          </cell>
          <cell r="C299">
            <v>0.40467993800145008</v>
          </cell>
          <cell r="D299">
            <v>303</v>
          </cell>
          <cell r="E299">
            <v>-0.83043030199671386</v>
          </cell>
          <cell r="F299">
            <v>297</v>
          </cell>
          <cell r="G299">
            <v>-0.87755638146120207</v>
          </cell>
        </row>
        <row r="300">
          <cell r="A300" t="str">
            <v>Radford</v>
          </cell>
          <cell r="B300">
            <v>-0.12553498969451032</v>
          </cell>
          <cell r="C300">
            <v>0.36306649708577848</v>
          </cell>
          <cell r="D300">
            <v>324</v>
          </cell>
          <cell r="E300">
            <v>-0.83115447233958473</v>
          </cell>
          <cell r="F300">
            <v>298</v>
          </cell>
          <cell r="G300">
            <v>-0.87832202041818919</v>
          </cell>
        </row>
        <row r="301">
          <cell r="A301" t="str">
            <v>NJIT</v>
          </cell>
          <cell r="B301">
            <v>-1.4722874066145455</v>
          </cell>
          <cell r="C301">
            <v>0.47432197601579235</v>
          </cell>
          <cell r="D301">
            <v>254</v>
          </cell>
          <cell r="E301">
            <v>-0.83465395014136279</v>
          </cell>
          <cell r="F301">
            <v>299</v>
          </cell>
          <cell r="G301">
            <v>-0.88202189098114436</v>
          </cell>
        </row>
        <row r="302">
          <cell r="A302" t="str">
            <v>New Haven</v>
          </cell>
          <cell r="B302">
            <v>-1.4178030121421465</v>
          </cell>
          <cell r="C302">
            <v>0.46332603141266737</v>
          </cell>
          <cell r="D302">
            <v>258</v>
          </cell>
          <cell r="E302">
            <v>-0.85789467708461709</v>
          </cell>
          <cell r="F302">
            <v>300</v>
          </cell>
          <cell r="G302">
            <v>-0.90659346604166746</v>
          </cell>
        </row>
        <row r="303">
          <cell r="A303" t="str">
            <v>Long Beach State</v>
          </cell>
          <cell r="B303">
            <v>-0.28331314826083864</v>
          </cell>
          <cell r="C303">
            <v>0.36856513563788917</v>
          </cell>
          <cell r="D303">
            <v>321</v>
          </cell>
          <cell r="E303">
            <v>-0.85869249872595899</v>
          </cell>
          <cell r="F303">
            <v>301</v>
          </cell>
          <cell r="G303">
            <v>-0.90743697383697042</v>
          </cell>
        </row>
        <row r="304">
          <cell r="A304" t="str">
            <v>Texas A&amp;M-CC</v>
          </cell>
          <cell r="B304">
            <v>0.17531977099697613</v>
          </cell>
          <cell r="C304">
            <v>0.32986233168947099</v>
          </cell>
          <cell r="D304">
            <v>336</v>
          </cell>
          <cell r="E304">
            <v>-0.86043498638396154</v>
          </cell>
          <cell r="F304">
            <v>302</v>
          </cell>
          <cell r="G304">
            <v>-0.90927924264315652</v>
          </cell>
        </row>
        <row r="305">
          <cell r="A305" t="str">
            <v>UC Riverside</v>
          </cell>
          <cell r="B305">
            <v>-0.46962637636214905</v>
          </cell>
          <cell r="C305">
            <v>0.38272772403080202</v>
          </cell>
          <cell r="D305">
            <v>317</v>
          </cell>
          <cell r="E305">
            <v>-0.86360031856162722</v>
          </cell>
          <cell r="F305">
            <v>303</v>
          </cell>
          <cell r="G305">
            <v>-0.91262583319451518</v>
          </cell>
        </row>
        <row r="306">
          <cell r="A306" t="str">
            <v>Albany</v>
          </cell>
          <cell r="B306">
            <v>-1.0305680667173598</v>
          </cell>
          <cell r="C306">
            <v>0.42439694452406007</v>
          </cell>
          <cell r="D306">
            <v>290</v>
          </cell>
          <cell r="E306">
            <v>-0.88187118874462</v>
          </cell>
          <cell r="F306">
            <v>304</v>
          </cell>
          <cell r="G306">
            <v>-0.93194295951412842</v>
          </cell>
        </row>
        <row r="307">
          <cell r="A307" t="str">
            <v>The Citadel</v>
          </cell>
          <cell r="B307">
            <v>-0.90343434756623364</v>
          </cell>
          <cell r="C307">
            <v>0.41106933427352305</v>
          </cell>
          <cell r="D307">
            <v>300</v>
          </cell>
          <cell r="E307">
            <v>-0.89171125132505358</v>
          </cell>
          <cell r="F307">
            <v>305</v>
          </cell>
          <cell r="G307">
            <v>-0.94234649968245987</v>
          </cell>
        </row>
        <row r="308">
          <cell r="A308" t="str">
            <v>James Madison</v>
          </cell>
          <cell r="B308">
            <v>-0.5764993708876307</v>
          </cell>
          <cell r="C308">
            <v>0.38177871717651968</v>
          </cell>
          <cell r="D308">
            <v>318</v>
          </cell>
          <cell r="E308">
            <v>-0.89907869723681477</v>
          </cell>
          <cell r="F308">
            <v>306</v>
          </cell>
          <cell r="G308">
            <v>-0.95013583220494058</v>
          </cell>
        </row>
        <row r="309">
          <cell r="A309" t="str">
            <v>North Florida</v>
          </cell>
          <cell r="B309">
            <v>-1.1459715307717986</v>
          </cell>
          <cell r="C309">
            <v>0.42386991059788087</v>
          </cell>
          <cell r="D309">
            <v>291</v>
          </cell>
          <cell r="E309">
            <v>-0.91838958099622592</v>
          </cell>
          <cell r="F309">
            <v>307</v>
          </cell>
          <cell r="G309">
            <v>-0.97055252704146477</v>
          </cell>
        </row>
        <row r="310">
          <cell r="A310" t="str">
            <v>Fairleigh Dickinson</v>
          </cell>
          <cell r="B310">
            <v>-1.3652659374248222</v>
          </cell>
          <cell r="C310">
            <v>0.44173540321509497</v>
          </cell>
          <cell r="D310">
            <v>281</v>
          </cell>
          <cell r="E310">
            <v>-0.91986108208141126</v>
          </cell>
          <cell r="F310">
            <v>308</v>
          </cell>
          <cell r="G310">
            <v>-0.97210829160315659</v>
          </cell>
        </row>
        <row r="311">
          <cell r="A311" t="str">
            <v>Boston University</v>
          </cell>
          <cell r="B311">
            <v>-1.1472115655984927</v>
          </cell>
          <cell r="C311">
            <v>0.42349044986270612</v>
          </cell>
          <cell r="D311">
            <v>293</v>
          </cell>
          <cell r="E311">
            <v>-0.92012767233938786</v>
          </cell>
          <cell r="F311">
            <v>309</v>
          </cell>
          <cell r="G311">
            <v>-0.97239014778391508</v>
          </cell>
        </row>
        <row r="312">
          <cell r="A312" t="str">
            <v>Weber State</v>
          </cell>
          <cell r="B312">
            <v>0.1455418662382463</v>
          </cell>
          <cell r="C312">
            <v>0.31453402870344405</v>
          </cell>
          <cell r="D312">
            <v>342</v>
          </cell>
          <cell r="E312">
            <v>-0.92455114728964127</v>
          </cell>
          <cell r="F312">
            <v>310</v>
          </cell>
          <cell r="G312">
            <v>-0.9770669269153891</v>
          </cell>
        </row>
        <row r="313">
          <cell r="A313" t="str">
            <v>UT Arlington</v>
          </cell>
          <cell r="B313">
            <v>0.27200487803287005</v>
          </cell>
          <cell r="C313">
            <v>0.30193996946947599</v>
          </cell>
          <cell r="D313">
            <v>346</v>
          </cell>
          <cell r="E313">
            <v>-0.93195159540784767</v>
          </cell>
          <cell r="F313">
            <v>311</v>
          </cell>
          <cell r="G313">
            <v>-0.98489115147006867</v>
          </cell>
        </row>
        <row r="314">
          <cell r="A314" t="str">
            <v>North Alabama</v>
          </cell>
          <cell r="B314">
            <v>-1.3395981580590053</v>
          </cell>
          <cell r="C314">
            <v>0.43156465632965535</v>
          </cell>
          <cell r="D314">
            <v>287</v>
          </cell>
          <cell r="E314">
            <v>-0.94877603339001793</v>
          </cell>
          <cell r="F314">
            <v>312</v>
          </cell>
          <cell r="G314">
            <v>-1.0026790176473788</v>
          </cell>
        </row>
        <row r="315">
          <cell r="A315" t="str">
            <v>Binghamton</v>
          </cell>
          <cell r="B315">
            <v>-2.24964937721492</v>
          </cell>
          <cell r="C315">
            <v>0.50277873411396745</v>
          </cell>
          <cell r="D315">
            <v>235</v>
          </cell>
          <cell r="E315">
            <v>-0.9654165436926978</v>
          </cell>
          <cell r="F315">
            <v>313</v>
          </cell>
          <cell r="G315">
            <v>-1.020272423780761</v>
          </cell>
        </row>
        <row r="316">
          <cell r="A316" t="str">
            <v>Georgia Southern</v>
          </cell>
          <cell r="B316">
            <v>-0.44565001027987872</v>
          </cell>
          <cell r="C316">
            <v>0.35083624604990721</v>
          </cell>
          <cell r="D316">
            <v>326</v>
          </cell>
          <cell r="E316">
            <v>-0.97121859932785448</v>
          </cell>
          <cell r="F316">
            <v>314</v>
          </cell>
          <cell r="G316">
            <v>-1.0264067261153083</v>
          </cell>
        </row>
        <row r="317">
          <cell r="A317" t="str">
            <v>South Carolina State</v>
          </cell>
          <cell r="B317">
            <v>-1.6759691726548958</v>
          </cell>
          <cell r="C317">
            <v>0.45237631132820111</v>
          </cell>
          <cell r="D317">
            <v>271</v>
          </cell>
          <cell r="E317">
            <v>-0.97476415954601059</v>
          </cell>
          <cell r="F317">
            <v>315</v>
          </cell>
          <cell r="G317">
            <v>-1.0301553179405445</v>
          </cell>
        </row>
        <row r="318">
          <cell r="A318" t="str">
            <v>Iona</v>
          </cell>
          <cell r="B318">
            <v>-1.2517180289562946</v>
          </cell>
          <cell r="C318">
            <v>0.41658126035574988</v>
          </cell>
          <cell r="D318">
            <v>296</v>
          </cell>
          <cell r="E318">
            <v>-0.9763530986710558</v>
          </cell>
          <cell r="F318">
            <v>316</v>
          </cell>
          <cell r="G318">
            <v>-1.0318352454691875</v>
          </cell>
        </row>
        <row r="319">
          <cell r="A319" t="str">
            <v>Lindenwood</v>
          </cell>
          <cell r="B319">
            <v>-0.38829224766505849</v>
          </cell>
          <cell r="C319">
            <v>0.3408893726616552</v>
          </cell>
          <cell r="D319">
            <v>330</v>
          </cell>
          <cell r="E319">
            <v>-0.98982059794574395</v>
          </cell>
          <cell r="F319">
            <v>317</v>
          </cell>
          <cell r="G319">
            <v>-1.0460739424821306</v>
          </cell>
        </row>
        <row r="320">
          <cell r="A320" t="str">
            <v>Sacred Heart</v>
          </cell>
          <cell r="B320">
            <v>-1.6514720951343829</v>
          </cell>
          <cell r="C320">
            <v>0.43834644440696285</v>
          </cell>
          <cell r="D320">
            <v>284</v>
          </cell>
          <cell r="E320">
            <v>-1.0179233798048339</v>
          </cell>
          <cell r="F320">
            <v>318</v>
          </cell>
          <cell r="G320">
            <v>-1.0757859913154639</v>
          </cell>
        </row>
        <row r="321">
          <cell r="A321" t="str">
            <v>Incarnate Word</v>
          </cell>
          <cell r="B321">
            <v>-0.14573729731536511</v>
          </cell>
          <cell r="C321">
            <v>0.31278116115432486</v>
          </cell>
          <cell r="D321">
            <v>343</v>
          </cell>
          <cell r="E321">
            <v>-1.0182453223066041</v>
          </cell>
          <cell r="F321">
            <v>319</v>
          </cell>
          <cell r="G321">
            <v>-1.076126369409778</v>
          </cell>
        </row>
        <row r="322">
          <cell r="A322" t="str">
            <v>Chicago State</v>
          </cell>
          <cell r="B322">
            <v>-1.4431257090593632</v>
          </cell>
          <cell r="C322">
            <v>0.41509291180944086</v>
          </cell>
          <cell r="D322">
            <v>298</v>
          </cell>
          <cell r="E322">
            <v>-1.0391335447334733</v>
          </cell>
          <cell r="F322">
            <v>320</v>
          </cell>
          <cell r="G322">
            <v>-1.0982107270331825</v>
          </cell>
        </row>
        <row r="323">
          <cell r="A323" t="str">
            <v>South Alabama</v>
          </cell>
          <cell r="B323">
            <v>-0.47485221163883629</v>
          </cell>
          <cell r="C323">
            <v>0.33403526130939465</v>
          </cell>
          <cell r="D323">
            <v>334</v>
          </cell>
          <cell r="E323">
            <v>-1.0404637898759606</v>
          </cell>
          <cell r="F323">
            <v>321</v>
          </cell>
          <cell r="G323">
            <v>-1.0996171468257876</v>
          </cell>
        </row>
        <row r="324">
          <cell r="A324" t="str">
            <v>Stonehill</v>
          </cell>
          <cell r="B324">
            <v>-1.6417481117771751</v>
          </cell>
          <cell r="C324">
            <v>0.42904306226782851</v>
          </cell>
          <cell r="D324">
            <v>288</v>
          </cell>
          <cell r="E324">
            <v>-1.0484989059740339</v>
          </cell>
          <cell r="F324">
            <v>322</v>
          </cell>
          <cell r="G324">
            <v>-1.1081123827452963</v>
          </cell>
        </row>
        <row r="325">
          <cell r="A325" t="str">
            <v>Northwestern State</v>
          </cell>
          <cell r="B325">
            <v>-0.62504247947811853</v>
          </cell>
          <cell r="C325">
            <v>0.33714532076263937</v>
          </cell>
          <cell r="D325">
            <v>331</v>
          </cell>
          <cell r="E325">
            <v>-1.0743244738471995</v>
          </cell>
          <cell r="F325">
            <v>323</v>
          </cell>
          <cell r="G325">
            <v>-1.1354168160801714</v>
          </cell>
        </row>
        <row r="326">
          <cell r="A326" t="str">
            <v>Niagara</v>
          </cell>
          <cell r="B326">
            <v>-1.9001118454363595</v>
          </cell>
          <cell r="C326">
            <v>0.44196260019590605</v>
          </cell>
          <cell r="D326">
            <v>279</v>
          </cell>
          <cell r="E326">
            <v>-1.0794969320329497</v>
          </cell>
          <cell r="F326">
            <v>324</v>
          </cell>
          <cell r="G326">
            <v>-1.1408854679372713</v>
          </cell>
        </row>
        <row r="327">
          <cell r="A327" t="str">
            <v>Northern Illinois</v>
          </cell>
          <cell r="B327">
            <v>-0.72070934513373974</v>
          </cell>
          <cell r="C327">
            <v>0.34343493679016279</v>
          </cell>
          <cell r="D327">
            <v>329</v>
          </cell>
          <cell r="E327">
            <v>-1.0803815470723208</v>
          </cell>
          <cell r="F327">
            <v>325</v>
          </cell>
          <cell r="G327">
            <v>-1.1418207392346214</v>
          </cell>
        </row>
        <row r="328">
          <cell r="A328" t="str">
            <v>Eastern Illinois</v>
          </cell>
          <cell r="B328">
            <v>-0.66314225461960952</v>
          </cell>
          <cell r="C328">
            <v>0.33439881253577908</v>
          </cell>
          <cell r="D328">
            <v>333</v>
          </cell>
          <cell r="E328">
            <v>-1.0956419970394895</v>
          </cell>
          <cell r="F328">
            <v>326</v>
          </cell>
          <cell r="G328">
            <v>-1.1579550577841744</v>
          </cell>
        </row>
        <row r="329">
          <cell r="A329" t="str">
            <v>Manhatten</v>
          </cell>
          <cell r="B329">
            <v>-1.7833149783795097</v>
          </cell>
          <cell r="C329">
            <v>0.42496366282332143</v>
          </cell>
          <cell r="D329">
            <v>289</v>
          </cell>
          <cell r="E329">
            <v>-1.1056550431381225</v>
          </cell>
          <cell r="F329">
            <v>327</v>
          </cell>
          <cell r="G329">
            <v>-1.1685414871328679</v>
          </cell>
        </row>
        <row r="330">
          <cell r="A330" t="str">
            <v>Southern</v>
          </cell>
          <cell r="B330">
            <v>-0.87494169935297028</v>
          </cell>
          <cell r="C330">
            <v>0.34391435032656104</v>
          </cell>
          <cell r="D330">
            <v>328</v>
          </cell>
          <cell r="E330">
            <v>-1.1249253364981036</v>
          </cell>
          <cell r="F330">
            <v>328</v>
          </cell>
          <cell r="G330">
            <v>-1.1889152672168213</v>
          </cell>
        </row>
        <row r="331">
          <cell r="A331" t="str">
            <v>Coppin State</v>
          </cell>
          <cell r="B331">
            <v>-2.2430180179076911</v>
          </cell>
          <cell r="C331">
            <v>0.45507061950569089</v>
          </cell>
          <cell r="D331">
            <v>269</v>
          </cell>
          <cell r="E331">
            <v>-1.1351791457103313</v>
          </cell>
          <cell r="F331">
            <v>329</v>
          </cell>
          <cell r="G331">
            <v>-1.1997562466461531</v>
          </cell>
        </row>
        <row r="332">
          <cell r="A332" t="str">
            <v>Lafayette</v>
          </cell>
          <cell r="B332">
            <v>-1.490092848033352</v>
          </cell>
          <cell r="C332">
            <v>0.39194842837698474</v>
          </cell>
          <cell r="D332">
            <v>312</v>
          </cell>
          <cell r="E332">
            <v>-1.1365451837888123</v>
          </cell>
          <cell r="F332">
            <v>330</v>
          </cell>
          <cell r="G332">
            <v>-1.2012005090077775</v>
          </cell>
        </row>
        <row r="333">
          <cell r="A333" t="str">
            <v>Alabama A&amp;M</v>
          </cell>
          <cell r="B333">
            <v>-1.5713405438288117</v>
          </cell>
          <cell r="C333">
            <v>0.39305383588695031</v>
          </cell>
          <cell r="D333">
            <v>310</v>
          </cell>
          <cell r="E333">
            <v>-1.1569399606793713</v>
          </cell>
          <cell r="F333">
            <v>331</v>
          </cell>
          <cell r="G333">
            <v>-1.2227631646180164</v>
          </cell>
        </row>
        <row r="334">
          <cell r="A334" t="str">
            <v>Holy Cross</v>
          </cell>
          <cell r="B334">
            <v>-1.573014525524649</v>
          </cell>
          <cell r="C334">
            <v>0.39235806736698531</v>
          </cell>
          <cell r="D334">
            <v>311</v>
          </cell>
          <cell r="E334">
            <v>-1.1599469626542649</v>
          </cell>
          <cell r="F334">
            <v>332</v>
          </cell>
          <cell r="G334">
            <v>-1.2259423584063021</v>
          </cell>
        </row>
        <row r="335">
          <cell r="A335" t="str">
            <v>North Carolina A&amp;T</v>
          </cell>
          <cell r="B335">
            <v>-0.74221457468035101</v>
          </cell>
          <cell r="C335">
            <v>0.31977715385605199</v>
          </cell>
          <cell r="D335">
            <v>341</v>
          </cell>
          <cell r="E335">
            <v>-1.1720025216011565</v>
          </cell>
          <cell r="F335">
            <v>333</v>
          </cell>
          <cell r="G335">
            <v>-1.2386882622794204</v>
          </cell>
        </row>
        <row r="336">
          <cell r="A336" t="str">
            <v>CSU Northridge</v>
          </cell>
          <cell r="B336">
            <v>-5.9439997994469945E-2</v>
          </cell>
          <cell r="C336">
            <v>0.26001350809620605</v>
          </cell>
          <cell r="D336">
            <v>356</v>
          </cell>
          <cell r="E336">
            <v>-1.1823227773901985</v>
          </cell>
          <cell r="F336">
            <v>334</v>
          </cell>
          <cell r="G336">
            <v>-1.2495994932569803</v>
          </cell>
        </row>
        <row r="337">
          <cell r="A337" t="str">
            <v>Alcorn State</v>
          </cell>
          <cell r="B337">
            <v>-2.2286694300083734</v>
          </cell>
          <cell r="C337">
            <v>0.44057715986836798</v>
          </cell>
          <cell r="D337">
            <v>283</v>
          </cell>
          <cell r="E337">
            <v>-1.1830518738147651</v>
          </cell>
          <cell r="F337">
            <v>335</v>
          </cell>
          <cell r="G337">
            <v>-1.250370340380925</v>
          </cell>
        </row>
        <row r="338">
          <cell r="A338" t="str">
            <v>Prairie View A&amp;M</v>
          </cell>
          <cell r="B338">
            <v>-1.3256940651147915</v>
          </cell>
          <cell r="C338">
            <v>0.36404967857985121</v>
          </cell>
          <cell r="D338">
            <v>323</v>
          </cell>
          <cell r="E338">
            <v>-1.1876626839411546</v>
          </cell>
          <cell r="F338">
            <v>336</v>
          </cell>
          <cell r="G338">
            <v>-1.2552451821785602</v>
          </cell>
        </row>
        <row r="339">
          <cell r="A339" t="str">
            <v>CSU Bakersfield</v>
          </cell>
          <cell r="B339">
            <v>-0.88012939321061623</v>
          </cell>
          <cell r="C339">
            <v>0.32512612100788052</v>
          </cell>
          <cell r="D339">
            <v>340</v>
          </cell>
          <cell r="E339">
            <v>-1.1941203717932545</v>
          </cell>
          <cell r="F339">
            <v>337</v>
          </cell>
          <cell r="G339">
            <v>-1.2620726606030832</v>
          </cell>
        </row>
        <row r="340">
          <cell r="A340" t="str">
            <v>South Carolina Upstate</v>
          </cell>
          <cell r="B340">
            <v>-0.48164443855409089</v>
          </cell>
          <cell r="C340">
            <v>0.28624621063936972</v>
          </cell>
          <cell r="D340">
            <v>348</v>
          </cell>
          <cell r="E340">
            <v>-1.2145448423280727</v>
          </cell>
          <cell r="F340">
            <v>338</v>
          </cell>
          <cell r="G340">
            <v>-1.283666710223093</v>
          </cell>
        </row>
        <row r="341">
          <cell r="A341" t="str">
            <v>Gardner-Webb</v>
          </cell>
          <cell r="B341">
            <v>-1.3657415817689351</v>
          </cell>
          <cell r="C341">
            <v>0.35406381383998148</v>
          </cell>
          <cell r="D341">
            <v>325</v>
          </cell>
          <cell r="E341">
            <v>-1.235626637491696</v>
          </cell>
          <cell r="F341">
            <v>339</v>
          </cell>
          <cell r="G341">
            <v>-1.3059557252585672</v>
          </cell>
        </row>
        <row r="342">
          <cell r="A342" t="str">
            <v>Campbell</v>
          </cell>
          <cell r="B342">
            <v>-9.0323665391210273E-3</v>
          </cell>
          <cell r="C342">
            <v>0.24075000000000002</v>
          </cell>
          <cell r="D342">
            <v>357</v>
          </cell>
          <cell r="E342">
            <v>-1.2365502465570666</v>
          </cell>
          <cell r="F342">
            <v>340</v>
          </cell>
          <cell r="G342">
            <v>-1.3069322235209384</v>
          </cell>
        </row>
        <row r="343">
          <cell r="A343" t="str">
            <v>UMBC</v>
          </cell>
          <cell r="B343">
            <v>-0.93454431757345724</v>
          </cell>
          <cell r="C343">
            <v>0.31085276013459223</v>
          </cell>
          <cell r="D343">
            <v>344</v>
          </cell>
          <cell r="E343">
            <v>-1.2618297851209903</v>
          </cell>
          <cell r="F343">
            <v>341</v>
          </cell>
          <cell r="G343">
            <v>-1.3336593599326132</v>
          </cell>
        </row>
        <row r="344">
          <cell r="A344" t="str">
            <v>Wagner</v>
          </cell>
          <cell r="B344">
            <v>-1.2786418147062397</v>
          </cell>
          <cell r="C344">
            <v>0.33544010841369409</v>
          </cell>
          <cell r="D344">
            <v>332</v>
          </cell>
          <cell r="E344">
            <v>-1.2765431388517721</v>
          </cell>
          <cell r="F344">
            <v>342</v>
          </cell>
          <cell r="G344">
            <v>-1.3492152535357118</v>
          </cell>
        </row>
        <row r="345">
          <cell r="A345" t="str">
            <v>Jackson State</v>
          </cell>
          <cell r="B345">
            <v>-2.0139477078642383</v>
          </cell>
          <cell r="C345">
            <v>0.38548786807421975</v>
          </cell>
          <cell r="D345">
            <v>315</v>
          </cell>
          <cell r="E345">
            <v>-1.3169600376233102</v>
          </cell>
          <cell r="F345">
            <v>343</v>
          </cell>
          <cell r="G345">
            <v>-1.3919465701723743</v>
          </cell>
        </row>
        <row r="346">
          <cell r="A346" t="str">
            <v>Air Force</v>
          </cell>
          <cell r="B346">
            <v>-0.98858764036486735</v>
          </cell>
          <cell r="C346">
            <v>0.30000000000000004</v>
          </cell>
          <cell r="D346">
            <v>347</v>
          </cell>
          <cell r="E346">
            <v>-1.3171133547614842</v>
          </cell>
          <cell r="F346">
            <v>344</v>
          </cell>
          <cell r="G346">
            <v>-1.3921086668046314</v>
          </cell>
        </row>
        <row r="347">
          <cell r="A347" t="str">
            <v>Louisiana Tech</v>
          </cell>
          <cell r="B347">
            <v>0.24426621829907844</v>
          </cell>
          <cell r="C347">
            <v>0.18442208860161263</v>
          </cell>
          <cell r="D347">
            <v>361</v>
          </cell>
          <cell r="E347">
            <v>-1.3633444547553415</v>
          </cell>
          <cell r="F347">
            <v>345</v>
          </cell>
          <cell r="G347">
            <v>-1.4409871268632717</v>
          </cell>
        </row>
        <row r="348">
          <cell r="A348" t="str">
            <v>Grambling</v>
          </cell>
          <cell r="B348">
            <v>-1.4944117977791533</v>
          </cell>
          <cell r="C348">
            <v>0.32653216806058499</v>
          </cell>
          <cell r="D348">
            <v>337</v>
          </cell>
          <cell r="E348">
            <v>-1.3733432413347926</v>
          </cell>
          <cell r="F348">
            <v>346</v>
          </cell>
          <cell r="G348">
            <v>-1.4515584801411192</v>
          </cell>
        </row>
        <row r="349">
          <cell r="A349" t="str">
            <v>Rider</v>
          </cell>
          <cell r="B349">
            <v>-1.9873846775500879</v>
          </cell>
          <cell r="C349">
            <v>0.36735639280950261</v>
          </cell>
          <cell r="D349">
            <v>322</v>
          </cell>
          <cell r="E349">
            <v>-1.3742655025658803</v>
          </cell>
          <cell r="F349">
            <v>347</v>
          </cell>
          <cell r="G349">
            <v>-1.4525335533873398</v>
          </cell>
        </row>
        <row r="350">
          <cell r="A350" t="str">
            <v>Delaware State</v>
          </cell>
          <cell r="B350">
            <v>-2.2058346108390943</v>
          </cell>
          <cell r="C350">
            <v>0.37991909898634674</v>
          </cell>
          <cell r="D350">
            <v>319</v>
          </cell>
          <cell r="E350">
            <v>-1.3945740037399257</v>
          </cell>
          <cell r="F350">
            <v>348</v>
          </cell>
          <cell r="G350">
            <v>-1.4740049928213639</v>
          </cell>
        </row>
        <row r="351">
          <cell r="A351" t="str">
            <v>Florida A&amp;M</v>
          </cell>
          <cell r="B351">
            <v>-1.6561328282356698</v>
          </cell>
          <cell r="C351">
            <v>0.3260594569177504</v>
          </cell>
          <cell r="D351">
            <v>338</v>
          </cell>
          <cell r="E351">
            <v>-1.4235613383019303</v>
          </cell>
          <cell r="F351">
            <v>349</v>
          </cell>
          <cell r="G351">
            <v>-1.5046522470459798</v>
          </cell>
        </row>
        <row r="352">
          <cell r="A352" t="str">
            <v>Norfolk State</v>
          </cell>
          <cell r="B352">
            <v>-1.1022507404901996</v>
          </cell>
          <cell r="C352">
            <v>0.27031899146172184</v>
          </cell>
          <cell r="D352">
            <v>353</v>
          </cell>
          <cell r="E352">
            <v>-1.4580656557924285</v>
          </cell>
          <cell r="F352">
            <v>350</v>
          </cell>
          <cell r="G352">
            <v>-1.5411324066038108</v>
          </cell>
        </row>
        <row r="353">
          <cell r="A353" t="str">
            <v>Western Illinois</v>
          </cell>
          <cell r="B353">
            <v>-1.3842170985485931</v>
          </cell>
          <cell r="C353">
            <v>0.2845363620032812</v>
          </cell>
          <cell r="D353">
            <v>349</v>
          </cell>
          <cell r="E353">
            <v>-1.4914721956681096</v>
          </cell>
          <cell r="F353">
            <v>351</v>
          </cell>
          <cell r="G353">
            <v>-1.5764519258284844</v>
          </cell>
        </row>
        <row r="354">
          <cell r="A354" t="str">
            <v>Canisius</v>
          </cell>
          <cell r="B354">
            <v>-1.8857605535334339</v>
          </cell>
          <cell r="C354">
            <v>0.32549700993503605</v>
          </cell>
          <cell r="D354">
            <v>339</v>
          </cell>
          <cell r="E354">
            <v>-1.4944744980063973</v>
          </cell>
          <cell r="F354">
            <v>352</v>
          </cell>
          <cell r="G354">
            <v>-1.5796261508619673</v>
          </cell>
        </row>
        <row r="355">
          <cell r="A355" t="str">
            <v>North Carolina Central</v>
          </cell>
          <cell r="B355">
            <v>-1.4221941204026345</v>
          </cell>
          <cell r="C355">
            <v>0.28150713942927241</v>
          </cell>
          <cell r="D355">
            <v>351</v>
          </cell>
          <cell r="E355">
            <v>-1.513770681099994</v>
          </cell>
          <cell r="F355">
            <v>353</v>
          </cell>
          <cell r="G355">
            <v>-1.6000273032193608</v>
          </cell>
        </row>
        <row r="356">
          <cell r="A356" t="str">
            <v>Morehead State</v>
          </cell>
          <cell r="B356">
            <v>-0.52169089491445952</v>
          </cell>
          <cell r="C356">
            <v>0.18931312784547522</v>
          </cell>
          <cell r="D356">
            <v>360</v>
          </cell>
          <cell r="E356">
            <v>-1.5755235606703069</v>
          </cell>
          <cell r="F356">
            <v>354</v>
          </cell>
          <cell r="G356">
            <v>-1.665316376115844</v>
          </cell>
        </row>
        <row r="357">
          <cell r="A357" t="str">
            <v>Texas Southern</v>
          </cell>
          <cell r="B357">
            <v>-1.5368030299402002</v>
          </cell>
          <cell r="C357">
            <v>0.26805122741890053</v>
          </cell>
          <cell r="D357">
            <v>355</v>
          </cell>
          <cell r="E357">
            <v>-1.5965954261450237</v>
          </cell>
          <cell r="F357">
            <v>355</v>
          </cell>
          <cell r="G357">
            <v>-1.687594892852496</v>
          </cell>
        </row>
        <row r="358">
          <cell r="A358" t="str">
            <v>Morgan State</v>
          </cell>
          <cell r="B358">
            <v>-1.5499860443827158</v>
          </cell>
          <cell r="C358">
            <v>0.26835398152461748</v>
          </cell>
          <cell r="D358">
            <v>354</v>
          </cell>
          <cell r="E358">
            <v>-1.5994603979461324</v>
          </cell>
          <cell r="F358">
            <v>356</v>
          </cell>
          <cell r="G358">
            <v>-1.6906239233053346</v>
          </cell>
        </row>
        <row r="359">
          <cell r="A359" t="str">
            <v>Maine</v>
          </cell>
          <cell r="B359">
            <v>-1.7795955220596993</v>
          </cell>
          <cell r="C359">
            <v>0.28275692108279349</v>
          </cell>
          <cell r="D359">
            <v>350</v>
          </cell>
          <cell r="E359">
            <v>-1.6164918143672964</v>
          </cell>
          <cell r="F359">
            <v>357</v>
          </cell>
          <cell r="G359">
            <v>-1.7086306202559705</v>
          </cell>
        </row>
        <row r="360">
          <cell r="A360" t="str">
            <v>Siena</v>
          </cell>
          <cell r="B360">
            <v>-1.1179461888751572</v>
          </cell>
          <cell r="C360">
            <v>0.21791148246316722</v>
          </cell>
          <cell r="D360">
            <v>359</v>
          </cell>
          <cell r="E360">
            <v>-1.6514443954573972</v>
          </cell>
          <cell r="F360">
            <v>358</v>
          </cell>
          <cell r="G360">
            <v>-1.7455847126090807</v>
          </cell>
        </row>
        <row r="361">
          <cell r="A361" t="str">
            <v>Idaho State</v>
          </cell>
          <cell r="B361">
            <v>-8.4668349205564222E-3</v>
          </cell>
          <cell r="C361">
            <v>0.12371132117656639</v>
          </cell>
          <cell r="D361">
            <v>364</v>
          </cell>
          <cell r="E361">
            <v>-1.6577266930423542</v>
          </cell>
          <cell r="F361">
            <v>359</v>
          </cell>
          <cell r="G361">
            <v>-1.7522267572851453</v>
          </cell>
        </row>
        <row r="362">
          <cell r="A362" t="str">
            <v>UL Monroe</v>
          </cell>
          <cell r="B362">
            <v>-1.8022105555974404</v>
          </cell>
          <cell r="C362">
            <v>0.27316291665410752</v>
          </cell>
          <cell r="D362">
            <v>352</v>
          </cell>
          <cell r="E362">
            <v>-1.6578153028871196</v>
          </cell>
          <cell r="F362">
            <v>360</v>
          </cell>
          <cell r="G362">
            <v>-1.7523204412502413</v>
          </cell>
        </row>
        <row r="363">
          <cell r="A363" t="str">
            <v>Alabama State</v>
          </cell>
          <cell r="B363">
            <v>-1.5350445929420353</v>
          </cell>
          <cell r="C363">
            <v>0.21885408732736145</v>
          </cell>
          <cell r="D363">
            <v>358</v>
          </cell>
          <cell r="E363">
            <v>-1.7731804838995961</v>
          </cell>
          <cell r="F363">
            <v>361</v>
          </cell>
          <cell r="G363">
            <v>-1.8742918499561849</v>
          </cell>
        </row>
        <row r="364">
          <cell r="A364" t="str">
            <v>Mississippi Valley State</v>
          </cell>
          <cell r="B364">
            <v>-2.6235220396516876</v>
          </cell>
          <cell r="C364">
            <v>0.30387441418872763</v>
          </cell>
          <cell r="D364">
            <v>345</v>
          </cell>
          <cell r="E364">
            <v>-1.7936455563036344</v>
          </cell>
          <cell r="F364">
            <v>362</v>
          </cell>
          <cell r="G364">
            <v>-1.8959288264553571</v>
          </cell>
        </row>
        <row r="365">
          <cell r="A365" t="str">
            <v>Arkansas-Pine Bluff</v>
          </cell>
          <cell r="B365">
            <v>-1.4699679456231247</v>
          </cell>
          <cell r="C365">
            <v>0.17174660690077256</v>
          </cell>
          <cell r="D365">
            <v>363</v>
          </cell>
          <cell r="E365">
            <v>-1.9232471812432934</v>
          </cell>
          <cell r="F365">
            <v>363</v>
          </cell>
          <cell r="G365">
            <v>-2.0329519093798316</v>
          </cell>
        </row>
        <row r="366">
          <cell r="A366" t="str">
            <v>Maryland-Eastern Shore</v>
          </cell>
          <cell r="B366">
            <v>-1.7325136948454389</v>
          </cell>
          <cell r="C366">
            <v>0.17614323566971546</v>
          </cell>
          <cell r="D366">
            <v>362</v>
          </cell>
          <cell r="E366">
            <v>-1.9861827846588551</v>
          </cell>
          <cell r="F366">
            <v>364</v>
          </cell>
          <cell r="G366">
            <v>-2.0994914331684216</v>
          </cell>
        </row>
        <row r="367">
          <cell r="A367" t="str">
            <v>West Florida</v>
          </cell>
          <cell r="B367">
            <v>-2</v>
          </cell>
          <cell r="C367">
            <v>0.1</v>
          </cell>
          <cell r="D367">
            <v>365</v>
          </cell>
          <cell r="E367">
            <v>-2.3405487890429315</v>
          </cell>
          <cell r="F367">
            <v>365</v>
          </cell>
          <cell r="G367">
            <v>-2.4741497171748237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eamRtg"/>
    </sheetNames>
    <sheetDataSet>
      <sheetData sheetId="0"/>
      <sheetData sheetId="1">
        <row r="2">
          <cell r="A2" t="str">
            <v>Florida</v>
          </cell>
          <cell r="B2">
            <v>2.7072115318255499</v>
          </cell>
          <cell r="C2" t="str">
            <v>Veteran, returning starters, big man edge, elite coach, poor shooting, elite rebounding</v>
          </cell>
          <cell r="D2">
            <v>2.5</v>
          </cell>
          <cell r="E2">
            <v>3.9</v>
          </cell>
        </row>
        <row r="3">
          <cell r="A3" t="str">
            <v>Duke</v>
          </cell>
          <cell r="B3">
            <v>2.5534949585769553</v>
          </cell>
          <cell r="C3" t="str">
            <v>Defensive edge, big man edge, freshmen, roster fit, elite rebounding, no PG</v>
          </cell>
          <cell r="D3">
            <v>2.25</v>
          </cell>
          <cell r="E3">
            <v>3.9</v>
          </cell>
        </row>
        <row r="4">
          <cell r="A4" t="str">
            <v>Illinois</v>
          </cell>
          <cell r="B4">
            <v>2.4385769242182698</v>
          </cell>
          <cell r="C4" t="str">
            <v>Big man edge, veteran, elite guard play, elite shooting</v>
          </cell>
          <cell r="D4">
            <v>2.3889999999999998</v>
          </cell>
          <cell r="E4">
            <v>3.9</v>
          </cell>
        </row>
        <row r="5">
          <cell r="A5" t="str">
            <v>Houston</v>
          </cell>
          <cell r="B5">
            <v>2.3715788616021056</v>
          </cell>
          <cell r="C5" t="str">
            <v>Defensive edge, elite defence, elite rebounding, elite coach, poor shooting, battle tested, deep roster, transfer heavy</v>
          </cell>
          <cell r="D5">
            <v>2.1720000000000002</v>
          </cell>
          <cell r="E5">
            <v>3.7719999999999998</v>
          </cell>
        </row>
        <row r="6">
          <cell r="A6" t="str">
            <v>Gonzaga</v>
          </cell>
          <cell r="B6">
            <v>2.3681732486219933</v>
          </cell>
          <cell r="C6" t="str">
            <v>Athletes, roster fit, elite rebounding, elite coach, roster fit, big man edge, eligibility risk</v>
          </cell>
          <cell r="D6">
            <v>1.1180000000000001</v>
          </cell>
          <cell r="E6">
            <v>3.9</v>
          </cell>
        </row>
        <row r="7">
          <cell r="A7" t="str">
            <v>UConn</v>
          </cell>
          <cell r="B7">
            <v>2.2701806292898912</v>
          </cell>
          <cell r="C7" t="str">
            <v>Elite coach, roster fit, big man edge, defensive edge</v>
          </cell>
          <cell r="D7">
            <v>1.57</v>
          </cell>
          <cell r="E7">
            <v>3.9</v>
          </cell>
        </row>
        <row r="8">
          <cell r="A8" t="str">
            <v>Arizona</v>
          </cell>
          <cell r="B8">
            <v>2.257510504308081</v>
          </cell>
          <cell r="C8" t="str">
            <v>Big man edge, elite coach</v>
          </cell>
          <cell r="D8">
            <v>1.958</v>
          </cell>
          <cell r="E8">
            <v>3.6080000000000001</v>
          </cell>
        </row>
        <row r="9">
          <cell r="A9" t="str">
            <v>Texas</v>
          </cell>
          <cell r="B9">
            <v>2.1752504414944926</v>
          </cell>
          <cell r="C9" t="str">
            <v>Transfer heavy, big man edge, defensive edge, elite rebounding, untested</v>
          </cell>
          <cell r="D9">
            <v>1.125</v>
          </cell>
          <cell r="E9">
            <v>3.9</v>
          </cell>
        </row>
        <row r="10">
          <cell r="A10" t="str">
            <v>Michigan State</v>
          </cell>
          <cell r="B10">
            <v>2.1153940882886539</v>
          </cell>
          <cell r="C10" t="str">
            <v>Elite coach, veteran, poor shooting</v>
          </cell>
          <cell r="D10">
            <v>2.0649999999999999</v>
          </cell>
          <cell r="E10">
            <v>2.665</v>
          </cell>
        </row>
        <row r="11">
          <cell r="A11" t="str">
            <v>Alabama</v>
          </cell>
          <cell r="B11">
            <v>2.108959144091954</v>
          </cell>
          <cell r="C11" t="str">
            <v>elite shooting, elite guard play, elite coach, freshmen, thin bench, athletes, no rim protection</v>
          </cell>
          <cell r="D11">
            <v>1.159</v>
          </cell>
          <cell r="E11">
            <v>3.9</v>
          </cell>
        </row>
        <row r="12">
          <cell r="A12" t="str">
            <v>Vanderbilt</v>
          </cell>
          <cell r="B12">
            <v>1.9337632816406789</v>
          </cell>
          <cell r="C12" t="str">
            <v>elite coach, elite guard play, thin bench</v>
          </cell>
          <cell r="D12">
            <v>1.784</v>
          </cell>
          <cell r="E12">
            <v>2.9340000000000002</v>
          </cell>
        </row>
        <row r="13">
          <cell r="A13" t="str">
            <v>Michigan</v>
          </cell>
          <cell r="B13">
            <v>1.9288572415796723</v>
          </cell>
          <cell r="C13" t="str">
            <v>new coach, chemistry questions</v>
          </cell>
          <cell r="D13">
            <v>0.97899999999999998</v>
          </cell>
          <cell r="E13">
            <v>2.4790000000000001</v>
          </cell>
        </row>
        <row r="14">
          <cell r="A14" t="str">
            <v>Kansas</v>
          </cell>
          <cell r="B14">
            <v>1.9136027354561493</v>
          </cell>
          <cell r="C14" t="str">
            <v>High risk, roster fit, elite guard play</v>
          </cell>
          <cell r="D14">
            <v>1.1140000000000001</v>
          </cell>
          <cell r="E14">
            <v>3.3639999999999999</v>
          </cell>
        </row>
        <row r="15">
          <cell r="A15" t="str">
            <v>Virginia</v>
          </cell>
          <cell r="B15">
            <v>1.9106419724457366</v>
          </cell>
          <cell r="C15" t="str">
            <v>Thin bench, returning starters</v>
          </cell>
          <cell r="D15">
            <v>1.4610000000000001</v>
          </cell>
          <cell r="E15">
            <v>2.2610000000000001</v>
          </cell>
        </row>
        <row r="16">
          <cell r="A16" t="str">
            <v>Texas Tech</v>
          </cell>
          <cell r="B16">
            <v>1.8907836320222451</v>
          </cell>
          <cell r="C16" t="str">
            <v>Thin bench, high risk, injury concern, elite coach, no shooting</v>
          </cell>
          <cell r="D16">
            <v>9.0999999999999998E-2</v>
          </cell>
          <cell r="E16">
            <v>2.9910000000000001</v>
          </cell>
        </row>
        <row r="17">
          <cell r="A17" t="str">
            <v>Arkansas</v>
          </cell>
          <cell r="B17">
            <v>1.8901599040877128</v>
          </cell>
          <cell r="C17" t="str">
            <v>athletes, freshmen, chemistry questions</v>
          </cell>
          <cell r="D17">
            <v>0.74</v>
          </cell>
          <cell r="E17">
            <v>3.04</v>
          </cell>
        </row>
        <row r="18">
          <cell r="A18" t="str">
            <v>Nebraska</v>
          </cell>
          <cell r="B18">
            <v>1.8824751662496515</v>
          </cell>
          <cell r="C18" t="str">
            <v>roster fit, elite shooting, returning starters</v>
          </cell>
          <cell r="D18">
            <v>1.6819999999999999</v>
          </cell>
          <cell r="E18">
            <v>3.1320000000000001</v>
          </cell>
        </row>
        <row r="19">
          <cell r="A19" t="str">
            <v>Georgia</v>
          </cell>
          <cell r="B19">
            <v>1.8615184677396033</v>
          </cell>
          <cell r="C19" t="str">
            <v>athletes, roster fit</v>
          </cell>
          <cell r="D19">
            <v>1.1120000000000001</v>
          </cell>
          <cell r="E19">
            <v>3.1120000000000001</v>
          </cell>
        </row>
        <row r="20">
          <cell r="A20" t="str">
            <v>Kentucky</v>
          </cell>
          <cell r="B20">
            <v>1.8588872507032237</v>
          </cell>
          <cell r="C20" t="str">
            <v>elite shooting, roster fit, chemistry questions</v>
          </cell>
          <cell r="D20">
            <v>1.159</v>
          </cell>
          <cell r="E20">
            <v>3.1589999999999998</v>
          </cell>
        </row>
        <row r="21">
          <cell r="A21" t="str">
            <v>Iowa State</v>
          </cell>
          <cell r="B21">
            <v>1.8100684914515035</v>
          </cell>
          <cell r="C21" t="str">
            <v>elite defence</v>
          </cell>
          <cell r="D21">
            <v>1.51</v>
          </cell>
          <cell r="E21">
            <v>2.2599999999999998</v>
          </cell>
        </row>
        <row r="22">
          <cell r="A22" t="str">
            <v>Tennessee</v>
          </cell>
          <cell r="B22">
            <v>1.7976451934539073</v>
          </cell>
          <cell r="C22" t="str">
            <v>transfer heavy, chemistry questions, no rim protection</v>
          </cell>
          <cell r="D22">
            <v>0.64800000000000002</v>
          </cell>
          <cell r="E22">
            <v>2.4980000000000002</v>
          </cell>
        </row>
        <row r="23">
          <cell r="A23" t="str">
            <v>Louisville</v>
          </cell>
          <cell r="B23">
            <v>1.7970545793877815</v>
          </cell>
          <cell r="C23" t="str">
            <v>transfer heavy, bad coach, high risk</v>
          </cell>
          <cell r="D23">
            <v>0.247</v>
          </cell>
          <cell r="E23">
            <v>2.4969999999999999</v>
          </cell>
        </row>
        <row r="24">
          <cell r="A24" t="str">
            <v>Villanova</v>
          </cell>
          <cell r="B24">
            <v>1.7647567283128143</v>
          </cell>
          <cell r="C24" t="str">
            <v>roster fit, elite rebounding</v>
          </cell>
          <cell r="D24">
            <v>1.415</v>
          </cell>
          <cell r="E24">
            <v>2.8149999999999999</v>
          </cell>
        </row>
        <row r="25">
          <cell r="A25" t="str">
            <v>BYU</v>
          </cell>
          <cell r="B25">
            <v>1.7395282860626655</v>
          </cell>
          <cell r="C25" t="str">
            <v>elite shooting, roster fit</v>
          </cell>
          <cell r="D25">
            <v>1.34</v>
          </cell>
          <cell r="E25">
            <v>3.04</v>
          </cell>
        </row>
        <row r="26">
          <cell r="A26" t="str">
            <v>St. John's</v>
          </cell>
          <cell r="B26">
            <v>1.7140972169328756</v>
          </cell>
          <cell r="C26" t="str">
            <v>high risk, elite coach, elite defence</v>
          </cell>
          <cell r="D26">
            <v>1.214</v>
          </cell>
          <cell r="E26">
            <v>2.6640000000000001</v>
          </cell>
        </row>
        <row r="27">
          <cell r="A27" t="str">
            <v>Southern California</v>
          </cell>
          <cell r="B27">
            <v>1.6891132498804788</v>
          </cell>
          <cell r="C27" t="str">
            <v>transfer heavy, high risk, untested, chemistry questions, defensive edge, athletes</v>
          </cell>
          <cell r="D27">
            <v>-0.26100000000000001</v>
          </cell>
          <cell r="E27">
            <v>3.339</v>
          </cell>
        </row>
        <row r="28">
          <cell r="A28" t="str">
            <v>Miami</v>
          </cell>
          <cell r="B28">
            <v>1.6627120101940653</v>
          </cell>
          <cell r="C28" t="str">
            <v>no shooting, elite guard play</v>
          </cell>
          <cell r="D28">
            <v>1.113</v>
          </cell>
          <cell r="E28">
            <v>2.7130000000000001</v>
          </cell>
        </row>
        <row r="29">
          <cell r="A29" t="str">
            <v>UCLA</v>
          </cell>
          <cell r="B29">
            <v>1.6471853557046638</v>
          </cell>
          <cell r="C29" t="str">
            <v>defensive edge, international transfers</v>
          </cell>
          <cell r="D29">
            <v>0.89700000000000002</v>
          </cell>
          <cell r="E29">
            <v>2.6469999999999998</v>
          </cell>
        </row>
        <row r="30">
          <cell r="A30" t="str">
            <v>Baylor</v>
          </cell>
          <cell r="B30">
            <v>1.6423570532625884</v>
          </cell>
          <cell r="C30" t="str">
            <v>athletes, chemistry questions</v>
          </cell>
          <cell r="D30">
            <v>0.79200000000000004</v>
          </cell>
          <cell r="E30">
            <v>2.3919999999999999</v>
          </cell>
        </row>
        <row r="31">
          <cell r="A31" t="str">
            <v>Purdue</v>
          </cell>
          <cell r="B31">
            <v>1.6256873623051904</v>
          </cell>
          <cell r="C31" t="str">
            <v>elite coach</v>
          </cell>
          <cell r="D31">
            <v>1.6259999999999999</v>
          </cell>
          <cell r="E31">
            <v>2.3759999999999999</v>
          </cell>
        </row>
        <row r="32">
          <cell r="A32" t="str">
            <v>Ohio State</v>
          </cell>
          <cell r="B32">
            <v>1.6234522869088932</v>
          </cell>
          <cell r="C32" t="str">
            <v>elite shooting</v>
          </cell>
          <cell r="D32">
            <v>1.423</v>
          </cell>
          <cell r="E32">
            <v>2.423</v>
          </cell>
        </row>
        <row r="33">
          <cell r="A33" t="str">
            <v>Wisconsin</v>
          </cell>
          <cell r="B33">
            <v>1.6148597705904719</v>
          </cell>
          <cell r="C33" t="str">
            <v>roster fit, elite coach</v>
          </cell>
          <cell r="D33">
            <v>1.415</v>
          </cell>
          <cell r="E33">
            <v>2.8650000000000002</v>
          </cell>
        </row>
        <row r="34">
          <cell r="A34" t="str">
            <v>LSU</v>
          </cell>
          <cell r="B34">
            <v>1.6041769651497806</v>
          </cell>
          <cell r="C34" t="str">
            <v>high risk, eligibility risk</v>
          </cell>
          <cell r="D34">
            <v>0.35399999999999998</v>
          </cell>
          <cell r="E34">
            <v>2.2040000000000002</v>
          </cell>
        </row>
        <row r="35">
          <cell r="A35" t="str">
            <v>Maryland</v>
          </cell>
          <cell r="B35">
            <v>1.5931153967325526</v>
          </cell>
          <cell r="C35" t="str">
            <v>elite rebounding</v>
          </cell>
          <cell r="D35">
            <v>1.4430000000000001</v>
          </cell>
          <cell r="E35">
            <v>2.1429999999999998</v>
          </cell>
        </row>
        <row r="36">
          <cell r="A36" t="str">
            <v>NC State</v>
          </cell>
          <cell r="B36">
            <v>1.5790962710231715</v>
          </cell>
          <cell r="C36" t="str">
            <v>new coach, transfer heavy</v>
          </cell>
          <cell r="D36">
            <v>0.72899999999999998</v>
          </cell>
          <cell r="E36">
            <v>2.4289999999999998</v>
          </cell>
        </row>
        <row r="37">
          <cell r="A37" t="str">
            <v>TCU</v>
          </cell>
          <cell r="B37">
            <v>1.5676898992201169</v>
          </cell>
          <cell r="C37" t="str">
            <v>elite defence, roster fit</v>
          </cell>
          <cell r="D37">
            <v>1.0680000000000001</v>
          </cell>
          <cell r="E37">
            <v>2.5179999999999998</v>
          </cell>
        </row>
        <row r="38">
          <cell r="A38" t="str">
            <v>VCU</v>
          </cell>
          <cell r="B38">
            <v>1.5481933095598852</v>
          </cell>
          <cell r="C38" t="str">
            <v>battle tested</v>
          </cell>
          <cell r="D38">
            <v>1.3979999999999999</v>
          </cell>
          <cell r="E38">
            <v>2.048</v>
          </cell>
        </row>
        <row r="39">
          <cell r="A39" t="str">
            <v>Auburn</v>
          </cell>
          <cell r="B39">
            <v>1.5454340849646031</v>
          </cell>
          <cell r="C39" t="str">
            <v>chemistry questions, international transfers</v>
          </cell>
          <cell r="D39">
            <v>0.69499999999999995</v>
          </cell>
          <cell r="E39">
            <v>2.3450000000000002</v>
          </cell>
        </row>
        <row r="40">
          <cell r="A40" t="str">
            <v>North Carolina</v>
          </cell>
          <cell r="B40">
            <v>1.5289081422407498</v>
          </cell>
          <cell r="C40" t="str">
            <v>new coach, chemistry questions</v>
          </cell>
          <cell r="D40">
            <v>0.57899999999999996</v>
          </cell>
          <cell r="E40">
            <v>2.0790000000000002</v>
          </cell>
        </row>
        <row r="41">
          <cell r="A41" t="str">
            <v>West Virginia</v>
          </cell>
          <cell r="B41">
            <v>1.5190669668424432</v>
          </cell>
          <cell r="C41" t="str">
            <v>roster fit</v>
          </cell>
          <cell r="D41">
            <v>1.0189999999999999</v>
          </cell>
          <cell r="E41">
            <v>2.4689999999999999</v>
          </cell>
        </row>
        <row r="42">
          <cell r="A42" t="str">
            <v>Marquette</v>
          </cell>
          <cell r="B42">
            <v>1.5136223503509743</v>
          </cell>
          <cell r="D42">
            <v>1.214</v>
          </cell>
          <cell r="E42">
            <v>1.964</v>
          </cell>
        </row>
        <row r="43">
          <cell r="A43" t="str">
            <v>Colorado State</v>
          </cell>
          <cell r="B43">
            <v>1.4943097428269185</v>
          </cell>
          <cell r="C43" t="str">
            <v>elite shooting, returning starters</v>
          </cell>
          <cell r="D43">
            <v>1.494</v>
          </cell>
          <cell r="E43">
            <v>2.2440000000000002</v>
          </cell>
        </row>
        <row r="44">
          <cell r="A44" t="str">
            <v>Providence</v>
          </cell>
          <cell r="B44">
            <v>1.4800629187270713</v>
          </cell>
          <cell r="D44">
            <v>1.18</v>
          </cell>
          <cell r="E44">
            <v>1.93</v>
          </cell>
        </row>
        <row r="45">
          <cell r="A45" t="str">
            <v>New Mexico</v>
          </cell>
          <cell r="B45">
            <v>1.4620304214185744</v>
          </cell>
          <cell r="D45">
            <v>1.1619999999999999</v>
          </cell>
          <cell r="E45">
            <v>1.9119999999999999</v>
          </cell>
        </row>
        <row r="46">
          <cell r="A46" t="str">
            <v>Oklahoma</v>
          </cell>
          <cell r="B46">
            <v>1.4553809441536736</v>
          </cell>
          <cell r="D46">
            <v>1.155</v>
          </cell>
          <cell r="E46">
            <v>1.905</v>
          </cell>
        </row>
        <row r="47">
          <cell r="A47" t="str">
            <v>Cincinnati</v>
          </cell>
          <cell r="B47">
            <v>1.4468133226710682</v>
          </cell>
          <cell r="C47" t="str">
            <v>elite coach, transfer heavy</v>
          </cell>
          <cell r="D47">
            <v>1.2470000000000001</v>
          </cell>
          <cell r="E47">
            <v>2.4969999999999999</v>
          </cell>
        </row>
        <row r="48">
          <cell r="A48" t="str">
            <v>Iowa</v>
          </cell>
          <cell r="B48">
            <v>1.4281553127584199</v>
          </cell>
          <cell r="C48" t="str">
            <v>elite coach</v>
          </cell>
          <cell r="D48">
            <v>1.4279999999999999</v>
          </cell>
          <cell r="E48">
            <v>2.1779999999999999</v>
          </cell>
        </row>
        <row r="49">
          <cell r="A49" t="str">
            <v>Indiana</v>
          </cell>
          <cell r="B49">
            <v>1.4227566901966584</v>
          </cell>
          <cell r="C49" t="str">
            <v>transfer heavy, chemistry questions</v>
          </cell>
          <cell r="D49">
            <v>0.623</v>
          </cell>
          <cell r="E49">
            <v>2.173</v>
          </cell>
        </row>
        <row r="50">
          <cell r="A50" t="str">
            <v>Clemson</v>
          </cell>
          <cell r="B50">
            <v>1.4101211723321863</v>
          </cell>
          <cell r="D50">
            <v>1.1100000000000001</v>
          </cell>
          <cell r="E50">
            <v>1.86</v>
          </cell>
        </row>
        <row r="51">
          <cell r="A51" t="str">
            <v>Missouri</v>
          </cell>
          <cell r="B51">
            <v>1.3843853009357632</v>
          </cell>
          <cell r="D51">
            <v>1.0840000000000001</v>
          </cell>
          <cell r="E51">
            <v>1.8340000000000001</v>
          </cell>
        </row>
        <row r="52">
          <cell r="A52" t="str">
            <v>Texas A&amp;M</v>
          </cell>
          <cell r="B52">
            <v>1.3308740887019646</v>
          </cell>
          <cell r="D52">
            <v>1.0309999999999999</v>
          </cell>
          <cell r="E52">
            <v>1.7809999999999999</v>
          </cell>
        </row>
        <row r="53">
          <cell r="A53" t="str">
            <v>Saint Louis</v>
          </cell>
          <cell r="B53">
            <v>1.2961952799207701</v>
          </cell>
          <cell r="D53">
            <v>0.996</v>
          </cell>
          <cell r="E53">
            <v>1.746</v>
          </cell>
        </row>
        <row r="54">
          <cell r="A54" t="str">
            <v>Utah State</v>
          </cell>
          <cell r="B54">
            <v>1.28566670604472</v>
          </cell>
          <cell r="D54">
            <v>0.98599999999999999</v>
          </cell>
          <cell r="E54">
            <v>1.736</v>
          </cell>
        </row>
        <row r="55">
          <cell r="A55" t="str">
            <v>Florida State</v>
          </cell>
          <cell r="B55">
            <v>1.2593887827673822</v>
          </cell>
          <cell r="D55">
            <v>0.95899999999999996</v>
          </cell>
          <cell r="E55">
            <v>1.7090000000000001</v>
          </cell>
        </row>
        <row r="56">
          <cell r="A56" t="str">
            <v>Creighton</v>
          </cell>
          <cell r="B56">
            <v>1.2506631628916818</v>
          </cell>
          <cell r="D56">
            <v>0.95099999999999996</v>
          </cell>
          <cell r="E56">
            <v>1.7010000000000001</v>
          </cell>
        </row>
        <row r="57">
          <cell r="A57" t="str">
            <v>Grand Canyon</v>
          </cell>
          <cell r="B57">
            <v>1.2003751745414064</v>
          </cell>
          <cell r="C57" t="str">
            <v>elite defence</v>
          </cell>
          <cell r="D57">
            <v>0.9</v>
          </cell>
          <cell r="E57">
            <v>1.65</v>
          </cell>
        </row>
        <row r="58">
          <cell r="A58" t="str">
            <v>Oklahoma State</v>
          </cell>
          <cell r="B58">
            <v>1.1934560577426656</v>
          </cell>
          <cell r="D58">
            <v>0.89300000000000002</v>
          </cell>
          <cell r="E58">
            <v>1.643</v>
          </cell>
        </row>
        <row r="59">
          <cell r="A59" t="str">
            <v>Xavier</v>
          </cell>
          <cell r="B59">
            <v>1.1691089666233196</v>
          </cell>
          <cell r="D59">
            <v>0.86899999999999999</v>
          </cell>
          <cell r="E59">
            <v>1.619</v>
          </cell>
        </row>
        <row r="60">
          <cell r="A60" t="str">
            <v>Stanford</v>
          </cell>
          <cell r="B60">
            <v>1.1410884244457067</v>
          </cell>
          <cell r="D60">
            <v>0.84099999999999997</v>
          </cell>
          <cell r="E60">
            <v>1.591</v>
          </cell>
        </row>
        <row r="61">
          <cell r="A61" t="str">
            <v>Utah</v>
          </cell>
          <cell r="B61">
            <v>1.0878175628526836</v>
          </cell>
          <cell r="D61">
            <v>0.78800000000000003</v>
          </cell>
          <cell r="E61">
            <v>1.538</v>
          </cell>
        </row>
        <row r="62">
          <cell r="A62" t="str">
            <v>Pittsburgh</v>
          </cell>
          <cell r="B62">
            <v>1.0725702295181265</v>
          </cell>
          <cell r="D62">
            <v>0.77300000000000002</v>
          </cell>
          <cell r="E62">
            <v>1.5229999999999999</v>
          </cell>
        </row>
        <row r="63">
          <cell r="A63" t="str">
            <v>SMU</v>
          </cell>
          <cell r="B63">
            <v>1.0236111762953817</v>
          </cell>
          <cell r="D63">
            <v>0.72399999999999998</v>
          </cell>
          <cell r="E63">
            <v>1.474</v>
          </cell>
        </row>
        <row r="64">
          <cell r="A64" t="str">
            <v>UCF</v>
          </cell>
          <cell r="B64">
            <v>1.0222346576135168</v>
          </cell>
          <cell r="D64">
            <v>0.72199999999999998</v>
          </cell>
          <cell r="E64">
            <v>1.472</v>
          </cell>
        </row>
        <row r="65">
          <cell r="A65" t="str">
            <v>Syracuse</v>
          </cell>
          <cell r="B65">
            <v>1.009156894369591</v>
          </cell>
          <cell r="D65">
            <v>0.70899999999999996</v>
          </cell>
          <cell r="E65">
            <v>1.4590000000000001</v>
          </cell>
        </row>
        <row r="66">
          <cell r="A66" t="str">
            <v>Minnesota</v>
          </cell>
          <cell r="B66">
            <v>0.97452707157449325</v>
          </cell>
          <cell r="D66">
            <v>0.67500000000000004</v>
          </cell>
          <cell r="E66">
            <v>1.425</v>
          </cell>
        </row>
        <row r="67">
          <cell r="A67" t="str">
            <v>Mississippi State</v>
          </cell>
          <cell r="B67">
            <v>0.97379180508159502</v>
          </cell>
          <cell r="D67">
            <v>0.67400000000000004</v>
          </cell>
          <cell r="E67">
            <v>1.4239999999999999</v>
          </cell>
        </row>
        <row r="68">
          <cell r="A68" t="str">
            <v>Arizona State</v>
          </cell>
          <cell r="B68">
            <v>0.95046341663984046</v>
          </cell>
          <cell r="D68">
            <v>0.65</v>
          </cell>
          <cell r="E68">
            <v>1.4</v>
          </cell>
        </row>
        <row r="69">
          <cell r="A69" t="str">
            <v>Oregon</v>
          </cell>
          <cell r="B69">
            <v>0.94186871422330121</v>
          </cell>
          <cell r="D69">
            <v>0.64200000000000002</v>
          </cell>
          <cell r="E69">
            <v>1.3919999999999999</v>
          </cell>
        </row>
        <row r="70">
          <cell r="A70" t="str">
            <v>Dayton</v>
          </cell>
          <cell r="B70">
            <v>0.93871274497332458</v>
          </cell>
          <cell r="D70">
            <v>0.63900000000000001</v>
          </cell>
          <cell r="E70">
            <v>1.389</v>
          </cell>
        </row>
        <row r="71">
          <cell r="A71" t="str">
            <v>Saint Mary's</v>
          </cell>
          <cell r="B71">
            <v>0.93030222636099824</v>
          </cell>
          <cell r="D71">
            <v>0.63</v>
          </cell>
          <cell r="E71">
            <v>1.38</v>
          </cell>
        </row>
        <row r="72">
          <cell r="A72" t="str">
            <v>Wichita State</v>
          </cell>
          <cell r="B72">
            <v>0.92514179551449072</v>
          </cell>
          <cell r="D72">
            <v>0.625</v>
          </cell>
          <cell r="E72">
            <v>1.375</v>
          </cell>
        </row>
        <row r="73">
          <cell r="A73" t="str">
            <v>California</v>
          </cell>
          <cell r="B73">
            <v>0.92467667046056701</v>
          </cell>
          <cell r="D73">
            <v>0.625</v>
          </cell>
          <cell r="E73">
            <v>1.375</v>
          </cell>
        </row>
        <row r="74">
          <cell r="A74" t="str">
            <v>High Point</v>
          </cell>
          <cell r="B74">
            <v>0.91748286562210724</v>
          </cell>
          <cell r="D74">
            <v>0.61699999999999999</v>
          </cell>
          <cell r="E74">
            <v>1.367</v>
          </cell>
        </row>
        <row r="75">
          <cell r="A75" t="str">
            <v>Santa Clara</v>
          </cell>
          <cell r="B75">
            <v>0.90026179551813368</v>
          </cell>
          <cell r="D75">
            <v>0.6</v>
          </cell>
          <cell r="E75">
            <v>1.35</v>
          </cell>
        </row>
        <row r="76">
          <cell r="A76" t="str">
            <v>Kansas State</v>
          </cell>
          <cell r="B76">
            <v>0.87856043712369181</v>
          </cell>
          <cell r="D76">
            <v>0.57899999999999996</v>
          </cell>
          <cell r="E76">
            <v>1.329</v>
          </cell>
        </row>
        <row r="77">
          <cell r="A77" t="str">
            <v>Liberty</v>
          </cell>
          <cell r="B77">
            <v>0.87562200000709278</v>
          </cell>
          <cell r="D77">
            <v>0.57599999999999996</v>
          </cell>
          <cell r="E77">
            <v>1.3260000000000001</v>
          </cell>
        </row>
        <row r="78">
          <cell r="A78" t="str">
            <v>Pennsylvania</v>
          </cell>
          <cell r="B78">
            <v>0.86566107012481819</v>
          </cell>
          <cell r="D78">
            <v>0.56599999999999995</v>
          </cell>
          <cell r="E78">
            <v>1.3160000000000001</v>
          </cell>
        </row>
        <row r="79">
          <cell r="A79" t="str">
            <v>Fresno State</v>
          </cell>
          <cell r="B79">
            <v>0.85202455551180079</v>
          </cell>
          <cell r="D79">
            <v>0.55200000000000005</v>
          </cell>
          <cell r="E79">
            <v>1.302</v>
          </cell>
        </row>
        <row r="80">
          <cell r="A80" t="str">
            <v>DePaul</v>
          </cell>
          <cell r="B80">
            <v>0.8419604227544133</v>
          </cell>
          <cell r="D80">
            <v>0.54200000000000004</v>
          </cell>
          <cell r="E80">
            <v>1.292</v>
          </cell>
        </row>
        <row r="81">
          <cell r="A81" t="str">
            <v>Virginia Tech</v>
          </cell>
          <cell r="B81">
            <v>0.82050273632137383</v>
          </cell>
          <cell r="D81">
            <v>0.52100000000000002</v>
          </cell>
          <cell r="E81">
            <v>1.2709999999999999</v>
          </cell>
        </row>
        <row r="82">
          <cell r="A82" t="str">
            <v>Davidson</v>
          </cell>
          <cell r="B82">
            <v>0.78708204922350478</v>
          </cell>
          <cell r="D82">
            <v>0.48699999999999999</v>
          </cell>
          <cell r="E82">
            <v>1.2370000000000001</v>
          </cell>
        </row>
        <row r="83">
          <cell r="A83" t="str">
            <v>San Francisco</v>
          </cell>
          <cell r="B83">
            <v>0.77442121252581775</v>
          </cell>
          <cell r="D83">
            <v>0.47399999999999998</v>
          </cell>
          <cell r="E83">
            <v>1.224</v>
          </cell>
        </row>
        <row r="84">
          <cell r="A84" t="str">
            <v>Murray State</v>
          </cell>
          <cell r="B84">
            <v>0.72705720331196833</v>
          </cell>
          <cell r="D84">
            <v>0.42699999999999999</v>
          </cell>
          <cell r="E84">
            <v>1.177</v>
          </cell>
        </row>
        <row r="85">
          <cell r="A85" t="str">
            <v>Ole Miss</v>
          </cell>
          <cell r="B85">
            <v>0.72584295662380927</v>
          </cell>
          <cell r="D85">
            <v>0.42599999999999999</v>
          </cell>
          <cell r="E85">
            <v>1.1759999999999999</v>
          </cell>
        </row>
        <row r="86">
          <cell r="A86" t="str">
            <v>South Florida</v>
          </cell>
          <cell r="B86">
            <v>0.68071110536748003</v>
          </cell>
          <cell r="D86">
            <v>0.38100000000000001</v>
          </cell>
          <cell r="E86">
            <v>1.131</v>
          </cell>
        </row>
        <row r="87">
          <cell r="A87" t="str">
            <v>Florida Atlantic</v>
          </cell>
          <cell r="B87">
            <v>0.66821062643471862</v>
          </cell>
          <cell r="D87">
            <v>0.36799999999999999</v>
          </cell>
          <cell r="E87">
            <v>1.1180000000000001</v>
          </cell>
        </row>
        <row r="88">
          <cell r="A88" t="str">
            <v>Northwestern</v>
          </cell>
          <cell r="B88">
            <v>0.64275772856661462</v>
          </cell>
          <cell r="D88">
            <v>0.34300000000000003</v>
          </cell>
          <cell r="E88">
            <v>1.093</v>
          </cell>
        </row>
        <row r="89">
          <cell r="A89" t="str">
            <v>Butler</v>
          </cell>
          <cell r="B89">
            <v>0.63885319838625987</v>
          </cell>
          <cell r="D89">
            <v>0.33900000000000002</v>
          </cell>
          <cell r="E89">
            <v>1.089</v>
          </cell>
        </row>
        <row r="90">
          <cell r="A90" t="str">
            <v>Notre Dame</v>
          </cell>
          <cell r="B90">
            <v>0.63349682362182569</v>
          </cell>
          <cell r="D90">
            <v>0.33300000000000002</v>
          </cell>
          <cell r="E90">
            <v>1.083</v>
          </cell>
        </row>
        <row r="91">
          <cell r="A91" t="str">
            <v>Texas State</v>
          </cell>
          <cell r="B91">
            <v>0.62060181976987505</v>
          </cell>
          <cell r="D91">
            <v>0.32100000000000001</v>
          </cell>
          <cell r="E91">
            <v>1.071</v>
          </cell>
        </row>
        <row r="92">
          <cell r="A92" t="str">
            <v>Oregon State</v>
          </cell>
          <cell r="B92">
            <v>0.61795136316289978</v>
          </cell>
          <cell r="D92">
            <v>0.318</v>
          </cell>
          <cell r="E92">
            <v>1.0680000000000001</v>
          </cell>
        </row>
        <row r="93">
          <cell r="A93" t="str">
            <v>UC Santa Barbara</v>
          </cell>
          <cell r="B93">
            <v>0.57729324285084027</v>
          </cell>
          <cell r="D93">
            <v>0.27700000000000002</v>
          </cell>
          <cell r="E93">
            <v>1.0269999999999999</v>
          </cell>
        </row>
        <row r="94">
          <cell r="A94" t="str">
            <v>Florida International</v>
          </cell>
          <cell r="B94">
            <v>0.54636582719062332</v>
          </cell>
          <cell r="D94">
            <v>0.246</v>
          </cell>
          <cell r="E94">
            <v>0.996</v>
          </cell>
        </row>
        <row r="95">
          <cell r="A95" t="str">
            <v>Colorado</v>
          </cell>
          <cell r="B95">
            <v>0.53427778745654464</v>
          </cell>
          <cell r="D95">
            <v>0.23400000000000001</v>
          </cell>
          <cell r="E95">
            <v>0.98399999999999999</v>
          </cell>
        </row>
        <row r="96">
          <cell r="A96" t="str">
            <v>San Diego State</v>
          </cell>
          <cell r="B96">
            <v>0.5310266347229472</v>
          </cell>
          <cell r="D96">
            <v>0.23100000000000001</v>
          </cell>
          <cell r="E96">
            <v>0.98099999999999998</v>
          </cell>
        </row>
        <row r="97">
          <cell r="A97" t="str">
            <v>Fordham</v>
          </cell>
          <cell r="B97">
            <v>0.52571735716649026</v>
          </cell>
          <cell r="D97">
            <v>0.22600000000000001</v>
          </cell>
          <cell r="E97">
            <v>0.97599999999999998</v>
          </cell>
        </row>
        <row r="98">
          <cell r="A98" t="str">
            <v>Eastern Michigan</v>
          </cell>
          <cell r="B98">
            <v>0.52407581645327717</v>
          </cell>
          <cell r="D98">
            <v>0.224</v>
          </cell>
          <cell r="E98">
            <v>0.97399999999999998</v>
          </cell>
        </row>
        <row r="99">
          <cell r="A99" t="str">
            <v>Boston College</v>
          </cell>
          <cell r="B99">
            <v>0.5200577140918522</v>
          </cell>
          <cell r="D99">
            <v>0.22</v>
          </cell>
          <cell r="E99">
            <v>0.97</v>
          </cell>
        </row>
        <row r="100">
          <cell r="A100" t="str">
            <v>Seton Hall</v>
          </cell>
          <cell r="B100">
            <v>0.50768432773451877</v>
          </cell>
          <cell r="D100">
            <v>0.20799999999999999</v>
          </cell>
          <cell r="E100">
            <v>0.95799999999999996</v>
          </cell>
        </row>
        <row r="101">
          <cell r="A101" t="str">
            <v>Belmont</v>
          </cell>
          <cell r="B101">
            <v>0.48976681530859723</v>
          </cell>
          <cell r="D101">
            <v>0.19</v>
          </cell>
          <cell r="E101">
            <v>0.94</v>
          </cell>
        </row>
        <row r="102">
          <cell r="A102" t="str">
            <v>Rutgers</v>
          </cell>
          <cell r="B102">
            <v>0.47588436185200911</v>
          </cell>
          <cell r="D102">
            <v>0.17599999999999999</v>
          </cell>
          <cell r="E102">
            <v>0.92600000000000005</v>
          </cell>
        </row>
        <row r="103">
          <cell r="A103" t="str">
            <v>Nevada</v>
          </cell>
          <cell r="B103">
            <v>0.46954659637055918</v>
          </cell>
          <cell r="D103">
            <v>0.17</v>
          </cell>
          <cell r="E103">
            <v>0.92</v>
          </cell>
        </row>
        <row r="104">
          <cell r="A104" t="str">
            <v>UNC Wilmington</v>
          </cell>
          <cell r="B104">
            <v>0.46658380948655515</v>
          </cell>
          <cell r="D104">
            <v>0.16700000000000001</v>
          </cell>
          <cell r="E104">
            <v>0.91700000000000004</v>
          </cell>
        </row>
        <row r="105">
          <cell r="A105" t="str">
            <v>South Carolina</v>
          </cell>
          <cell r="B105">
            <v>0.46211568319080809</v>
          </cell>
          <cell r="D105">
            <v>0.16200000000000001</v>
          </cell>
          <cell r="E105">
            <v>0.91200000000000003</v>
          </cell>
        </row>
        <row r="106">
          <cell r="A106" t="str">
            <v>Pepperdine</v>
          </cell>
          <cell r="B106">
            <v>0.45514158847522557</v>
          </cell>
          <cell r="D106">
            <v>0.155</v>
          </cell>
          <cell r="E106">
            <v>0.90500000000000003</v>
          </cell>
        </row>
        <row r="107">
          <cell r="A107" t="str">
            <v>UIC</v>
          </cell>
          <cell r="B107">
            <v>0.45502819353268231</v>
          </cell>
          <cell r="D107">
            <v>0.155</v>
          </cell>
          <cell r="E107">
            <v>0.90500000000000003</v>
          </cell>
        </row>
        <row r="108">
          <cell r="A108" t="str">
            <v>Rhode Island</v>
          </cell>
          <cell r="B108">
            <v>0.42976400051398467</v>
          </cell>
          <cell r="D108">
            <v>0.13</v>
          </cell>
          <cell r="E108">
            <v>0.88</v>
          </cell>
        </row>
        <row r="109">
          <cell r="A109" t="str">
            <v>Western Kentucky</v>
          </cell>
          <cell r="B109">
            <v>0.42132209066138621</v>
          </cell>
          <cell r="D109">
            <v>0.121</v>
          </cell>
          <cell r="E109">
            <v>0.871</v>
          </cell>
        </row>
        <row r="110">
          <cell r="A110" t="str">
            <v>Georgia Tech</v>
          </cell>
          <cell r="B110">
            <v>0.42114975138990601</v>
          </cell>
          <cell r="D110">
            <v>0.121</v>
          </cell>
          <cell r="E110">
            <v>0.871</v>
          </cell>
        </row>
        <row r="111">
          <cell r="A111" t="str">
            <v>UC Irvine</v>
          </cell>
          <cell r="B111">
            <v>0.40829510132233371</v>
          </cell>
          <cell r="D111">
            <v>0.108</v>
          </cell>
          <cell r="E111">
            <v>0.85799999999999998</v>
          </cell>
        </row>
        <row r="112">
          <cell r="A112" t="str">
            <v>McNeese</v>
          </cell>
          <cell r="B112">
            <v>0.40660344574227408</v>
          </cell>
          <cell r="D112">
            <v>0.107</v>
          </cell>
          <cell r="E112">
            <v>0.85699999999999998</v>
          </cell>
        </row>
        <row r="113">
          <cell r="A113" t="str">
            <v>Memphis</v>
          </cell>
          <cell r="B113">
            <v>0.40075817516887052</v>
          </cell>
          <cell r="D113">
            <v>0.10100000000000001</v>
          </cell>
          <cell r="E113">
            <v>0.85099999999999998</v>
          </cell>
        </row>
        <row r="114">
          <cell r="A114" t="str">
            <v>George Washington</v>
          </cell>
          <cell r="B114">
            <v>0.38428897901705983</v>
          </cell>
          <cell r="D114">
            <v>8.4000000000000005E-2</v>
          </cell>
          <cell r="E114">
            <v>0.83399999999999996</v>
          </cell>
        </row>
        <row r="115">
          <cell r="A115" t="str">
            <v>Montana State</v>
          </cell>
          <cell r="B115">
            <v>0.38182596739673086</v>
          </cell>
          <cell r="D115">
            <v>8.2000000000000003E-2</v>
          </cell>
          <cell r="E115">
            <v>0.83199999999999996</v>
          </cell>
        </row>
        <row r="116">
          <cell r="A116" t="str">
            <v>Washington</v>
          </cell>
          <cell r="B116">
            <v>0.37373853920084665</v>
          </cell>
          <cell r="D116">
            <v>7.3999999999999996E-2</v>
          </cell>
          <cell r="E116">
            <v>0.82399999999999995</v>
          </cell>
        </row>
        <row r="117">
          <cell r="A117" t="str">
            <v>Georgetown</v>
          </cell>
          <cell r="B117">
            <v>0.37115156251091741</v>
          </cell>
          <cell r="D117">
            <v>7.0999999999999994E-2</v>
          </cell>
          <cell r="E117">
            <v>0.82099999999999995</v>
          </cell>
        </row>
        <row r="118">
          <cell r="A118" t="str">
            <v>Wake Forest</v>
          </cell>
          <cell r="B118">
            <v>0.365998873584162</v>
          </cell>
          <cell r="D118">
            <v>6.6000000000000003E-2</v>
          </cell>
          <cell r="E118">
            <v>0.81599999999999995</v>
          </cell>
        </row>
        <row r="119">
          <cell r="A119" t="str">
            <v>Utah Valley</v>
          </cell>
          <cell r="B119">
            <v>0.36588085026810641</v>
          </cell>
          <cell r="D119">
            <v>6.6000000000000003E-2</v>
          </cell>
          <cell r="E119">
            <v>0.81599999999999995</v>
          </cell>
        </row>
        <row r="120">
          <cell r="A120" t="str">
            <v>Robert Morris</v>
          </cell>
          <cell r="B120">
            <v>0.36392324181138608</v>
          </cell>
          <cell r="D120">
            <v>6.4000000000000001E-2</v>
          </cell>
          <cell r="E120">
            <v>0.81399999999999995</v>
          </cell>
        </row>
        <row r="121">
          <cell r="A121" t="str">
            <v>Western Michigan</v>
          </cell>
          <cell r="B121">
            <v>0.35766149059257352</v>
          </cell>
          <cell r="D121">
            <v>5.8000000000000003E-2</v>
          </cell>
          <cell r="E121">
            <v>0.80800000000000005</v>
          </cell>
        </row>
        <row r="122">
          <cell r="A122" t="str">
            <v>Wyoming</v>
          </cell>
          <cell r="B122">
            <v>0.32755844072798745</v>
          </cell>
          <cell r="D122">
            <v>2.8000000000000001E-2</v>
          </cell>
          <cell r="E122">
            <v>0.77800000000000002</v>
          </cell>
        </row>
        <row r="123">
          <cell r="A123" t="str">
            <v>Penn State</v>
          </cell>
          <cell r="B123">
            <v>0.31891956010119049</v>
          </cell>
          <cell r="D123">
            <v>1.9E-2</v>
          </cell>
          <cell r="E123">
            <v>0.76900000000000002</v>
          </cell>
        </row>
        <row r="124">
          <cell r="A124" t="str">
            <v>Charlotte</v>
          </cell>
          <cell r="B124">
            <v>0.31545421611974622</v>
          </cell>
          <cell r="D124">
            <v>1.4999999999999999E-2</v>
          </cell>
          <cell r="E124">
            <v>0.76500000000000001</v>
          </cell>
        </row>
        <row r="125">
          <cell r="A125" t="str">
            <v>Harvard</v>
          </cell>
          <cell r="B125">
            <v>0.30800571727780551</v>
          </cell>
          <cell r="D125">
            <v>8.0000000000000002E-3</v>
          </cell>
          <cell r="E125">
            <v>0.75800000000000001</v>
          </cell>
        </row>
        <row r="126">
          <cell r="A126" t="str">
            <v>UC San Diego</v>
          </cell>
          <cell r="B126">
            <v>0.30346794737391314</v>
          </cell>
          <cell r="D126">
            <v>3.0000000000000001E-3</v>
          </cell>
          <cell r="E126">
            <v>0.753</v>
          </cell>
        </row>
        <row r="127">
          <cell r="A127" t="str">
            <v>Toledo</v>
          </cell>
          <cell r="B127">
            <v>0.28415929175074439</v>
          </cell>
          <cell r="D127">
            <v>-1.6E-2</v>
          </cell>
          <cell r="E127">
            <v>0.73399999999999999</v>
          </cell>
        </row>
        <row r="128">
          <cell r="A128" t="str">
            <v>Kent State</v>
          </cell>
          <cell r="B128">
            <v>0.27411371969360077</v>
          </cell>
          <cell r="D128">
            <v>-2.5999999999999999E-2</v>
          </cell>
          <cell r="E128">
            <v>0.72399999999999998</v>
          </cell>
        </row>
        <row r="129">
          <cell r="A129" t="str">
            <v>Miami (OH)</v>
          </cell>
          <cell r="B129">
            <v>0.27305033269603801</v>
          </cell>
          <cell r="D129">
            <v>-2.7E-2</v>
          </cell>
          <cell r="E129">
            <v>0.72299999999999998</v>
          </cell>
        </row>
        <row r="130">
          <cell r="A130" t="str">
            <v>Yale</v>
          </cell>
          <cell r="B130">
            <v>0.27248153611842224</v>
          </cell>
          <cell r="D130">
            <v>-2.8000000000000001E-2</v>
          </cell>
          <cell r="E130">
            <v>0.72199999999999998</v>
          </cell>
        </row>
        <row r="131">
          <cell r="A131" t="str">
            <v>Northern Iowa</v>
          </cell>
          <cell r="B131">
            <v>0.27128592811977037</v>
          </cell>
          <cell r="D131">
            <v>-2.9000000000000001E-2</v>
          </cell>
          <cell r="E131">
            <v>0.72099999999999997</v>
          </cell>
        </row>
        <row r="132">
          <cell r="A132" t="str">
            <v>Duquesne</v>
          </cell>
          <cell r="B132">
            <v>0.26844457448484144</v>
          </cell>
          <cell r="D132">
            <v>-3.2000000000000001E-2</v>
          </cell>
          <cell r="E132">
            <v>0.71799999999999997</v>
          </cell>
        </row>
        <row r="133">
          <cell r="A133" t="str">
            <v>Washington State</v>
          </cell>
          <cell r="B133">
            <v>0.2450777830017441</v>
          </cell>
          <cell r="D133">
            <v>-5.5E-2</v>
          </cell>
          <cell r="E133">
            <v>0.69499999999999995</v>
          </cell>
        </row>
        <row r="134">
          <cell r="A134" t="str">
            <v>Stephen F. Austin</v>
          </cell>
          <cell r="B134">
            <v>0.23919469302835419</v>
          </cell>
          <cell r="D134">
            <v>-6.0999999999999999E-2</v>
          </cell>
          <cell r="E134">
            <v>0.68899999999999995</v>
          </cell>
        </row>
        <row r="135">
          <cell r="A135" t="str">
            <v>UNLV</v>
          </cell>
          <cell r="B135">
            <v>0.22817715899068383</v>
          </cell>
          <cell r="D135">
            <v>-7.1999999999999995E-2</v>
          </cell>
          <cell r="E135">
            <v>0.67800000000000005</v>
          </cell>
        </row>
        <row r="136">
          <cell r="A136" t="str">
            <v>Seattle</v>
          </cell>
          <cell r="B136">
            <v>0.20296723381345999</v>
          </cell>
          <cell r="D136">
            <v>-9.7000000000000003E-2</v>
          </cell>
          <cell r="E136">
            <v>0.65300000000000002</v>
          </cell>
        </row>
        <row r="137">
          <cell r="A137" t="str">
            <v>St. Thomas - Minnesota</v>
          </cell>
          <cell r="B137">
            <v>0.20110653150445656</v>
          </cell>
          <cell r="D137">
            <v>-9.9000000000000005E-2</v>
          </cell>
          <cell r="E137">
            <v>0.65100000000000002</v>
          </cell>
        </row>
        <row r="138">
          <cell r="A138" t="str">
            <v>Central Arkansas</v>
          </cell>
          <cell r="B138">
            <v>0.18237424576136604</v>
          </cell>
          <cell r="D138">
            <v>-0.11799999999999999</v>
          </cell>
          <cell r="E138">
            <v>0.63200000000000001</v>
          </cell>
        </row>
        <row r="139">
          <cell r="A139" t="str">
            <v>American University</v>
          </cell>
          <cell r="B139">
            <v>0.18235546014028745</v>
          </cell>
          <cell r="D139">
            <v>-0.11799999999999999</v>
          </cell>
          <cell r="E139">
            <v>0.63200000000000001</v>
          </cell>
        </row>
        <row r="140">
          <cell r="A140" t="str">
            <v>Boise State</v>
          </cell>
          <cell r="B140">
            <v>0.17491822893933268</v>
          </cell>
          <cell r="D140">
            <v>-0.125</v>
          </cell>
          <cell r="E140">
            <v>0.625</v>
          </cell>
        </row>
        <row r="141">
          <cell r="A141" t="str">
            <v>Richmond</v>
          </cell>
          <cell r="B141">
            <v>0.16196677285242403</v>
          </cell>
          <cell r="D141">
            <v>-0.13800000000000001</v>
          </cell>
          <cell r="E141">
            <v>0.61199999999999999</v>
          </cell>
        </row>
        <row r="142">
          <cell r="A142" t="str">
            <v>Sam Houston</v>
          </cell>
          <cell r="B142">
            <v>0.14291434792037186</v>
          </cell>
          <cell r="D142">
            <v>-0.157</v>
          </cell>
          <cell r="E142">
            <v>0.59299999999999997</v>
          </cell>
        </row>
        <row r="143">
          <cell r="A143" t="str">
            <v>North Texas</v>
          </cell>
          <cell r="B143">
            <v>0.10693302956450429</v>
          </cell>
          <cell r="D143">
            <v>-0.193</v>
          </cell>
          <cell r="E143">
            <v>0.55700000000000005</v>
          </cell>
        </row>
        <row r="144">
          <cell r="A144" t="str">
            <v>Kennesaw State</v>
          </cell>
          <cell r="B144">
            <v>0.10574341330277913</v>
          </cell>
          <cell r="D144">
            <v>-0.19400000000000001</v>
          </cell>
          <cell r="E144">
            <v>0.55600000000000005</v>
          </cell>
        </row>
        <row r="145">
          <cell r="A145" t="str">
            <v>Illinois State</v>
          </cell>
          <cell r="B145">
            <v>0.10385986711073883</v>
          </cell>
          <cell r="D145">
            <v>-0.19600000000000001</v>
          </cell>
          <cell r="E145">
            <v>0.55400000000000005</v>
          </cell>
        </row>
        <row r="146">
          <cell r="A146" t="str">
            <v>Hawaii</v>
          </cell>
          <cell r="B146">
            <v>9.9484403912357591E-2</v>
          </cell>
          <cell r="D146">
            <v>-0.20100000000000001</v>
          </cell>
          <cell r="E146">
            <v>0.54900000000000004</v>
          </cell>
        </row>
        <row r="147">
          <cell r="A147" t="str">
            <v>Valparaiso</v>
          </cell>
          <cell r="B147">
            <v>9.3460335880992298E-2</v>
          </cell>
          <cell r="D147">
            <v>-0.20699999999999999</v>
          </cell>
          <cell r="E147">
            <v>0.54300000000000004</v>
          </cell>
        </row>
        <row r="148">
          <cell r="A148" t="str">
            <v>Presbyterian</v>
          </cell>
          <cell r="B148">
            <v>8.6140320643519605E-2</v>
          </cell>
          <cell r="D148">
            <v>-0.214</v>
          </cell>
          <cell r="E148">
            <v>0.53600000000000003</v>
          </cell>
        </row>
        <row r="149">
          <cell r="A149" t="str">
            <v>Northern Colorado</v>
          </cell>
          <cell r="B149">
            <v>8.1060896804993468E-2</v>
          </cell>
          <cell r="D149">
            <v>-0.219</v>
          </cell>
          <cell r="E149">
            <v>0.53100000000000003</v>
          </cell>
        </row>
        <row r="150">
          <cell r="A150" t="str">
            <v>Winthrop</v>
          </cell>
          <cell r="B150">
            <v>7.5556774089744302E-2</v>
          </cell>
          <cell r="D150" t="e">
            <v>#N/A</v>
          </cell>
          <cell r="E150" t="e">
            <v>#N/A</v>
          </cell>
        </row>
        <row r="151">
          <cell r="A151" t="str">
            <v>Lamar</v>
          </cell>
          <cell r="B151">
            <v>7.4881466283636941E-2</v>
          </cell>
          <cell r="D151" t="e">
            <v>#N/A</v>
          </cell>
          <cell r="E151" t="e">
            <v>#N/A</v>
          </cell>
        </row>
        <row r="152">
          <cell r="A152" t="str">
            <v>Princeton</v>
          </cell>
          <cell r="B152">
            <v>7.2624155204782562E-2</v>
          </cell>
          <cell r="D152" t="e">
            <v>#N/A</v>
          </cell>
          <cell r="E152" t="e">
            <v>#N/A</v>
          </cell>
        </row>
        <row r="153">
          <cell r="A153" t="str">
            <v>Eastern Washington</v>
          </cell>
          <cell r="B153">
            <v>5.8520150748096134E-2</v>
          </cell>
          <cell r="D153" t="e">
            <v>#N/A</v>
          </cell>
          <cell r="E153" t="e">
            <v>#N/A</v>
          </cell>
        </row>
        <row r="154">
          <cell r="A154" t="str">
            <v>George Mason</v>
          </cell>
          <cell r="B154">
            <v>5.1893572258398628E-2</v>
          </cell>
          <cell r="D154" t="e">
            <v>#N/A</v>
          </cell>
          <cell r="E154" t="e">
            <v>#N/A</v>
          </cell>
        </row>
        <row r="155">
          <cell r="A155" t="str">
            <v>Pacific</v>
          </cell>
          <cell r="B155">
            <v>3.819379606185578E-2</v>
          </cell>
          <cell r="D155" t="e">
            <v>#N/A</v>
          </cell>
          <cell r="E155" t="e">
            <v>#N/A</v>
          </cell>
        </row>
        <row r="156">
          <cell r="A156" t="str">
            <v>Ohio</v>
          </cell>
          <cell r="B156">
            <v>2.4907055586802229E-2</v>
          </cell>
          <cell r="D156" t="e">
            <v>#N/A</v>
          </cell>
          <cell r="E156" t="e">
            <v>#N/A</v>
          </cell>
        </row>
        <row r="157">
          <cell r="A157" t="str">
            <v>Drake</v>
          </cell>
          <cell r="B157">
            <v>2.4222942437102438E-2</v>
          </cell>
          <cell r="D157" t="e">
            <v>#N/A</v>
          </cell>
          <cell r="E157" t="e">
            <v>#N/A</v>
          </cell>
        </row>
        <row r="158">
          <cell r="A158" t="str">
            <v>UMass</v>
          </cell>
          <cell r="B158">
            <v>2.2511553507620699E-2</v>
          </cell>
          <cell r="D158" t="e">
            <v>#N/A</v>
          </cell>
          <cell r="E158" t="e">
            <v>#N/A</v>
          </cell>
        </row>
        <row r="159">
          <cell r="A159" t="str">
            <v>Middle Tennessee</v>
          </cell>
          <cell r="B159">
            <v>1.7310540345955337E-2</v>
          </cell>
          <cell r="D159" t="e">
            <v>#N/A</v>
          </cell>
          <cell r="E159" t="e">
            <v>#N/A</v>
          </cell>
        </row>
        <row r="160">
          <cell r="A160" t="str">
            <v>South Dakota State</v>
          </cell>
          <cell r="B160">
            <v>1.5170853179864349E-2</v>
          </cell>
          <cell r="D160" t="e">
            <v>#N/A</v>
          </cell>
          <cell r="E160" t="e">
            <v>#N/A</v>
          </cell>
        </row>
        <row r="161">
          <cell r="A161" t="str">
            <v>Loyola Marymount</v>
          </cell>
          <cell r="B161">
            <v>1.4409395509026089E-2</v>
          </cell>
          <cell r="D161" t="e">
            <v>#N/A</v>
          </cell>
          <cell r="E161" t="e">
            <v>#N/A</v>
          </cell>
        </row>
        <row r="162">
          <cell r="A162" t="str">
            <v>Abilene Christian</v>
          </cell>
          <cell r="B162">
            <v>1.1415586635509503E-2</v>
          </cell>
          <cell r="D162" t="e">
            <v>#N/A</v>
          </cell>
          <cell r="E162" t="e">
            <v>#N/A</v>
          </cell>
        </row>
        <row r="163">
          <cell r="A163" t="str">
            <v>UAB</v>
          </cell>
          <cell r="B163">
            <v>3.7846151144048734E-3</v>
          </cell>
          <cell r="D163" t="e">
            <v>#N/A</v>
          </cell>
          <cell r="E163" t="e">
            <v>#N/A</v>
          </cell>
        </row>
        <row r="164">
          <cell r="A164" t="str">
            <v>East Tennessee State</v>
          </cell>
          <cell r="B164">
            <v>2.1495828088693176E-3</v>
          </cell>
          <cell r="D164" t="e">
            <v>#N/A</v>
          </cell>
          <cell r="E164" t="e">
            <v>#N/A</v>
          </cell>
        </row>
        <row r="165">
          <cell r="A165" t="str">
            <v>Cal Poly</v>
          </cell>
          <cell r="B165">
            <v>-8.5803371495667244E-4</v>
          </cell>
          <cell r="D165" t="e">
            <v>#N/A</v>
          </cell>
          <cell r="E165" t="e">
            <v>#N/A</v>
          </cell>
        </row>
        <row r="166">
          <cell r="A166" t="str">
            <v>Ball State</v>
          </cell>
          <cell r="B166">
            <v>-4.8525973809967274E-3</v>
          </cell>
          <cell r="D166" t="e">
            <v>#N/A</v>
          </cell>
          <cell r="E166" t="e">
            <v>#N/A</v>
          </cell>
        </row>
        <row r="167">
          <cell r="A167" t="str">
            <v>Longwood</v>
          </cell>
          <cell r="B167">
            <v>-1.0985134654687555E-2</v>
          </cell>
          <cell r="D167" t="e">
            <v>#N/A</v>
          </cell>
          <cell r="E167" t="e">
            <v>#N/A</v>
          </cell>
        </row>
        <row r="168">
          <cell r="A168" t="str">
            <v>St. Joseph's</v>
          </cell>
          <cell r="B168">
            <v>-1.4856392120797195E-2</v>
          </cell>
          <cell r="D168" t="e">
            <v>#N/A</v>
          </cell>
          <cell r="E168" t="e">
            <v>#N/A</v>
          </cell>
        </row>
        <row r="169">
          <cell r="A169" t="str">
            <v>Cornell</v>
          </cell>
          <cell r="B169">
            <v>-1.736377230133036E-2</v>
          </cell>
          <cell r="D169" t="e">
            <v>#N/A</v>
          </cell>
          <cell r="E169" t="e">
            <v>#N/A</v>
          </cell>
        </row>
        <row r="170">
          <cell r="A170" t="str">
            <v>UNC Greensboro</v>
          </cell>
          <cell r="B170">
            <v>-3.2184127088216802E-2</v>
          </cell>
          <cell r="D170" t="e">
            <v>#N/A</v>
          </cell>
          <cell r="E170" t="e">
            <v>#N/A</v>
          </cell>
        </row>
        <row r="171">
          <cell r="A171" t="str">
            <v>Columbia</v>
          </cell>
          <cell r="B171">
            <v>-4.2165884572368896E-2</v>
          </cell>
          <cell r="D171" t="e">
            <v>#N/A</v>
          </cell>
          <cell r="E171" t="e">
            <v>#N/A</v>
          </cell>
        </row>
        <row r="172">
          <cell r="A172" t="str">
            <v>Wright State</v>
          </cell>
          <cell r="B172">
            <v>-5.0333884353881829E-2</v>
          </cell>
          <cell r="D172" t="e">
            <v>#N/A</v>
          </cell>
          <cell r="E172" t="e">
            <v>#N/A</v>
          </cell>
        </row>
        <row r="173">
          <cell r="A173" t="str">
            <v>Western Carolina</v>
          </cell>
          <cell r="B173">
            <v>-8.5771807755614715E-2</v>
          </cell>
          <cell r="D173" t="e">
            <v>#N/A</v>
          </cell>
          <cell r="E173" t="e">
            <v>#N/A</v>
          </cell>
        </row>
        <row r="174">
          <cell r="A174" t="str">
            <v>Tennessee Tech</v>
          </cell>
          <cell r="B174">
            <v>-9.0501035533721561E-2</v>
          </cell>
          <cell r="D174" t="e">
            <v>#N/A</v>
          </cell>
          <cell r="E174" t="e">
            <v>#N/A</v>
          </cell>
        </row>
        <row r="175">
          <cell r="A175" t="str">
            <v>Howard</v>
          </cell>
          <cell r="B175">
            <v>-0.10234883321037813</v>
          </cell>
          <cell r="D175" t="e">
            <v>#N/A</v>
          </cell>
          <cell r="E175" t="e">
            <v>#N/A</v>
          </cell>
        </row>
        <row r="176">
          <cell r="A176" t="str">
            <v>Sacramento State</v>
          </cell>
          <cell r="B176">
            <v>-0.11549892966580018</v>
          </cell>
          <cell r="D176" t="e">
            <v>#N/A</v>
          </cell>
          <cell r="E176" t="e">
            <v>#N/A</v>
          </cell>
        </row>
        <row r="177">
          <cell r="A177" t="str">
            <v>Bowling Green</v>
          </cell>
          <cell r="B177">
            <v>-0.11817190301296608</v>
          </cell>
          <cell r="D177" t="e">
            <v>#N/A</v>
          </cell>
          <cell r="E177" t="e">
            <v>#N/A</v>
          </cell>
        </row>
        <row r="178">
          <cell r="A178" t="str">
            <v>North Dakota State</v>
          </cell>
          <cell r="B178">
            <v>-0.12130817816751412</v>
          </cell>
          <cell r="D178" t="e">
            <v>#N/A</v>
          </cell>
          <cell r="E178" t="e">
            <v>#N/A</v>
          </cell>
        </row>
        <row r="179">
          <cell r="A179" t="str">
            <v>Tulsa</v>
          </cell>
          <cell r="B179">
            <v>-0.12190998206532519</v>
          </cell>
          <cell r="D179" t="e">
            <v>#N/A</v>
          </cell>
          <cell r="E179" t="e">
            <v>#N/A</v>
          </cell>
        </row>
        <row r="180">
          <cell r="A180" t="str">
            <v>SIU Edwardsville</v>
          </cell>
          <cell r="B180">
            <v>-0.12547370097785707</v>
          </cell>
          <cell r="D180" t="e">
            <v>#N/A</v>
          </cell>
          <cell r="E180" t="e">
            <v>#N/A</v>
          </cell>
        </row>
        <row r="181">
          <cell r="A181" t="str">
            <v>Chattanooga</v>
          </cell>
          <cell r="B181">
            <v>-0.13145968486812062</v>
          </cell>
          <cell r="D181" t="e">
            <v>#N/A</v>
          </cell>
          <cell r="E181" t="e">
            <v>#N/A</v>
          </cell>
        </row>
        <row r="182">
          <cell r="A182" t="str">
            <v>Colgate</v>
          </cell>
          <cell r="B182">
            <v>-0.13468413471550986</v>
          </cell>
          <cell r="D182" t="e">
            <v>#N/A</v>
          </cell>
          <cell r="E182" t="e">
            <v>#N/A</v>
          </cell>
        </row>
        <row r="183">
          <cell r="A183" t="str">
            <v>UC Davis</v>
          </cell>
          <cell r="B183">
            <v>-0.13721281815738992</v>
          </cell>
          <cell r="D183" t="e">
            <v>#N/A</v>
          </cell>
          <cell r="E183" t="e">
            <v>#N/A</v>
          </cell>
        </row>
        <row r="184">
          <cell r="A184" t="str">
            <v>Idaho</v>
          </cell>
          <cell r="B184">
            <v>-0.14416275884111826</v>
          </cell>
          <cell r="D184" t="e">
            <v>#N/A</v>
          </cell>
          <cell r="E184" t="e">
            <v>#N/A</v>
          </cell>
        </row>
        <row r="185">
          <cell r="A185" t="str">
            <v>William &amp; Mary</v>
          </cell>
          <cell r="B185">
            <v>-0.14689296387874312</v>
          </cell>
          <cell r="D185" t="e">
            <v>#N/A</v>
          </cell>
          <cell r="E185" t="e">
            <v>#N/A</v>
          </cell>
        </row>
        <row r="186">
          <cell r="A186" t="str">
            <v>Oakland</v>
          </cell>
          <cell r="B186">
            <v>-0.15127017183653868</v>
          </cell>
          <cell r="D186" t="e">
            <v>#N/A</v>
          </cell>
          <cell r="E186" t="e">
            <v>#N/A</v>
          </cell>
        </row>
        <row r="187">
          <cell r="A187" t="str">
            <v>San Jose State</v>
          </cell>
          <cell r="B187">
            <v>-0.17766521761574069</v>
          </cell>
          <cell r="D187" t="e">
            <v>#N/A</v>
          </cell>
          <cell r="E187" t="e">
            <v>#N/A</v>
          </cell>
        </row>
        <row r="188">
          <cell r="A188" t="str">
            <v>Akron</v>
          </cell>
          <cell r="B188">
            <v>-0.17881272442477938</v>
          </cell>
          <cell r="D188" t="e">
            <v>#N/A</v>
          </cell>
          <cell r="E188" t="e">
            <v>#N/A</v>
          </cell>
        </row>
        <row r="189">
          <cell r="A189" t="str">
            <v>Furman</v>
          </cell>
          <cell r="B189">
            <v>-0.19000670141315187</v>
          </cell>
          <cell r="D189" t="e">
            <v>#N/A</v>
          </cell>
          <cell r="E189" t="e">
            <v>#N/A</v>
          </cell>
        </row>
        <row r="190">
          <cell r="A190" t="str">
            <v>San Diego</v>
          </cell>
          <cell r="B190">
            <v>-0.20023871415577363</v>
          </cell>
          <cell r="D190" t="e">
            <v>#N/A</v>
          </cell>
          <cell r="E190" t="e">
            <v>#N/A</v>
          </cell>
        </row>
        <row r="191">
          <cell r="A191" t="str">
            <v>UNC Asheville</v>
          </cell>
          <cell r="B191">
            <v>-0.20025775165120488</v>
          </cell>
          <cell r="D191" t="e">
            <v>#N/A</v>
          </cell>
          <cell r="E191" t="e">
            <v>#N/A</v>
          </cell>
        </row>
        <row r="192">
          <cell r="A192" t="str">
            <v>Buffalo</v>
          </cell>
          <cell r="B192">
            <v>-0.20035469282158022</v>
          </cell>
          <cell r="D192" t="e">
            <v>#N/A</v>
          </cell>
          <cell r="E192" t="e">
            <v>#N/A</v>
          </cell>
        </row>
        <row r="193">
          <cell r="A193" t="str">
            <v>Milwaukee</v>
          </cell>
          <cell r="B193">
            <v>-0.20469007743960158</v>
          </cell>
          <cell r="D193" t="e">
            <v>#N/A</v>
          </cell>
          <cell r="E193" t="e">
            <v>#N/A</v>
          </cell>
        </row>
        <row r="194">
          <cell r="A194" t="str">
            <v>UTEP</v>
          </cell>
          <cell r="B194">
            <v>-0.20896286419833268</v>
          </cell>
          <cell r="D194" t="e">
            <v>#N/A</v>
          </cell>
          <cell r="E194" t="e">
            <v>#N/A</v>
          </cell>
        </row>
        <row r="195">
          <cell r="A195" t="str">
            <v>Louisiana</v>
          </cell>
          <cell r="B195">
            <v>-0.22454998316887387</v>
          </cell>
          <cell r="D195" t="e">
            <v>#N/A</v>
          </cell>
          <cell r="E195" t="e">
            <v>#N/A</v>
          </cell>
        </row>
        <row r="196">
          <cell r="A196" t="str">
            <v>Oral Roberts</v>
          </cell>
          <cell r="B196">
            <v>-0.25324020594101188</v>
          </cell>
          <cell r="D196" t="e">
            <v>#N/A</v>
          </cell>
          <cell r="E196" t="e">
            <v>#N/A</v>
          </cell>
        </row>
        <row r="197">
          <cell r="A197" t="str">
            <v>Little Rock</v>
          </cell>
          <cell r="B197">
            <v>-0.26288326894967079</v>
          </cell>
          <cell r="D197" t="e">
            <v>#N/A</v>
          </cell>
          <cell r="E197" t="e">
            <v>#N/A</v>
          </cell>
        </row>
        <row r="198">
          <cell r="A198" t="str">
            <v>Lipscomb</v>
          </cell>
          <cell r="B198">
            <v>-0.26446980132879766</v>
          </cell>
          <cell r="D198" t="e">
            <v>#N/A</v>
          </cell>
          <cell r="E198" t="e">
            <v>#N/A</v>
          </cell>
        </row>
        <row r="199">
          <cell r="A199" t="str">
            <v>Northeastern</v>
          </cell>
          <cell r="B199">
            <v>-0.2695748716653813</v>
          </cell>
          <cell r="D199" t="e">
            <v>#N/A</v>
          </cell>
          <cell r="E199" t="e">
            <v>#N/A</v>
          </cell>
        </row>
        <row r="200">
          <cell r="A200" t="str">
            <v>Lehigh Mountain</v>
          </cell>
          <cell r="B200">
            <v>-0.27527640928387109</v>
          </cell>
          <cell r="D200" t="e">
            <v>#N/A</v>
          </cell>
          <cell r="E200" t="e">
            <v>#N/A</v>
          </cell>
        </row>
        <row r="201">
          <cell r="A201" t="str">
            <v>Rice</v>
          </cell>
          <cell r="B201">
            <v>-0.27856072145035959</v>
          </cell>
          <cell r="D201" t="e">
            <v>#N/A</v>
          </cell>
          <cell r="E201" t="e">
            <v>#N/A</v>
          </cell>
        </row>
        <row r="202">
          <cell r="A202" t="str">
            <v>Loyola Chicago</v>
          </cell>
          <cell r="B202">
            <v>-0.27913092117390464</v>
          </cell>
          <cell r="D202" t="e">
            <v>#N/A</v>
          </cell>
          <cell r="E202" t="e">
            <v>#N/A</v>
          </cell>
        </row>
        <row r="203">
          <cell r="A203" t="str">
            <v>Brown</v>
          </cell>
          <cell r="B203">
            <v>-0.28055694842784734</v>
          </cell>
          <cell r="D203" t="e">
            <v>#N/A</v>
          </cell>
          <cell r="E203" t="e">
            <v>#N/A</v>
          </cell>
        </row>
        <row r="204">
          <cell r="A204" t="str">
            <v>UT Rio Grande Valley</v>
          </cell>
          <cell r="B204">
            <v>-0.28312850070509143</v>
          </cell>
          <cell r="D204" t="e">
            <v>#N/A</v>
          </cell>
          <cell r="E204" t="e">
            <v>#N/A</v>
          </cell>
        </row>
        <row r="205">
          <cell r="A205" t="str">
            <v>Dartmouth</v>
          </cell>
          <cell r="B205">
            <v>-0.28715211736307478</v>
          </cell>
          <cell r="D205" t="e">
            <v>#N/A</v>
          </cell>
          <cell r="E205" t="e">
            <v>#N/A</v>
          </cell>
        </row>
        <row r="206">
          <cell r="A206" t="str">
            <v>Jacksonville</v>
          </cell>
          <cell r="B206">
            <v>-0.29202478766696277</v>
          </cell>
          <cell r="D206" t="e">
            <v>#N/A</v>
          </cell>
          <cell r="E206" t="e">
            <v>#N/A</v>
          </cell>
        </row>
        <row r="207">
          <cell r="A207" t="str">
            <v>Montana</v>
          </cell>
          <cell r="B207">
            <v>-0.29691728294072844</v>
          </cell>
          <cell r="D207" t="e">
            <v>#N/A</v>
          </cell>
          <cell r="E207" t="e">
            <v>#N/A</v>
          </cell>
        </row>
        <row r="208">
          <cell r="A208" t="str">
            <v>VMI</v>
          </cell>
          <cell r="B208">
            <v>-0.29897314510533701</v>
          </cell>
          <cell r="D208" t="e">
            <v>#N/A</v>
          </cell>
          <cell r="E208" t="e">
            <v>#N/A</v>
          </cell>
        </row>
        <row r="209">
          <cell r="A209" t="str">
            <v>Bellarmine</v>
          </cell>
          <cell r="B209">
            <v>-0.30337991714891643</v>
          </cell>
          <cell r="D209" t="e">
            <v>#N/A</v>
          </cell>
          <cell r="E209" t="e">
            <v>#N/A</v>
          </cell>
        </row>
        <row r="210">
          <cell r="A210" t="str">
            <v>New Mexico State</v>
          </cell>
          <cell r="B210">
            <v>-0.30421932880091879</v>
          </cell>
          <cell r="D210" t="e">
            <v>#N/A</v>
          </cell>
          <cell r="E210" t="e">
            <v>#N/A</v>
          </cell>
        </row>
        <row r="211">
          <cell r="A211" t="str">
            <v>La Salle</v>
          </cell>
          <cell r="B211">
            <v>-0.30439551126483061</v>
          </cell>
          <cell r="D211" t="e">
            <v>#N/A</v>
          </cell>
          <cell r="E211" t="e">
            <v>#N/A</v>
          </cell>
        </row>
        <row r="212">
          <cell r="A212" t="str">
            <v>Stetson</v>
          </cell>
          <cell r="B212">
            <v>-0.31579190068548296</v>
          </cell>
          <cell r="D212" t="e">
            <v>#N/A</v>
          </cell>
          <cell r="E212" t="e">
            <v>#N/A</v>
          </cell>
        </row>
        <row r="213">
          <cell r="A213" t="str">
            <v>Northern Kentucky</v>
          </cell>
          <cell r="B213">
            <v>-0.32512599847161844</v>
          </cell>
          <cell r="D213" t="e">
            <v>#N/A</v>
          </cell>
          <cell r="E213" t="e">
            <v>#N/A</v>
          </cell>
        </row>
        <row r="214">
          <cell r="A214" t="str">
            <v>East Carolina</v>
          </cell>
          <cell r="B214">
            <v>-0.32912400551968324</v>
          </cell>
          <cell r="D214" t="e">
            <v>#N/A</v>
          </cell>
          <cell r="E214" t="e">
            <v>#N/A</v>
          </cell>
        </row>
        <row r="215">
          <cell r="A215" t="str">
            <v>California Baptist</v>
          </cell>
          <cell r="B215">
            <v>-0.34347987437201793</v>
          </cell>
          <cell r="D215" t="e">
            <v>#N/A</v>
          </cell>
          <cell r="E215" t="e">
            <v>#N/A</v>
          </cell>
        </row>
        <row r="216">
          <cell r="A216" t="str">
            <v>Charleston</v>
          </cell>
          <cell r="B216">
            <v>-0.35322937384394926</v>
          </cell>
          <cell r="D216" t="e">
            <v>#N/A</v>
          </cell>
          <cell r="E216" t="e">
            <v>#N/A</v>
          </cell>
        </row>
        <row r="217">
          <cell r="A217" t="str">
            <v>Detroit</v>
          </cell>
          <cell r="B217">
            <v>-0.36360955880029971</v>
          </cell>
          <cell r="D217" t="e">
            <v>#N/A</v>
          </cell>
          <cell r="E217" t="e">
            <v>#N/A</v>
          </cell>
        </row>
        <row r="218">
          <cell r="A218" t="str">
            <v>Houston Christian</v>
          </cell>
          <cell r="B218">
            <v>-0.37122654373574687</v>
          </cell>
          <cell r="D218" t="e">
            <v>#N/A</v>
          </cell>
          <cell r="E218" t="e">
            <v>#N/A</v>
          </cell>
        </row>
        <row r="219">
          <cell r="A219" t="str">
            <v>Fairfield</v>
          </cell>
          <cell r="B219">
            <v>-0.3732637465773444</v>
          </cell>
          <cell r="D219" t="e">
            <v>#N/A</v>
          </cell>
          <cell r="E219" t="e">
            <v>#N/A</v>
          </cell>
        </row>
        <row r="220">
          <cell r="A220" t="str">
            <v>Stony Brook</v>
          </cell>
          <cell r="B220">
            <v>-0.37395133150091947</v>
          </cell>
          <cell r="D220" t="e">
            <v>#N/A</v>
          </cell>
          <cell r="E220" t="e">
            <v>#N/A</v>
          </cell>
        </row>
        <row r="221">
          <cell r="A221" t="str">
            <v>Northern Arizona</v>
          </cell>
          <cell r="B221">
            <v>-0.37625944134085137</v>
          </cell>
          <cell r="D221" t="e">
            <v>#N/A</v>
          </cell>
          <cell r="E221" t="e">
            <v>#N/A</v>
          </cell>
        </row>
        <row r="222">
          <cell r="A222" t="str">
            <v>Long Island University</v>
          </cell>
          <cell r="B222">
            <v>-0.38665172445706625</v>
          </cell>
          <cell r="D222" t="e">
            <v>#N/A</v>
          </cell>
          <cell r="E222" t="e">
            <v>#N/A</v>
          </cell>
        </row>
        <row r="223">
          <cell r="A223" t="str">
            <v>Loyola (MD)</v>
          </cell>
          <cell r="B223">
            <v>-0.40696467913269402</v>
          </cell>
          <cell r="D223" t="e">
            <v>#N/A</v>
          </cell>
          <cell r="E223" t="e">
            <v>#N/A</v>
          </cell>
        </row>
        <row r="224">
          <cell r="A224" t="str">
            <v>Quinnipiac</v>
          </cell>
          <cell r="B224">
            <v>-0.41442078476716604</v>
          </cell>
          <cell r="D224" t="e">
            <v>#N/A</v>
          </cell>
          <cell r="E224" t="e">
            <v>#N/A</v>
          </cell>
        </row>
        <row r="225">
          <cell r="A225" t="str">
            <v>Temple</v>
          </cell>
          <cell r="B225">
            <v>-0.42691311718293035</v>
          </cell>
          <cell r="D225" t="e">
            <v>#N/A</v>
          </cell>
          <cell r="E225" t="e">
            <v>#N/A</v>
          </cell>
        </row>
        <row r="226">
          <cell r="A226" t="str">
            <v>Eastern Kentucky</v>
          </cell>
          <cell r="B226">
            <v>-0.43206741612643207</v>
          </cell>
          <cell r="D226" t="e">
            <v>#N/A</v>
          </cell>
          <cell r="E226" t="e">
            <v>#N/A</v>
          </cell>
        </row>
        <row r="227">
          <cell r="A227" t="str">
            <v>Southern Miss</v>
          </cell>
          <cell r="B227">
            <v>-0.43611307519106129</v>
          </cell>
          <cell r="D227" t="e">
            <v>#N/A</v>
          </cell>
          <cell r="E227" t="e">
            <v>#N/A</v>
          </cell>
        </row>
        <row r="228">
          <cell r="A228" t="str">
            <v>Indiana State</v>
          </cell>
          <cell r="B228">
            <v>-0.43665294881850375</v>
          </cell>
          <cell r="D228" t="e">
            <v>#N/A</v>
          </cell>
          <cell r="E228" t="e">
            <v>#N/A</v>
          </cell>
        </row>
        <row r="229">
          <cell r="A229" t="str">
            <v>Samford</v>
          </cell>
          <cell r="B229">
            <v>-0.44196251990887186</v>
          </cell>
          <cell r="D229" t="e">
            <v>#N/A</v>
          </cell>
          <cell r="E229" t="e">
            <v>#N/A</v>
          </cell>
        </row>
        <row r="230">
          <cell r="A230" t="str">
            <v>Hampton</v>
          </cell>
          <cell r="B230">
            <v>-0.45925592441518492</v>
          </cell>
          <cell r="D230" t="e">
            <v>#N/A</v>
          </cell>
          <cell r="E230" t="e">
            <v>#N/A</v>
          </cell>
        </row>
        <row r="231">
          <cell r="A231" t="str">
            <v>Tarleton</v>
          </cell>
          <cell r="B231">
            <v>-0.45949224070283545</v>
          </cell>
          <cell r="D231" t="e">
            <v>#N/A</v>
          </cell>
          <cell r="E231" t="e">
            <v>#N/A</v>
          </cell>
        </row>
        <row r="232">
          <cell r="A232" t="str">
            <v>IU Indianapolis</v>
          </cell>
          <cell r="B232">
            <v>-0.465839320956212</v>
          </cell>
          <cell r="D232" t="e">
            <v>#N/A</v>
          </cell>
          <cell r="E232" t="e">
            <v>#N/A</v>
          </cell>
        </row>
        <row r="233">
          <cell r="A233" t="str">
            <v>Coastal Carolina</v>
          </cell>
          <cell r="B233">
            <v>-0.46604004712360597</v>
          </cell>
          <cell r="D233" t="e">
            <v>#N/A</v>
          </cell>
          <cell r="E233" t="e">
            <v>#N/A</v>
          </cell>
        </row>
        <row r="234">
          <cell r="A234" t="str">
            <v>Elon</v>
          </cell>
          <cell r="B234">
            <v>-0.46751935747277718</v>
          </cell>
          <cell r="D234" t="e">
            <v>#N/A</v>
          </cell>
          <cell r="E234" t="e">
            <v>#N/A</v>
          </cell>
        </row>
        <row r="235">
          <cell r="A235" t="str">
            <v>Army</v>
          </cell>
          <cell r="B235">
            <v>-0.47696493511226368</v>
          </cell>
          <cell r="D235" t="e">
            <v>#N/A</v>
          </cell>
          <cell r="E235" t="e">
            <v>#N/A</v>
          </cell>
        </row>
        <row r="236">
          <cell r="A236" t="str">
            <v>Tulane</v>
          </cell>
          <cell r="B236">
            <v>-0.48322405470008301</v>
          </cell>
          <cell r="D236" t="e">
            <v>#N/A</v>
          </cell>
          <cell r="E236" t="e">
            <v>#N/A</v>
          </cell>
        </row>
        <row r="237">
          <cell r="A237" t="str">
            <v>SE Louisiana</v>
          </cell>
          <cell r="B237">
            <v>-0.48567121779070865</v>
          </cell>
          <cell r="D237" t="e">
            <v>#N/A</v>
          </cell>
          <cell r="E237" t="e">
            <v>#N/A</v>
          </cell>
        </row>
        <row r="238">
          <cell r="A238" t="str">
            <v>Arkansas State</v>
          </cell>
          <cell r="B238">
            <v>-0.49121385277204499</v>
          </cell>
          <cell r="D238" t="e">
            <v>#N/A</v>
          </cell>
          <cell r="E238" t="e">
            <v>#N/A</v>
          </cell>
        </row>
        <row r="239">
          <cell r="A239" t="str">
            <v>Bradley</v>
          </cell>
          <cell r="B239">
            <v>-0.49862486579096255</v>
          </cell>
          <cell r="D239" t="e">
            <v>#N/A</v>
          </cell>
          <cell r="E239" t="e">
            <v>#N/A</v>
          </cell>
        </row>
        <row r="240">
          <cell r="A240" t="str">
            <v>Troy</v>
          </cell>
          <cell r="B240">
            <v>-0.50350046682799898</v>
          </cell>
          <cell r="D240" t="e">
            <v>#N/A</v>
          </cell>
          <cell r="E240" t="e">
            <v>#N/A</v>
          </cell>
        </row>
        <row r="241">
          <cell r="A241" t="str">
            <v>Youngstown State</v>
          </cell>
          <cell r="B241">
            <v>-0.50384613759702657</v>
          </cell>
          <cell r="D241" t="e">
            <v>#N/A</v>
          </cell>
          <cell r="E241" t="e">
            <v>#N/A</v>
          </cell>
        </row>
        <row r="242">
          <cell r="A242" t="str">
            <v>Monmouth</v>
          </cell>
          <cell r="B242">
            <v>-0.51138092620615261</v>
          </cell>
          <cell r="D242" t="e">
            <v>#N/A</v>
          </cell>
          <cell r="E242" t="e">
            <v>#N/A</v>
          </cell>
        </row>
        <row r="243">
          <cell r="A243" t="str">
            <v>Georgia State</v>
          </cell>
          <cell r="B243">
            <v>-0.51315573618220101</v>
          </cell>
          <cell r="D243" t="e">
            <v>#N/A</v>
          </cell>
          <cell r="E243" t="e">
            <v>#N/A</v>
          </cell>
        </row>
        <row r="244">
          <cell r="A244" t="str">
            <v>Tennessee State</v>
          </cell>
          <cell r="B244">
            <v>-0.51448378571406816</v>
          </cell>
          <cell r="D244" t="e">
            <v>#N/A</v>
          </cell>
          <cell r="E244" t="e">
            <v>#N/A</v>
          </cell>
        </row>
        <row r="245">
          <cell r="A245" t="str">
            <v>St. Bonaventure</v>
          </cell>
          <cell r="B245">
            <v>-0.515213031043114</v>
          </cell>
          <cell r="D245" t="e">
            <v>#N/A</v>
          </cell>
          <cell r="E245" t="e">
            <v>#N/A</v>
          </cell>
        </row>
        <row r="246">
          <cell r="A246" t="str">
            <v>Utah Tech</v>
          </cell>
          <cell r="B246">
            <v>-0.52446371015324078</v>
          </cell>
          <cell r="D246" t="e">
            <v>#N/A</v>
          </cell>
          <cell r="E246" t="e">
            <v>#N/A</v>
          </cell>
        </row>
        <row r="247">
          <cell r="A247" t="str">
            <v>CSU Fullerton</v>
          </cell>
          <cell r="B247">
            <v>-0.52770356328975543</v>
          </cell>
          <cell r="D247" t="e">
            <v>#N/A</v>
          </cell>
          <cell r="E247" t="e">
            <v>#N/A</v>
          </cell>
        </row>
        <row r="248">
          <cell r="A248" t="str">
            <v>Austin Peay</v>
          </cell>
          <cell r="B248">
            <v>-0.52882302549608373</v>
          </cell>
          <cell r="D248" t="e">
            <v>#N/A</v>
          </cell>
          <cell r="E248" t="e">
            <v>#N/A</v>
          </cell>
        </row>
        <row r="249">
          <cell r="A249" t="str">
            <v>Queens University</v>
          </cell>
          <cell r="B249">
            <v>-0.53034881173489101</v>
          </cell>
          <cell r="D249" t="e">
            <v>#N/A</v>
          </cell>
          <cell r="E249" t="e">
            <v>#N/A</v>
          </cell>
        </row>
        <row r="250">
          <cell r="A250" t="str">
            <v>Florida Gulf Coast</v>
          </cell>
          <cell r="B250">
            <v>-0.54182988598239124</v>
          </cell>
          <cell r="D250" t="e">
            <v>#N/A</v>
          </cell>
          <cell r="E250" t="e">
            <v>#N/A</v>
          </cell>
        </row>
        <row r="251">
          <cell r="A251" t="str">
            <v>Central Michigan</v>
          </cell>
          <cell r="B251">
            <v>-0.54195532860239859</v>
          </cell>
          <cell r="D251" t="e">
            <v>#N/A</v>
          </cell>
          <cell r="E251" t="e">
            <v>#N/A</v>
          </cell>
        </row>
        <row r="252">
          <cell r="A252" t="str">
            <v>Marist</v>
          </cell>
          <cell r="B252">
            <v>-0.54427970803526937</v>
          </cell>
          <cell r="D252" t="e">
            <v>#N/A</v>
          </cell>
          <cell r="E252" t="e">
            <v>#N/A</v>
          </cell>
        </row>
        <row r="253">
          <cell r="A253" t="str">
            <v>Denver</v>
          </cell>
          <cell r="B253">
            <v>-0.55773658433734752</v>
          </cell>
          <cell r="D253" t="e">
            <v>#N/A</v>
          </cell>
          <cell r="E253" t="e">
            <v>#N/A</v>
          </cell>
        </row>
        <row r="254">
          <cell r="A254" t="str">
            <v>Kansas City</v>
          </cell>
          <cell r="B254">
            <v>-0.57257090416869005</v>
          </cell>
          <cell r="D254" t="e">
            <v>#N/A</v>
          </cell>
          <cell r="E254" t="e">
            <v>#N/A</v>
          </cell>
        </row>
        <row r="255">
          <cell r="A255" t="str">
            <v>Cleveland State</v>
          </cell>
          <cell r="B255">
            <v>-0.58264802103946467</v>
          </cell>
          <cell r="D255" t="e">
            <v>#N/A</v>
          </cell>
          <cell r="E255" t="e">
            <v>#N/A</v>
          </cell>
        </row>
        <row r="256">
          <cell r="A256" t="str">
            <v>Portland State</v>
          </cell>
          <cell r="B256">
            <v>-0.5860817619786759</v>
          </cell>
          <cell r="D256" t="e">
            <v>#N/A</v>
          </cell>
          <cell r="E256" t="e">
            <v>#N/A</v>
          </cell>
        </row>
        <row r="257">
          <cell r="A257" t="str">
            <v>Old Dominion</v>
          </cell>
          <cell r="B257">
            <v>-0.58955318994081896</v>
          </cell>
          <cell r="D257" t="e">
            <v>#N/A</v>
          </cell>
          <cell r="E257" t="e">
            <v>#N/A</v>
          </cell>
        </row>
        <row r="258">
          <cell r="A258" t="str">
            <v>Marshall</v>
          </cell>
          <cell r="B258">
            <v>-0.59263321572373817</v>
          </cell>
          <cell r="D258" t="e">
            <v>#N/A</v>
          </cell>
          <cell r="E258" t="e">
            <v>#N/A</v>
          </cell>
        </row>
        <row r="259">
          <cell r="A259" t="str">
            <v>Portland</v>
          </cell>
          <cell r="B259">
            <v>-0.59745305577276031</v>
          </cell>
          <cell r="D259" t="e">
            <v>#N/A</v>
          </cell>
          <cell r="E259" t="e">
            <v>#N/A</v>
          </cell>
        </row>
        <row r="260">
          <cell r="A260" t="str">
            <v>Missouri State</v>
          </cell>
          <cell r="B260">
            <v>-0.62111707028100671</v>
          </cell>
          <cell r="D260" t="e">
            <v>#N/A</v>
          </cell>
          <cell r="E260" t="e">
            <v>#N/A</v>
          </cell>
        </row>
        <row r="261">
          <cell r="A261" t="str">
            <v>Mount St. Mary's</v>
          </cell>
          <cell r="B261">
            <v>-0.62349359608890231</v>
          </cell>
          <cell r="D261" t="e">
            <v>#N/A</v>
          </cell>
          <cell r="E261" t="e">
            <v>#N/A</v>
          </cell>
        </row>
        <row r="262">
          <cell r="A262" t="str">
            <v>East Texas A&amp;M</v>
          </cell>
          <cell r="B262">
            <v>-0.63434067565139729</v>
          </cell>
          <cell r="D262" t="e">
            <v>#N/A</v>
          </cell>
          <cell r="E262" t="e">
            <v>#N/A</v>
          </cell>
        </row>
        <row r="263">
          <cell r="A263" t="str">
            <v>Green Bay</v>
          </cell>
          <cell r="B263">
            <v>-0.63689827911800911</v>
          </cell>
          <cell r="D263" t="e">
            <v>#N/A</v>
          </cell>
          <cell r="E263" t="e">
            <v>#N/A</v>
          </cell>
        </row>
        <row r="264">
          <cell r="A264" t="str">
            <v>Omaha</v>
          </cell>
          <cell r="B264">
            <v>-0.63756797351596317</v>
          </cell>
          <cell r="D264" t="e">
            <v>#N/A</v>
          </cell>
          <cell r="E264" t="e">
            <v>#N/A</v>
          </cell>
        </row>
        <row r="265">
          <cell r="A265" t="str">
            <v>Southern Indiana</v>
          </cell>
          <cell r="B265">
            <v>-0.66785658884267141</v>
          </cell>
          <cell r="D265" t="e">
            <v>#N/A</v>
          </cell>
          <cell r="E265" t="e">
            <v>#N/A</v>
          </cell>
        </row>
        <row r="266">
          <cell r="A266" t="str">
            <v>Central Connecticut</v>
          </cell>
          <cell r="B266">
            <v>-0.67237651845972068</v>
          </cell>
          <cell r="D266" t="e">
            <v>#N/A</v>
          </cell>
          <cell r="E266" t="e">
            <v>#N/A</v>
          </cell>
        </row>
        <row r="267">
          <cell r="A267" t="str">
            <v>Charleston Southern</v>
          </cell>
          <cell r="B267">
            <v>-0.6815659413460361</v>
          </cell>
          <cell r="D267" t="e">
            <v>#N/A</v>
          </cell>
          <cell r="E267" t="e">
            <v>#N/A</v>
          </cell>
        </row>
        <row r="268">
          <cell r="A268" t="str">
            <v>Appalachian State</v>
          </cell>
          <cell r="B268">
            <v>-0.6817366486783959</v>
          </cell>
          <cell r="D268" t="e">
            <v>#N/A</v>
          </cell>
          <cell r="E268" t="e">
            <v>#N/A</v>
          </cell>
        </row>
        <row r="269">
          <cell r="A269" t="str">
            <v>UTSA</v>
          </cell>
          <cell r="B269">
            <v>-0.69228531957195139</v>
          </cell>
          <cell r="D269" t="e">
            <v>#N/A</v>
          </cell>
          <cell r="E269" t="e">
            <v>#N/A</v>
          </cell>
        </row>
        <row r="270">
          <cell r="A270" t="str">
            <v>Navy</v>
          </cell>
          <cell r="B270">
            <v>-0.70321178629688619</v>
          </cell>
          <cell r="D270" t="e">
            <v>#N/A</v>
          </cell>
          <cell r="E270" t="e">
            <v>#N/A</v>
          </cell>
        </row>
        <row r="271">
          <cell r="A271" t="str">
            <v>Southern Utah</v>
          </cell>
          <cell r="B271">
            <v>-0.70376067972266398</v>
          </cell>
          <cell r="D271" t="e">
            <v>#N/A</v>
          </cell>
          <cell r="E271" t="e">
            <v>#N/A</v>
          </cell>
        </row>
        <row r="272">
          <cell r="A272" t="str">
            <v>Nicholls</v>
          </cell>
          <cell r="B272">
            <v>-0.70733598137170717</v>
          </cell>
          <cell r="D272" t="e">
            <v>#N/A</v>
          </cell>
          <cell r="E272" t="e">
            <v>#N/A</v>
          </cell>
        </row>
        <row r="273">
          <cell r="A273" t="str">
            <v>Mercyhurst</v>
          </cell>
          <cell r="B273">
            <v>-0.70767567974816714</v>
          </cell>
          <cell r="D273" t="e">
            <v>#N/A</v>
          </cell>
          <cell r="E273" t="e">
            <v>#N/A</v>
          </cell>
        </row>
        <row r="274">
          <cell r="A274" t="str">
            <v>Delaware</v>
          </cell>
          <cell r="B274">
            <v>-0.71486865970913593</v>
          </cell>
          <cell r="D274" t="e">
            <v>#N/A</v>
          </cell>
          <cell r="E274" t="e">
            <v>#N/A</v>
          </cell>
        </row>
        <row r="275">
          <cell r="A275" t="str">
            <v>Evansville</v>
          </cell>
          <cell r="B275">
            <v>-0.71640162729908174</v>
          </cell>
          <cell r="D275" t="e">
            <v>#N/A</v>
          </cell>
          <cell r="E275" t="e">
            <v>#N/A</v>
          </cell>
        </row>
        <row r="276">
          <cell r="A276" t="str">
            <v>Mercer</v>
          </cell>
          <cell r="B276">
            <v>-0.72273130206610503</v>
          </cell>
          <cell r="D276" t="e">
            <v>#N/A</v>
          </cell>
          <cell r="E276" t="e">
            <v>#N/A</v>
          </cell>
        </row>
        <row r="277">
          <cell r="A277" t="str">
            <v>Bethune-Cookman</v>
          </cell>
          <cell r="B277">
            <v>-0.72796608803177998</v>
          </cell>
          <cell r="D277" t="e">
            <v>#N/A</v>
          </cell>
          <cell r="E277" t="e">
            <v>#N/A</v>
          </cell>
        </row>
        <row r="278">
          <cell r="A278" t="str">
            <v>Hofstra</v>
          </cell>
          <cell r="B278">
            <v>-0.73554683227934292</v>
          </cell>
          <cell r="D278" t="e">
            <v>#N/A</v>
          </cell>
          <cell r="E278" t="e">
            <v>#N/A</v>
          </cell>
        </row>
        <row r="279">
          <cell r="A279" t="str">
            <v>New Orleans</v>
          </cell>
          <cell r="B279">
            <v>-0.74080092520195373</v>
          </cell>
          <cell r="D279" t="e">
            <v>#N/A</v>
          </cell>
          <cell r="E279" t="e">
            <v>#N/A</v>
          </cell>
        </row>
        <row r="280">
          <cell r="A280" t="str">
            <v>UMass Lowell</v>
          </cell>
          <cell r="B280">
            <v>-0.74229391238874232</v>
          </cell>
          <cell r="D280" t="e">
            <v>#N/A</v>
          </cell>
          <cell r="E280" t="e">
            <v>#N/A</v>
          </cell>
        </row>
        <row r="281">
          <cell r="A281" t="str">
            <v>Towson</v>
          </cell>
          <cell r="B281">
            <v>-0.765009761516241</v>
          </cell>
          <cell r="D281" t="e">
            <v>#N/A</v>
          </cell>
          <cell r="E281" t="e">
            <v>#N/A</v>
          </cell>
        </row>
        <row r="282">
          <cell r="A282" t="str">
            <v>Jacksonville State</v>
          </cell>
          <cell r="B282">
            <v>-0.7706228200153088</v>
          </cell>
          <cell r="D282" t="e">
            <v>#N/A</v>
          </cell>
          <cell r="E282" t="e">
            <v>#N/A</v>
          </cell>
        </row>
        <row r="283">
          <cell r="A283" t="str">
            <v>Le Moyne</v>
          </cell>
          <cell r="B283">
            <v>-0.77230399911120617</v>
          </cell>
          <cell r="D283" t="e">
            <v>#N/A</v>
          </cell>
          <cell r="E283" t="e">
            <v>#N/A</v>
          </cell>
        </row>
        <row r="284">
          <cell r="A284" t="str">
            <v>Vermont</v>
          </cell>
          <cell r="B284">
            <v>-0.77394267881540035</v>
          </cell>
          <cell r="D284" t="e">
            <v>#N/A</v>
          </cell>
          <cell r="E284" t="e">
            <v>#N/A</v>
          </cell>
        </row>
        <row r="285">
          <cell r="A285" t="str">
            <v>West Georgia</v>
          </cell>
          <cell r="B285">
            <v>-0.77487241015580555</v>
          </cell>
          <cell r="D285" t="e">
            <v>#N/A</v>
          </cell>
          <cell r="E285" t="e">
            <v>#N/A</v>
          </cell>
        </row>
        <row r="286">
          <cell r="A286" t="str">
            <v>Purdue Fort Wayne</v>
          </cell>
          <cell r="B286">
            <v>-0.78482009415579745</v>
          </cell>
          <cell r="D286" t="e">
            <v>#N/A</v>
          </cell>
          <cell r="E286" t="e">
            <v>#N/A</v>
          </cell>
        </row>
        <row r="287">
          <cell r="A287" t="str">
            <v>Merrimack</v>
          </cell>
          <cell r="B287">
            <v>-0.78544759694410493</v>
          </cell>
          <cell r="D287" t="e">
            <v>#N/A</v>
          </cell>
          <cell r="E287" t="e">
            <v>#N/A</v>
          </cell>
        </row>
        <row r="288">
          <cell r="A288" t="str">
            <v>Southern Illinois</v>
          </cell>
          <cell r="B288">
            <v>-0.80367244262928839</v>
          </cell>
          <cell r="D288" t="e">
            <v>#N/A</v>
          </cell>
          <cell r="E288" t="e">
            <v>#N/A</v>
          </cell>
        </row>
        <row r="289">
          <cell r="A289" t="str">
            <v>North Dakota</v>
          </cell>
          <cell r="B289">
            <v>-0.81142181919236855</v>
          </cell>
          <cell r="D289" t="e">
            <v>#N/A</v>
          </cell>
          <cell r="E289" t="e">
            <v>#N/A</v>
          </cell>
        </row>
        <row r="290">
          <cell r="A290" t="str">
            <v>Southeast Missouri State</v>
          </cell>
          <cell r="B290">
            <v>-0.82293881568665295</v>
          </cell>
          <cell r="D290" t="e">
            <v>#N/A</v>
          </cell>
          <cell r="E290" t="e">
            <v>#N/A</v>
          </cell>
        </row>
        <row r="291">
          <cell r="A291" t="str">
            <v>South Dakota</v>
          </cell>
          <cell r="B291">
            <v>-0.8290147114586508</v>
          </cell>
          <cell r="D291" t="e">
            <v>#N/A</v>
          </cell>
          <cell r="E291" t="e">
            <v>#N/A</v>
          </cell>
        </row>
        <row r="292">
          <cell r="A292" t="str">
            <v>Saint Peter's</v>
          </cell>
          <cell r="B292">
            <v>-0.83420329072150101</v>
          </cell>
          <cell r="D292" t="e">
            <v>#N/A</v>
          </cell>
          <cell r="E292" t="e">
            <v>#N/A</v>
          </cell>
        </row>
        <row r="293">
          <cell r="A293" t="str">
            <v>New Hampshire</v>
          </cell>
          <cell r="B293">
            <v>-0.83582999769199318</v>
          </cell>
          <cell r="D293" t="e">
            <v>#N/A</v>
          </cell>
          <cell r="E293" t="e">
            <v>#N/A</v>
          </cell>
        </row>
        <row r="294">
          <cell r="A294" t="str">
            <v>UT Martin</v>
          </cell>
          <cell r="B294">
            <v>-0.84648752787540882</v>
          </cell>
          <cell r="D294" t="e">
            <v>#N/A</v>
          </cell>
          <cell r="E294" t="e">
            <v>#N/A</v>
          </cell>
        </row>
        <row r="295">
          <cell r="A295" t="str">
            <v>Bryant</v>
          </cell>
          <cell r="B295">
            <v>-0.8471285730258904</v>
          </cell>
          <cell r="D295" t="e">
            <v>#N/A</v>
          </cell>
          <cell r="E295" t="e">
            <v>#N/A</v>
          </cell>
        </row>
        <row r="296">
          <cell r="A296" t="str">
            <v>Radford</v>
          </cell>
          <cell r="B296">
            <v>-0.86609707347956433</v>
          </cell>
          <cell r="D296" t="e">
            <v>#N/A</v>
          </cell>
          <cell r="E296" t="e">
            <v>#N/A</v>
          </cell>
        </row>
        <row r="297">
          <cell r="A297" t="str">
            <v>Drexel</v>
          </cell>
          <cell r="B297">
            <v>-0.86615243242352324</v>
          </cell>
          <cell r="D297" t="e">
            <v>#N/A</v>
          </cell>
          <cell r="E297" t="e">
            <v>#N/A</v>
          </cell>
        </row>
        <row r="298">
          <cell r="A298" t="str">
            <v>NJIT</v>
          </cell>
          <cell r="B298">
            <v>-0.87194187148889768</v>
          </cell>
          <cell r="D298" t="e">
            <v>#N/A</v>
          </cell>
          <cell r="E298" t="e">
            <v>#N/A</v>
          </cell>
        </row>
        <row r="299">
          <cell r="A299" t="str">
            <v>Wofford</v>
          </cell>
          <cell r="B299">
            <v>-0.89233952464733945</v>
          </cell>
          <cell r="D299" t="e">
            <v>#N/A</v>
          </cell>
          <cell r="E299" t="e">
            <v>#N/A</v>
          </cell>
        </row>
        <row r="300">
          <cell r="A300" t="str">
            <v>Long Beach State</v>
          </cell>
          <cell r="B300">
            <v>-0.89530012840356477</v>
          </cell>
          <cell r="D300" t="e">
            <v>#N/A</v>
          </cell>
          <cell r="E300" t="e">
            <v>#N/A</v>
          </cell>
        </row>
        <row r="301">
          <cell r="A301" t="str">
            <v>New Haven</v>
          </cell>
          <cell r="B301">
            <v>-0.89628899896155367</v>
          </cell>
          <cell r="D301" t="e">
            <v>#N/A</v>
          </cell>
          <cell r="E301" t="e">
            <v>#N/A</v>
          </cell>
        </row>
        <row r="302">
          <cell r="A302" t="str">
            <v>Texas A&amp;M-CC</v>
          </cell>
          <cell r="B302">
            <v>-0.89637637393642411</v>
          </cell>
          <cell r="D302" t="e">
            <v>#N/A</v>
          </cell>
          <cell r="E302" t="e">
            <v>#N/A</v>
          </cell>
        </row>
        <row r="303">
          <cell r="A303" t="str">
            <v>UC Riverside</v>
          </cell>
          <cell r="B303">
            <v>-0.90073440090922385</v>
          </cell>
          <cell r="D303" t="e">
            <v>#N/A</v>
          </cell>
          <cell r="E303" t="e">
            <v>#N/A</v>
          </cell>
        </row>
        <row r="304">
          <cell r="A304" t="str">
            <v>Albany</v>
          </cell>
          <cell r="B304">
            <v>-0.92086290887376487</v>
          </cell>
          <cell r="D304" t="e">
            <v>#N/A</v>
          </cell>
          <cell r="E304" t="e">
            <v>#N/A</v>
          </cell>
        </row>
        <row r="305">
          <cell r="A305" t="str">
            <v>The Citadel</v>
          </cell>
          <cell r="B305">
            <v>-0.93098418918878278</v>
          </cell>
          <cell r="D305" t="e">
            <v>#N/A</v>
          </cell>
          <cell r="E305" t="e">
            <v>#N/A</v>
          </cell>
        </row>
        <row r="306">
          <cell r="A306" t="str">
            <v>James Madison</v>
          </cell>
          <cell r="B306">
            <v>-0.93820339075300552</v>
          </cell>
          <cell r="D306" t="e">
            <v>#N/A</v>
          </cell>
          <cell r="E306" t="e">
            <v>#N/A</v>
          </cell>
        </row>
        <row r="307">
          <cell r="A307" t="str">
            <v>North Florida</v>
          </cell>
          <cell r="B307">
            <v>-0.95942381597271109</v>
          </cell>
          <cell r="D307" t="e">
            <v>#N/A</v>
          </cell>
          <cell r="E307" t="e">
            <v>#N/A</v>
          </cell>
        </row>
        <row r="308">
          <cell r="A308" t="str">
            <v>Boston University</v>
          </cell>
          <cell r="B308">
            <v>-0.96123982610687742</v>
          </cell>
          <cell r="D308" t="e">
            <v>#N/A</v>
          </cell>
          <cell r="E308" t="e">
            <v>#N/A</v>
          </cell>
        </row>
        <row r="309">
          <cell r="A309" t="str">
            <v>Fairleigh Dickinson</v>
          </cell>
          <cell r="B309">
            <v>-0.96132574580579355</v>
          </cell>
          <cell r="D309" t="e">
            <v>#N/A</v>
          </cell>
          <cell r="E309" t="e">
            <v>#N/A</v>
          </cell>
        </row>
        <row r="310">
          <cell r="A310" t="str">
            <v>Weber State</v>
          </cell>
          <cell r="B310">
            <v>-0.96381311655414181</v>
          </cell>
          <cell r="D310" t="e">
            <v>#N/A</v>
          </cell>
          <cell r="E310" t="e">
            <v>#N/A</v>
          </cell>
        </row>
        <row r="311">
          <cell r="A311" t="str">
            <v>UT Arlington</v>
          </cell>
          <cell r="B311">
            <v>-0.97136809019651005</v>
          </cell>
          <cell r="D311" t="e">
            <v>#N/A</v>
          </cell>
          <cell r="E311" t="e">
            <v>#N/A</v>
          </cell>
        </row>
        <row r="312">
          <cell r="A312" t="str">
            <v>North Alabama</v>
          </cell>
          <cell r="B312">
            <v>-0.99166992705029555</v>
          </cell>
          <cell r="D312" t="e">
            <v>#N/A</v>
          </cell>
          <cell r="E312" t="e">
            <v>#N/A</v>
          </cell>
        </row>
        <row r="313">
          <cell r="A313" t="str">
            <v>Bucknell</v>
          </cell>
          <cell r="B313">
            <v>-0.99913391116308081</v>
          </cell>
          <cell r="D313" t="e">
            <v>#N/A</v>
          </cell>
          <cell r="E313" t="e">
            <v>#N/A</v>
          </cell>
        </row>
        <row r="314">
          <cell r="A314" t="str">
            <v>Binghamton</v>
          </cell>
          <cell r="B314">
            <v>-1.0106293242979099</v>
          </cell>
          <cell r="D314" t="e">
            <v>#N/A</v>
          </cell>
          <cell r="E314" t="e">
            <v>#N/A</v>
          </cell>
        </row>
        <row r="315">
          <cell r="A315" t="str">
            <v>Georgia Southern</v>
          </cell>
          <cell r="B315">
            <v>-1.0138051672059407</v>
          </cell>
          <cell r="D315" t="e">
            <v>#N/A</v>
          </cell>
          <cell r="E315" t="e">
            <v>#N/A</v>
          </cell>
        </row>
        <row r="316">
          <cell r="A316" t="str">
            <v>South Carolina State</v>
          </cell>
          <cell r="B316">
            <v>-1.0195480426565484</v>
          </cell>
          <cell r="D316" t="e">
            <v>#N/A</v>
          </cell>
          <cell r="E316" t="e">
            <v>#N/A</v>
          </cell>
        </row>
        <row r="317">
          <cell r="A317" t="str">
            <v>Iona</v>
          </cell>
          <cell r="B317">
            <v>-1.0205152991751816</v>
          </cell>
          <cell r="D317" t="e">
            <v>#N/A</v>
          </cell>
          <cell r="E317" t="e">
            <v>#N/A</v>
          </cell>
        </row>
        <row r="318">
          <cell r="A318" t="str">
            <v>Lindenwood</v>
          </cell>
          <cell r="B318">
            <v>-1.0332634174692779</v>
          </cell>
          <cell r="D318" t="e">
            <v>#N/A</v>
          </cell>
          <cell r="E318" t="e">
            <v>#N/A</v>
          </cell>
        </row>
        <row r="319">
          <cell r="A319" t="str">
            <v>Incarnate Word</v>
          </cell>
          <cell r="B319">
            <v>-1.0627423558874147</v>
          </cell>
          <cell r="D319" t="e">
            <v>#N/A</v>
          </cell>
          <cell r="E319" t="e">
            <v>#N/A</v>
          </cell>
        </row>
        <row r="320">
          <cell r="A320" t="str">
            <v>Sacred Heart</v>
          </cell>
          <cell r="B320">
            <v>-1.0648455936931862</v>
          </cell>
          <cell r="D320" t="e">
            <v>#N/A</v>
          </cell>
          <cell r="E320" t="e">
            <v>#N/A</v>
          </cell>
        </row>
        <row r="321">
          <cell r="A321" t="str">
            <v>South Alabama</v>
          </cell>
          <cell r="B321">
            <v>-1.0866399218838438</v>
          </cell>
          <cell r="D321" t="e">
            <v>#N/A</v>
          </cell>
          <cell r="E321" t="e">
            <v>#N/A</v>
          </cell>
        </row>
        <row r="322">
          <cell r="A322" t="str">
            <v>Chicago State</v>
          </cell>
          <cell r="B322">
            <v>-1.0867954097593102</v>
          </cell>
          <cell r="D322" t="e">
            <v>#N/A</v>
          </cell>
          <cell r="E322" t="e">
            <v>#N/A</v>
          </cell>
        </row>
        <row r="323">
          <cell r="A323" t="str">
            <v>Stonehill</v>
          </cell>
          <cell r="B323">
            <v>-1.0969575099560482</v>
          </cell>
          <cell r="D323" t="e">
            <v>#N/A</v>
          </cell>
          <cell r="E323" t="e">
            <v>#N/A</v>
          </cell>
        </row>
        <row r="324">
          <cell r="A324" t="str">
            <v>Northwestern State</v>
          </cell>
          <cell r="B324">
            <v>-1.1224567560720171</v>
          </cell>
          <cell r="D324" t="e">
            <v>#N/A</v>
          </cell>
          <cell r="E324" t="e">
            <v>#N/A</v>
          </cell>
        </row>
        <row r="325">
          <cell r="A325" t="str">
            <v>Northern Illinois</v>
          </cell>
          <cell r="B325">
            <v>-1.1289880682750852</v>
          </cell>
          <cell r="D325" t="e">
            <v>#N/A</v>
          </cell>
          <cell r="E325" t="e">
            <v>#N/A</v>
          </cell>
        </row>
        <row r="326">
          <cell r="A326" t="str">
            <v>Niagara</v>
          </cell>
          <cell r="B326">
            <v>-1.1299646574336322</v>
          </cell>
          <cell r="D326" t="e">
            <v>#N/A</v>
          </cell>
          <cell r="E326" t="e">
            <v>#N/A</v>
          </cell>
        </row>
        <row r="327">
          <cell r="A327" t="str">
            <v>Eastern Illinois</v>
          </cell>
          <cell r="B327">
            <v>-1.1449326144480814</v>
          </cell>
          <cell r="D327" t="e">
            <v>#N/A</v>
          </cell>
          <cell r="E327" t="e">
            <v>#N/A</v>
          </cell>
        </row>
        <row r="328">
          <cell r="A328" t="str">
            <v>Manhatten</v>
          </cell>
          <cell r="B328">
            <v>-1.1572678152295108</v>
          </cell>
          <cell r="D328" t="e">
            <v>#N/A</v>
          </cell>
          <cell r="E328" t="e">
            <v>#N/A</v>
          </cell>
        </row>
        <row r="329">
          <cell r="A329" t="str">
            <v>Southern</v>
          </cell>
          <cell r="B329">
            <v>-1.176049022204966</v>
          </cell>
          <cell r="D329" t="e">
            <v>#N/A</v>
          </cell>
          <cell r="E329" t="e">
            <v>#N/A</v>
          </cell>
        </row>
        <row r="330">
          <cell r="A330" t="str">
            <v>Coppin State</v>
          </cell>
          <cell r="B330">
            <v>-1.1890348910895296</v>
          </cell>
          <cell r="D330" t="e">
            <v>#N/A</v>
          </cell>
          <cell r="E330" t="e">
            <v>#N/A</v>
          </cell>
        </row>
        <row r="331">
          <cell r="A331" t="str">
            <v>Lafayette</v>
          </cell>
          <cell r="B331">
            <v>-1.1892582703833479</v>
          </cell>
          <cell r="D331" t="e">
            <v>#N/A</v>
          </cell>
          <cell r="E331" t="e">
            <v>#N/A</v>
          </cell>
        </row>
        <row r="332">
          <cell r="A332" t="str">
            <v>Alabama A&amp;M</v>
          </cell>
          <cell r="B332">
            <v>-1.2108184258958117</v>
          </cell>
          <cell r="D332" t="e">
            <v>#N/A</v>
          </cell>
          <cell r="E332" t="e">
            <v>#N/A</v>
          </cell>
        </row>
        <row r="333">
          <cell r="A333" t="str">
            <v>Holy Cross</v>
          </cell>
          <cell r="B333">
            <v>-1.2139769863509082</v>
          </cell>
          <cell r="D333" t="e">
            <v>#N/A</v>
          </cell>
          <cell r="E333" t="e">
            <v>#N/A</v>
          </cell>
        </row>
        <row r="334">
          <cell r="A334" t="str">
            <v>North Carolina A&amp;T</v>
          </cell>
          <cell r="B334">
            <v>-1.2253057491506452</v>
          </cell>
          <cell r="D334" t="e">
            <v>#N/A</v>
          </cell>
          <cell r="E334" t="e">
            <v>#N/A</v>
          </cell>
        </row>
        <row r="335">
          <cell r="A335" t="str">
            <v>CSU Northridge</v>
          </cell>
          <cell r="B335">
            <v>-1.2350484605573153</v>
          </cell>
          <cell r="D335" t="e">
            <v>#N/A</v>
          </cell>
          <cell r="E335" t="e">
            <v>#N/A</v>
          </cell>
        </row>
        <row r="336">
          <cell r="A336" t="str">
            <v>Alcorn State</v>
          </cell>
          <cell r="B336">
            <v>-1.2393253262405877</v>
          </cell>
          <cell r="D336" t="e">
            <v>#N/A</v>
          </cell>
          <cell r="E336" t="e">
            <v>#N/A</v>
          </cell>
        </row>
        <row r="337">
          <cell r="A337" t="str">
            <v>Prairie View A&amp;M</v>
          </cell>
          <cell r="B337">
            <v>-1.2427101390671389</v>
          </cell>
          <cell r="D337" t="e">
            <v>#N/A</v>
          </cell>
          <cell r="E337" t="e">
            <v>#N/A</v>
          </cell>
        </row>
        <row r="338">
          <cell r="A338" t="str">
            <v>CSU Bakersfield</v>
          </cell>
          <cell r="B338">
            <v>-1.2487787134398867</v>
          </cell>
          <cell r="D338" t="e">
            <v>#N/A</v>
          </cell>
          <cell r="E338" t="e">
            <v>#N/A</v>
          </cell>
        </row>
        <row r="339">
          <cell r="A339" t="str">
            <v>South Carolina Upstate</v>
          </cell>
          <cell r="B339">
            <v>-1.2695882295457865</v>
          </cell>
          <cell r="D339" t="e">
            <v>#N/A</v>
          </cell>
          <cell r="E339" t="e">
            <v>#N/A</v>
          </cell>
        </row>
        <row r="340">
          <cell r="A340" t="str">
            <v>Campbell</v>
          </cell>
          <cell r="B340">
            <v>-1.291967307998287</v>
          </cell>
          <cell r="D340" t="e">
            <v>#N/A</v>
          </cell>
          <cell r="E340" t="e">
            <v>#N/A</v>
          </cell>
        </row>
        <row r="341">
          <cell r="A341" t="str">
            <v>Gardner-Webb</v>
          </cell>
          <cell r="B341">
            <v>-1.2931756047336269</v>
          </cell>
          <cell r="D341" t="e">
            <v>#N/A</v>
          </cell>
          <cell r="E341" t="e">
            <v>#N/A</v>
          </cell>
        </row>
        <row r="342">
          <cell r="A342" t="str">
            <v>UMBC</v>
          </cell>
          <cell r="B342">
            <v>-1.3200123787539264</v>
          </cell>
          <cell r="D342" t="e">
            <v>#N/A</v>
          </cell>
          <cell r="E342" t="e">
            <v>#N/A</v>
          </cell>
        </row>
        <row r="343">
          <cell r="A343" t="str">
            <v>Wagner</v>
          </cell>
          <cell r="B343">
            <v>-1.33603890398007</v>
          </cell>
          <cell r="D343" t="e">
            <v>#N/A</v>
          </cell>
          <cell r="E343" t="e">
            <v>#N/A</v>
          </cell>
        </row>
        <row r="344">
          <cell r="A344" t="str">
            <v>Air Force</v>
          </cell>
          <cell r="B344">
            <v>-1.3782233605796097</v>
          </cell>
          <cell r="D344" t="e">
            <v>#N/A</v>
          </cell>
          <cell r="E344" t="e">
            <v>#N/A</v>
          </cell>
        </row>
        <row r="345">
          <cell r="A345" t="str">
            <v>Jackson State</v>
          </cell>
          <cell r="B345">
            <v>-1.3796980619798893</v>
          </cell>
          <cell r="D345" t="e">
            <v>#N/A</v>
          </cell>
          <cell r="E345" t="e">
            <v>#N/A</v>
          </cell>
        </row>
        <row r="346">
          <cell r="A346" t="str">
            <v>Louisiana Tech</v>
          </cell>
          <cell r="B346">
            <v>-1.4247976923042951</v>
          </cell>
          <cell r="D346" t="e">
            <v>#N/A</v>
          </cell>
          <cell r="E346" t="e">
            <v>#N/A</v>
          </cell>
        </row>
        <row r="347">
          <cell r="A347" t="str">
            <v>Grambling</v>
          </cell>
          <cell r="B347">
            <v>-1.4381257695506642</v>
          </cell>
          <cell r="D347" t="e">
            <v>#N/A</v>
          </cell>
          <cell r="E347" t="e">
            <v>#N/A</v>
          </cell>
        </row>
        <row r="348">
          <cell r="A348" t="str">
            <v>Rider</v>
          </cell>
          <cell r="B348">
            <v>-1.4398810244946634</v>
          </cell>
          <cell r="D348" t="e">
            <v>#N/A</v>
          </cell>
          <cell r="E348" t="e">
            <v>#N/A</v>
          </cell>
        </row>
        <row r="349">
          <cell r="A349" t="str">
            <v>Delaware State</v>
          </cell>
          <cell r="B349">
            <v>-1.4615733942430449</v>
          </cell>
          <cell r="D349" t="e">
            <v>#N/A</v>
          </cell>
          <cell r="E349" t="e">
            <v>#N/A</v>
          </cell>
        </row>
        <row r="350">
          <cell r="A350" t="str">
            <v>Florida A&amp;M</v>
          </cell>
          <cell r="B350">
            <v>-1.4911640009957752</v>
          </cell>
          <cell r="D350" t="e">
            <v>#N/A</v>
          </cell>
          <cell r="E350" t="e">
            <v>#N/A</v>
          </cell>
        </row>
        <row r="351">
          <cell r="A351" t="str">
            <v>Norfolk State</v>
          </cell>
          <cell r="B351">
            <v>-1.5265219368852272</v>
          </cell>
          <cell r="D351" t="e">
            <v>#N/A</v>
          </cell>
          <cell r="E351" t="e">
            <v>#N/A</v>
          </cell>
        </row>
        <row r="352">
          <cell r="A352" t="str">
            <v>Western Illinois</v>
          </cell>
          <cell r="B352">
            <v>-1.5620889465771406</v>
          </cell>
          <cell r="D352" t="e">
            <v>#N/A</v>
          </cell>
          <cell r="E352" t="e">
            <v>#N/A</v>
          </cell>
        </row>
        <row r="353">
          <cell r="A353" t="str">
            <v>Canisius</v>
          </cell>
          <cell r="B353">
            <v>-1.5660619549077022</v>
          </cell>
          <cell r="D353" t="e">
            <v>#N/A</v>
          </cell>
          <cell r="E353" t="e">
            <v>#N/A</v>
          </cell>
        </row>
        <row r="354">
          <cell r="A354" t="str">
            <v>North Carolina Central</v>
          </cell>
          <cell r="B354">
            <v>-1.5855925668468152</v>
          </cell>
          <cell r="D354" t="e">
            <v>#N/A</v>
          </cell>
          <cell r="E354" t="e">
            <v>#N/A</v>
          </cell>
        </row>
        <row r="355">
          <cell r="A355" t="str">
            <v>Morehead State</v>
          </cell>
          <cell r="B355">
            <v>-1.6490146872265246</v>
          </cell>
          <cell r="D355" t="e">
            <v>#N/A</v>
          </cell>
          <cell r="E355" t="e">
            <v>#N/A</v>
          </cell>
        </row>
        <row r="356">
          <cell r="A356" t="str">
            <v>Texas Southern</v>
          </cell>
          <cell r="B356">
            <v>-1.6727835783591247</v>
          </cell>
          <cell r="D356" t="e">
            <v>#N/A</v>
          </cell>
          <cell r="E356" t="e">
            <v>#N/A</v>
          </cell>
        </row>
        <row r="357">
          <cell r="A357" t="str">
            <v>Morgan State</v>
          </cell>
          <cell r="B357">
            <v>-1.6758471842507332</v>
          </cell>
          <cell r="D357" t="e">
            <v>#N/A</v>
          </cell>
          <cell r="E357" t="e">
            <v>#N/A</v>
          </cell>
        </row>
        <row r="358">
          <cell r="A358" t="str">
            <v>Maine</v>
          </cell>
          <cell r="B358">
            <v>-1.694118425863933</v>
          </cell>
          <cell r="D358" t="e">
            <v>#N/A</v>
          </cell>
          <cell r="E358" t="e">
            <v>#N/A</v>
          </cell>
        </row>
        <row r="359">
          <cell r="A359" t="str">
            <v>Siena</v>
          </cell>
          <cell r="B359">
            <v>-1.7297818243228908</v>
          </cell>
          <cell r="D359" t="e">
            <v>#N/A</v>
          </cell>
          <cell r="E359" t="e">
            <v>#N/A</v>
          </cell>
        </row>
        <row r="360">
          <cell r="A360" t="str">
            <v>Idaho State</v>
          </cell>
          <cell r="B360">
            <v>-1.7345924200181777</v>
          </cell>
          <cell r="D360" t="e">
            <v>#N/A</v>
          </cell>
          <cell r="E360" t="e">
            <v>#N/A</v>
          </cell>
        </row>
        <row r="361">
          <cell r="A361" t="str">
            <v>UL Monroe</v>
          </cell>
          <cell r="B361">
            <v>-1.7375920604950263</v>
          </cell>
          <cell r="D361" t="e">
            <v>#N/A</v>
          </cell>
          <cell r="E361" t="e">
            <v>#N/A</v>
          </cell>
        </row>
        <row r="362">
          <cell r="A362" t="str">
            <v>Alabama State</v>
          </cell>
          <cell r="B362">
            <v>-1.8583883793088116</v>
          </cell>
          <cell r="D362" t="e">
            <v>#N/A</v>
          </cell>
          <cell r="E362" t="e">
            <v>#N/A</v>
          </cell>
        </row>
        <row r="363">
          <cell r="A363" t="str">
            <v>Mississippi Valley State</v>
          </cell>
          <cell r="B363">
            <v>-1.8816656848738484</v>
          </cell>
          <cell r="D363" t="e">
            <v>#N/A</v>
          </cell>
          <cell r="E363" t="e">
            <v>#N/A</v>
          </cell>
        </row>
        <row r="364">
          <cell r="A364" t="str">
            <v>Arkansas-Pine Bluff</v>
          </cell>
          <cell r="B364">
            <v>-2.016002833251465</v>
          </cell>
          <cell r="D364" t="e">
            <v>#N/A</v>
          </cell>
          <cell r="E364" t="e">
            <v>#N/A</v>
          </cell>
        </row>
        <row r="365">
          <cell r="A365" t="str">
            <v>Maryland-Eastern Shore</v>
          </cell>
          <cell r="B365">
            <v>-2.0825706611942971</v>
          </cell>
          <cell r="D365" t="e">
            <v>#N/A</v>
          </cell>
          <cell r="E365" t="e">
            <v>#N/A</v>
          </cell>
        </row>
        <row r="366">
          <cell r="A366" t="str">
            <v>West Florida</v>
          </cell>
          <cell r="B366">
            <v>-2.4554311483832523</v>
          </cell>
          <cell r="D366" t="e">
            <v>#N/A</v>
          </cell>
          <cell r="E36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118F-D7F3-5348-BECB-A41992F5CAD2}">
  <dimension ref="A1:M37"/>
  <sheetViews>
    <sheetView tabSelected="1" workbookViewId="0">
      <selection activeCell="B6" sqref="B6"/>
    </sheetView>
  </sheetViews>
  <sheetFormatPr baseColWidth="10" defaultRowHeight="16" x14ac:dyDescent="0.2"/>
  <cols>
    <col min="1" max="1" width="10.83203125" style="1"/>
    <col min="2" max="2" width="17" style="1" bestFit="1" customWidth="1"/>
    <col min="3" max="3" width="13.33203125" style="1" bestFit="1" customWidth="1"/>
    <col min="4" max="4" width="13.33203125" style="1" customWidth="1"/>
    <col min="5" max="5" width="6.6640625" style="1" bestFit="1" customWidth="1"/>
    <col min="6" max="6" width="12.83203125" style="1" bestFit="1" customWidth="1"/>
    <col min="7" max="7" width="15.5" style="1" bestFit="1" customWidth="1"/>
    <col min="8" max="12" width="10.83203125" style="1"/>
  </cols>
  <sheetData>
    <row r="1" spans="1:13" x14ac:dyDescent="0.2">
      <c r="A1" s="1" t="s">
        <v>372</v>
      </c>
      <c r="B1" s="1" t="s">
        <v>0</v>
      </c>
      <c r="C1" s="1" t="s">
        <v>367</v>
      </c>
      <c r="D1" s="1" t="s">
        <v>401</v>
      </c>
      <c r="E1" s="1" t="s">
        <v>368</v>
      </c>
      <c r="F1" s="1" t="s">
        <v>402</v>
      </c>
      <c r="G1" s="1" t="s">
        <v>369</v>
      </c>
      <c r="H1" s="1" t="s">
        <v>370</v>
      </c>
      <c r="I1" s="1" t="s">
        <v>371</v>
      </c>
      <c r="J1" s="1" t="s">
        <v>391</v>
      </c>
      <c r="K1" s="1" t="s">
        <v>405</v>
      </c>
      <c r="L1" s="1" t="s">
        <v>386</v>
      </c>
      <c r="M1" s="1" t="s">
        <v>441</v>
      </c>
    </row>
    <row r="2" spans="1:13" x14ac:dyDescent="0.2">
      <c r="B2" s="6" t="e">
        <f>VLOOKUP(A2,[1]Games!$B$2:$K$398,2,FALSE)</f>
        <v>#N/A</v>
      </c>
      <c r="C2" s="6" t="e">
        <f>VLOOKUP(A2,[1]Games!$B$2:$K$398,3,FALSE)</f>
        <v>#N/A</v>
      </c>
      <c r="D2" s="6" t="e">
        <f>B2</f>
        <v>#N/A</v>
      </c>
      <c r="E2" s="5" t="e">
        <f>VLOOKUP(A2,[1]Games!$B$2:$K$398,4,FALSE)</f>
        <v>#N/A</v>
      </c>
      <c r="F2" s="5" t="e">
        <f>-VLOOKUP(A2,[2]Games!$A$2:$X$282,24,FALSE)</f>
        <v>#N/A</v>
      </c>
      <c r="G2" s="7" t="e">
        <f>VLOOKUP(A2,[1]Games!$B$2:$K$398,9,FALSE)</f>
        <v>#N/A</v>
      </c>
      <c r="H2" s="7" t="e">
        <f>VLOOKUP(A2,[1]Games!$B$2:$K$398,7,FALSE)</f>
        <v>#N/A</v>
      </c>
      <c r="I2" s="7" t="e">
        <f>VLOOKUP(A2,[1]Games!$B$2:$K$398,8,FALSE)/4</f>
        <v>#N/A</v>
      </c>
      <c r="J2" s="8" t="s">
        <v>442</v>
      </c>
      <c r="K2" s="5"/>
      <c r="L2" s="9">
        <f>IF(J2="Yes",(H2*1500)/100,0)</f>
        <v>0</v>
      </c>
      <c r="M2" s="1" t="s">
        <v>442</v>
      </c>
    </row>
    <row r="3" spans="1:13" x14ac:dyDescent="0.2">
      <c r="B3" s="6"/>
      <c r="C3" s="6"/>
      <c r="D3" s="6"/>
      <c r="E3" s="5"/>
      <c r="F3" s="5"/>
      <c r="G3" s="7"/>
      <c r="H3" s="7"/>
      <c r="I3" s="7"/>
      <c r="J3" s="8"/>
      <c r="K3" s="5"/>
      <c r="L3" s="9"/>
    </row>
    <row r="4" spans="1:13" x14ac:dyDescent="0.2">
      <c r="B4" s="6"/>
      <c r="C4" s="6"/>
      <c r="D4" s="6"/>
      <c r="E4" s="5"/>
      <c r="F4" s="5"/>
      <c r="G4" s="7"/>
      <c r="H4" s="7"/>
      <c r="I4" s="7"/>
      <c r="J4" s="8"/>
      <c r="K4" s="5"/>
      <c r="L4" s="9"/>
    </row>
    <row r="5" spans="1:13" x14ac:dyDescent="0.2">
      <c r="B5" s="6"/>
      <c r="C5" s="6"/>
      <c r="D5" s="6"/>
      <c r="E5" s="5"/>
      <c r="F5" s="5"/>
      <c r="G5" s="7"/>
      <c r="H5" s="7"/>
      <c r="I5" s="7"/>
      <c r="J5" s="8"/>
      <c r="K5" s="5"/>
      <c r="L5" s="9"/>
    </row>
    <row r="6" spans="1:13" x14ac:dyDescent="0.2">
      <c r="B6" s="6"/>
      <c r="C6" s="6"/>
      <c r="D6" s="6"/>
      <c r="E6" s="5"/>
      <c r="F6" s="5"/>
      <c r="G6" s="7"/>
      <c r="H6" s="7"/>
      <c r="I6" s="7"/>
      <c r="J6" s="8"/>
      <c r="K6" s="5"/>
      <c r="L6" s="9"/>
    </row>
    <row r="7" spans="1:13" x14ac:dyDescent="0.2">
      <c r="B7" s="6"/>
      <c r="C7" s="6"/>
      <c r="D7" s="6"/>
      <c r="E7" s="5"/>
      <c r="F7" s="5"/>
      <c r="G7" s="7"/>
      <c r="H7" s="7"/>
      <c r="I7" s="7"/>
      <c r="J7" s="8"/>
      <c r="K7" s="5"/>
      <c r="L7" s="9"/>
    </row>
    <row r="8" spans="1:13" x14ac:dyDescent="0.2">
      <c r="B8" s="6"/>
      <c r="C8" s="6"/>
      <c r="D8" s="6"/>
      <c r="E8" s="5"/>
      <c r="F8" s="5"/>
      <c r="G8" s="7"/>
      <c r="H8" s="7"/>
      <c r="I8" s="7"/>
      <c r="J8" s="8"/>
      <c r="K8" s="5"/>
      <c r="L8" s="9"/>
    </row>
    <row r="9" spans="1:13" x14ac:dyDescent="0.2">
      <c r="B9" s="6"/>
      <c r="C9" s="6"/>
      <c r="D9" s="6"/>
      <c r="E9" s="5"/>
      <c r="F9" s="5"/>
      <c r="G9" s="7"/>
      <c r="H9" s="7"/>
      <c r="I9" s="7"/>
      <c r="J9" s="8"/>
      <c r="K9" s="5"/>
      <c r="L9" s="9"/>
    </row>
    <row r="10" spans="1:13" x14ac:dyDescent="0.2">
      <c r="B10" s="6"/>
      <c r="C10" s="6"/>
      <c r="D10" s="6"/>
      <c r="E10" s="5"/>
      <c r="F10" s="5"/>
      <c r="G10" s="7"/>
      <c r="H10" s="7"/>
      <c r="I10" s="7"/>
      <c r="J10" s="8"/>
      <c r="K10" s="5"/>
      <c r="L10" s="9"/>
    </row>
    <row r="11" spans="1:13" x14ac:dyDescent="0.2">
      <c r="B11" s="6"/>
      <c r="C11" s="6"/>
      <c r="D11" s="6"/>
      <c r="E11" s="5"/>
      <c r="F11" s="5"/>
      <c r="G11" s="7"/>
      <c r="H11" s="7"/>
      <c r="I11" s="7"/>
      <c r="J11" s="8"/>
      <c r="K11" s="5"/>
      <c r="L11" s="9"/>
    </row>
    <row r="12" spans="1:13" x14ac:dyDescent="0.2">
      <c r="B12" s="6"/>
      <c r="C12" s="6"/>
      <c r="D12" s="6"/>
      <c r="E12" s="5"/>
      <c r="F12" s="5"/>
      <c r="G12" s="7"/>
      <c r="H12" s="7"/>
      <c r="I12" s="7"/>
      <c r="J12" s="8"/>
      <c r="K12" s="5"/>
      <c r="L12" s="9"/>
    </row>
    <row r="13" spans="1:13" x14ac:dyDescent="0.2">
      <c r="B13" s="6"/>
      <c r="C13" s="6"/>
      <c r="D13" s="6"/>
      <c r="E13" s="5"/>
      <c r="F13" s="5"/>
      <c r="G13" s="7"/>
      <c r="H13" s="7"/>
      <c r="I13" s="7"/>
      <c r="J13" s="8"/>
      <c r="K13" s="5"/>
      <c r="L13" s="9"/>
    </row>
    <row r="14" spans="1:13" x14ac:dyDescent="0.2">
      <c r="B14" s="6"/>
      <c r="C14" s="6"/>
      <c r="D14" s="6"/>
      <c r="E14" s="5"/>
      <c r="F14" s="5"/>
      <c r="G14" s="7"/>
      <c r="H14" s="7"/>
      <c r="I14" s="7"/>
      <c r="J14" s="8"/>
      <c r="K14" s="5"/>
      <c r="L14" s="9"/>
    </row>
    <row r="15" spans="1:13" x14ac:dyDescent="0.2">
      <c r="B15" s="6"/>
      <c r="C15" s="6"/>
      <c r="D15" s="6"/>
      <c r="E15" s="5"/>
      <c r="F15" s="5"/>
      <c r="G15" s="7"/>
      <c r="H15" s="7"/>
      <c r="I15" s="7"/>
      <c r="J15" s="8"/>
      <c r="K15" s="5"/>
      <c r="L15" s="9"/>
    </row>
    <row r="16" spans="1:13" x14ac:dyDescent="0.2">
      <c r="B16" s="6"/>
      <c r="C16" s="6"/>
      <c r="D16" s="6"/>
      <c r="E16" s="5"/>
      <c r="F16" s="5"/>
      <c r="G16" s="7"/>
      <c r="H16" s="7"/>
      <c r="I16" s="7"/>
      <c r="J16" s="8"/>
      <c r="K16" s="5"/>
      <c r="L16" s="9"/>
    </row>
    <row r="17" spans="2:12" x14ac:dyDescent="0.2">
      <c r="B17" s="6"/>
      <c r="C17" s="6"/>
      <c r="D17" s="6"/>
      <c r="E17" s="5"/>
      <c r="F17" s="5"/>
      <c r="G17" s="7"/>
      <c r="H17" s="7"/>
      <c r="I17" s="7"/>
      <c r="J17" s="8"/>
      <c r="K17" s="5"/>
      <c r="L17" s="9"/>
    </row>
    <row r="18" spans="2:12" x14ac:dyDescent="0.2">
      <c r="B18" s="6"/>
      <c r="C18" s="6"/>
      <c r="D18" s="6"/>
      <c r="E18" s="5"/>
      <c r="F18" s="5"/>
      <c r="G18" s="7"/>
      <c r="H18" s="7"/>
      <c r="I18" s="7"/>
      <c r="J18" s="8"/>
      <c r="K18" s="5"/>
      <c r="L18" s="9"/>
    </row>
    <row r="19" spans="2:12" x14ac:dyDescent="0.2">
      <c r="B19" s="6"/>
      <c r="C19" s="6"/>
      <c r="D19" s="6"/>
      <c r="E19" s="5"/>
      <c r="F19" s="5"/>
      <c r="G19" s="7"/>
      <c r="H19" s="7"/>
      <c r="I19" s="7"/>
      <c r="J19" s="8"/>
      <c r="K19" s="5"/>
      <c r="L19" s="9"/>
    </row>
    <row r="20" spans="2:12" x14ac:dyDescent="0.2">
      <c r="B20" s="6"/>
      <c r="C20" s="6"/>
      <c r="D20" s="6"/>
      <c r="E20" s="5"/>
      <c r="F20" s="5"/>
      <c r="G20" s="7"/>
      <c r="H20" s="7"/>
      <c r="I20" s="7"/>
      <c r="J20" s="8"/>
      <c r="K20" s="5"/>
      <c r="L20" s="9"/>
    </row>
    <row r="21" spans="2:12" x14ac:dyDescent="0.2">
      <c r="B21" s="6"/>
      <c r="C21" s="6"/>
      <c r="D21" s="6"/>
      <c r="E21" s="5"/>
      <c r="F21" s="5"/>
      <c r="G21" s="7"/>
      <c r="H21" s="7"/>
      <c r="I21" s="7"/>
      <c r="J21" s="8"/>
      <c r="K21" s="5"/>
      <c r="L21" s="9"/>
    </row>
    <row r="22" spans="2:12" x14ac:dyDescent="0.2">
      <c r="B22" s="6"/>
      <c r="C22" s="6"/>
      <c r="D22" s="6"/>
      <c r="E22" s="5"/>
      <c r="F22" s="5"/>
      <c r="G22" s="7"/>
      <c r="H22" s="7"/>
      <c r="I22" s="7"/>
      <c r="J22" s="8"/>
      <c r="K22" s="5"/>
      <c r="L22" s="9"/>
    </row>
    <row r="23" spans="2:12" x14ac:dyDescent="0.2">
      <c r="B23" s="6"/>
      <c r="C23" s="6"/>
      <c r="D23" s="6"/>
      <c r="E23" s="5"/>
      <c r="F23" s="5"/>
      <c r="G23" s="7"/>
      <c r="H23" s="7"/>
      <c r="I23" s="7"/>
      <c r="J23" s="8"/>
      <c r="K23" s="5"/>
      <c r="L23" s="9"/>
    </row>
    <row r="24" spans="2:12" x14ac:dyDescent="0.2">
      <c r="B24" s="6"/>
      <c r="C24" s="6"/>
      <c r="D24" s="6"/>
      <c r="E24" s="5"/>
      <c r="F24" s="5"/>
      <c r="G24" s="7"/>
      <c r="H24" s="7"/>
      <c r="I24" s="7"/>
      <c r="J24" s="8"/>
      <c r="K24" s="5"/>
      <c r="L24" s="9"/>
    </row>
    <row r="25" spans="2:12" x14ac:dyDescent="0.2">
      <c r="B25" s="6"/>
      <c r="C25" s="6"/>
      <c r="D25" s="6"/>
      <c r="E25" s="5"/>
      <c r="F25" s="5"/>
      <c r="G25" s="7"/>
      <c r="H25" s="7"/>
      <c r="I25" s="7"/>
      <c r="J25" s="8"/>
      <c r="K25" s="5"/>
      <c r="L25" s="9"/>
    </row>
    <row r="26" spans="2:12" x14ac:dyDescent="0.2">
      <c r="B26" s="6"/>
      <c r="C26" s="6"/>
      <c r="D26" s="6"/>
      <c r="E26" s="5"/>
      <c r="F26" s="5"/>
      <c r="G26" s="7"/>
      <c r="H26" s="7"/>
      <c r="I26" s="7"/>
      <c r="J26" s="8"/>
      <c r="K26" s="5"/>
      <c r="L26" s="9"/>
    </row>
    <row r="27" spans="2:12" x14ac:dyDescent="0.2">
      <c r="B27" s="6"/>
      <c r="C27" s="6"/>
      <c r="D27" s="6"/>
      <c r="E27" s="5"/>
      <c r="F27" s="5"/>
      <c r="G27" s="7"/>
      <c r="H27" s="7"/>
      <c r="I27" s="7"/>
      <c r="J27" s="8"/>
      <c r="K27" s="5"/>
      <c r="L27" s="9"/>
    </row>
    <row r="28" spans="2:12" x14ac:dyDescent="0.2">
      <c r="B28" s="6"/>
      <c r="C28" s="6"/>
      <c r="D28" s="6"/>
      <c r="E28" s="5"/>
      <c r="F28" s="5"/>
      <c r="G28" s="7"/>
      <c r="H28" s="7"/>
      <c r="I28" s="7"/>
      <c r="J28" s="8"/>
      <c r="K28" s="5"/>
      <c r="L28" s="9"/>
    </row>
    <row r="29" spans="2:12" x14ac:dyDescent="0.2">
      <c r="B29" s="6"/>
      <c r="C29" s="6"/>
      <c r="D29" s="6"/>
      <c r="E29" s="5"/>
      <c r="F29" s="5"/>
      <c r="G29" s="7"/>
      <c r="H29" s="7"/>
      <c r="I29" s="7"/>
      <c r="J29" s="8"/>
      <c r="K29" s="5"/>
      <c r="L29" s="9"/>
    </row>
    <row r="30" spans="2:12" x14ac:dyDescent="0.2">
      <c r="B30" s="6"/>
      <c r="C30" s="6"/>
      <c r="D30" s="6"/>
      <c r="E30" s="5"/>
      <c r="F30" s="5"/>
      <c r="G30" s="7"/>
      <c r="H30" s="7"/>
      <c r="I30" s="7"/>
      <c r="J30" s="8"/>
      <c r="K30" s="5"/>
      <c r="L30" s="9"/>
    </row>
    <row r="31" spans="2:12" x14ac:dyDescent="0.2">
      <c r="B31" s="6"/>
      <c r="C31" s="6"/>
      <c r="D31" s="6"/>
      <c r="E31" s="5"/>
      <c r="F31" s="5"/>
      <c r="G31" s="7"/>
      <c r="H31" s="7"/>
      <c r="I31" s="7"/>
      <c r="J31" s="8"/>
      <c r="K31" s="5"/>
      <c r="L31" s="9"/>
    </row>
    <row r="32" spans="2:12" x14ac:dyDescent="0.2">
      <c r="B32" s="6"/>
      <c r="C32" s="6"/>
      <c r="D32" s="6"/>
      <c r="E32" s="5"/>
      <c r="F32" s="5"/>
      <c r="G32" s="7"/>
      <c r="H32" s="7"/>
      <c r="I32" s="7"/>
      <c r="J32" s="8"/>
      <c r="K32" s="5"/>
      <c r="L32" s="9"/>
    </row>
    <row r="33" spans="2:12" x14ac:dyDescent="0.2">
      <c r="B33" s="6"/>
      <c r="C33" s="6"/>
      <c r="D33" s="6"/>
      <c r="E33" s="5"/>
      <c r="F33" s="5"/>
      <c r="G33" s="7"/>
      <c r="H33" s="7"/>
      <c r="I33" s="7"/>
      <c r="J33" s="8"/>
      <c r="K33" s="5"/>
      <c r="L33" s="9"/>
    </row>
    <row r="34" spans="2:12" x14ac:dyDescent="0.2">
      <c r="B34" s="6"/>
      <c r="C34" s="6"/>
      <c r="D34" s="6"/>
      <c r="E34" s="5"/>
      <c r="F34" s="5"/>
      <c r="G34" s="7"/>
      <c r="H34" s="7"/>
      <c r="I34" s="7"/>
      <c r="J34" s="8"/>
      <c r="K34" s="5"/>
      <c r="L34" s="9"/>
    </row>
    <row r="35" spans="2:12" x14ac:dyDescent="0.2">
      <c r="B35" s="6"/>
      <c r="C35" s="6"/>
      <c r="D35" s="6"/>
      <c r="E35" s="5"/>
      <c r="F35" s="5"/>
      <c r="G35" s="7"/>
      <c r="H35" s="7"/>
      <c r="I35" s="7"/>
      <c r="J35" s="8"/>
      <c r="K35" s="5"/>
      <c r="L35" s="9"/>
    </row>
    <row r="36" spans="2:12" x14ac:dyDescent="0.2">
      <c r="B36" s="6"/>
      <c r="C36" s="6"/>
      <c r="D36" s="6"/>
      <c r="E36" s="5"/>
      <c r="F36" s="5"/>
      <c r="G36" s="7"/>
      <c r="H36" s="7"/>
      <c r="I36" s="7"/>
      <c r="J36" s="8"/>
      <c r="K36" s="5"/>
      <c r="L36" s="9"/>
    </row>
    <row r="37" spans="2:12" x14ac:dyDescent="0.2">
      <c r="B37" s="6"/>
      <c r="C37" s="6"/>
      <c r="D37" s="6"/>
      <c r="E37" s="5"/>
      <c r="F37" s="5"/>
      <c r="G37" s="7"/>
      <c r="H37" s="7"/>
      <c r="I37" s="7"/>
      <c r="J37" s="8"/>
      <c r="K37" s="5"/>
      <c r="L3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54F4-77C8-5D43-B0D7-0D09062FB370}">
  <dimension ref="A1:P35"/>
  <sheetViews>
    <sheetView workbookViewId="0">
      <selection activeCell="C37" sqref="C37"/>
    </sheetView>
  </sheetViews>
  <sheetFormatPr baseColWidth="10" defaultRowHeight="16" x14ac:dyDescent="0.2"/>
  <cols>
    <col min="1" max="2" width="10.83203125" style="1"/>
    <col min="3" max="3" width="13" style="1" bestFit="1" customWidth="1"/>
    <col min="4" max="4" width="13" style="1" customWidth="1"/>
    <col min="5" max="5" width="11.1640625" style="1" bestFit="1" customWidth="1"/>
    <col min="6" max="6" width="12.33203125" bestFit="1" customWidth="1"/>
    <col min="10" max="10" width="12.33203125" bestFit="1" customWidth="1"/>
    <col min="11" max="11" width="12.33203125" customWidth="1"/>
    <col min="12" max="12" width="11.5" bestFit="1" customWidth="1"/>
    <col min="13" max="13" width="11.6640625" bestFit="1" customWidth="1"/>
    <col min="14" max="14" width="11.6640625" customWidth="1"/>
  </cols>
  <sheetData>
    <row r="1" spans="1:16" x14ac:dyDescent="0.2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393</v>
      </c>
      <c r="F1" s="1" t="s">
        <v>394</v>
      </c>
      <c r="G1" s="1"/>
    </row>
    <row r="2" spans="1:16" x14ac:dyDescent="0.2">
      <c r="A2" s="1">
        <f>COUNTIF($C$6:$C$150,"W")</f>
        <v>14</v>
      </c>
      <c r="B2" s="1">
        <f>COUNTIF($C$6:$C$150,"L")</f>
        <v>9</v>
      </c>
      <c r="C2" s="12">
        <f>SUM(F6:F28)/SUM(E6:E28)</f>
        <v>0.1354484843874442</v>
      </c>
      <c r="D2" s="13">
        <f>AVERAGE(H6:H150)</f>
        <v>2.1875961833042315E-2</v>
      </c>
      <c r="E2" s="1">
        <f ca="1">COUNTIF(OFFSET($C$6,COUNTA($C$6:$C$1500)-10,0,10,1),"W")</f>
        <v>8</v>
      </c>
      <c r="F2" s="1">
        <f ca="1">COUNTIF(OFFSET($C$6,COUNTA($C$6:$C$1500)-10,0,10,1),"L")</f>
        <v>2</v>
      </c>
    </row>
    <row r="5" spans="1:16" x14ac:dyDescent="0.2">
      <c r="A5" s="1" t="s">
        <v>392</v>
      </c>
      <c r="B5" s="1" t="s">
        <v>395</v>
      </c>
      <c r="C5" s="1" t="s">
        <v>396</v>
      </c>
      <c r="D5" s="1" t="s">
        <v>428</v>
      </c>
      <c r="E5" s="1" t="s">
        <v>400</v>
      </c>
      <c r="F5" s="1" t="s">
        <v>399</v>
      </c>
      <c r="G5" s="1" t="s">
        <v>398</v>
      </c>
      <c r="H5" s="1" t="s">
        <v>390</v>
      </c>
      <c r="I5" s="1" t="s">
        <v>397</v>
      </c>
      <c r="J5" s="1" t="s">
        <v>413</v>
      </c>
      <c r="K5" s="1" t="s">
        <v>421</v>
      </c>
      <c r="L5" s="1" t="s">
        <v>419</v>
      </c>
      <c r="M5" s="1" t="s">
        <v>420</v>
      </c>
      <c r="N5" s="1" t="s">
        <v>417</v>
      </c>
      <c r="O5" s="1" t="s">
        <v>419</v>
      </c>
      <c r="P5" s="1" t="s">
        <v>418</v>
      </c>
    </row>
    <row r="6" spans="1:16" x14ac:dyDescent="0.2">
      <c r="A6" s="1" t="s">
        <v>422</v>
      </c>
      <c r="B6" s="1">
        <v>1</v>
      </c>
      <c r="C6" s="1" t="s">
        <v>388</v>
      </c>
      <c r="D6" s="1" t="s">
        <v>435</v>
      </c>
      <c r="E6" s="1">
        <v>0.94499999999999995</v>
      </c>
      <c r="F6" s="14">
        <f>IF(C6="P",0,IF(C6="L",-E6,IF(K6&lt;0,E6*(100/-K6),E6*(K6/100)))/1)</f>
        <v>-0.94499999999999995</v>
      </c>
      <c r="G6" s="14">
        <f>F6</f>
        <v>-0.94499999999999995</v>
      </c>
      <c r="H6" s="10">
        <f t="shared" ref="H6:H12" si="0">((M6-P6)*3.55%)+(O6-L6)</f>
        <v>-1.9985536081552357E-2</v>
      </c>
      <c r="I6" s="10">
        <f>H6</f>
        <v>-1.9985536081552357E-2</v>
      </c>
      <c r="J6" s="1" t="s">
        <v>414</v>
      </c>
      <c r="K6" s="1">
        <v>-112</v>
      </c>
      <c r="L6" s="12">
        <f t="shared" ref="L6:L16" si="1">IF(K6&lt;0,K6/(K6-100),100/(K6+100))</f>
        <v>0.52830188679245282</v>
      </c>
      <c r="M6" s="1">
        <v>-14.5</v>
      </c>
      <c r="N6" s="1">
        <v>-111</v>
      </c>
      <c r="O6" s="12">
        <f t="shared" ref="O6:O16" si="2">IF(N6&lt;0,N6/(N6-100),100/(N6+100))</f>
        <v>0.52606635071090047</v>
      </c>
      <c r="P6" s="1">
        <v>-14</v>
      </c>
    </row>
    <row r="7" spans="1:16" x14ac:dyDescent="0.2">
      <c r="A7" s="1" t="s">
        <v>423</v>
      </c>
      <c r="B7" s="1">
        <f>B6+1</f>
        <v>2</v>
      </c>
      <c r="C7" s="1" t="s">
        <v>388</v>
      </c>
      <c r="D7" s="1" t="s">
        <v>434</v>
      </c>
      <c r="E7" s="1">
        <v>0.68979999999999997</v>
      </c>
      <c r="F7" s="14">
        <f t="shared" ref="F7:F12" si="3">IF(C7="P",0,IF(C7="L",-E7,IF(K7&lt;0,E7*(100/-K7),E7*(K7/100)))/1)</f>
        <v>-0.68979999999999997</v>
      </c>
      <c r="G7" s="14">
        <f>F7+G6</f>
        <v>-1.6347999999999998</v>
      </c>
      <c r="H7" s="10">
        <f t="shared" si="0"/>
        <v>5.3772693633062259E-3</v>
      </c>
      <c r="I7" s="10">
        <f>AVERAGE($H$6:H7)</f>
        <v>-7.3041333591230655E-3</v>
      </c>
      <c r="J7" s="1" t="s">
        <v>414</v>
      </c>
      <c r="K7" s="1">
        <v>-103</v>
      </c>
      <c r="L7" s="12">
        <f t="shared" si="1"/>
        <v>0.5073891625615764</v>
      </c>
      <c r="M7" s="1">
        <v>3</v>
      </c>
      <c r="N7" s="1">
        <v>-113</v>
      </c>
      <c r="O7" s="12">
        <f t="shared" si="2"/>
        <v>0.53051643192488263</v>
      </c>
      <c r="P7" s="1">
        <v>3.5</v>
      </c>
    </row>
    <row r="8" spans="1:16" x14ac:dyDescent="0.2">
      <c r="A8" s="1" t="s">
        <v>424</v>
      </c>
      <c r="B8" s="1">
        <f t="shared" ref="B8:B28" si="4">B7+1</f>
        <v>3</v>
      </c>
      <c r="C8" s="1" t="s">
        <v>387</v>
      </c>
      <c r="D8" s="1" t="s">
        <v>433</v>
      </c>
      <c r="E8" s="1">
        <v>0.74019999999999997</v>
      </c>
      <c r="F8" s="14">
        <f t="shared" si="3"/>
        <v>0.6729090909090909</v>
      </c>
      <c r="G8" s="14">
        <f>F8+G7</f>
        <v>-0.96189090909090891</v>
      </c>
      <c r="H8" s="10">
        <f t="shared" si="0"/>
        <v>0.10782963875205255</v>
      </c>
      <c r="I8" s="10">
        <f>AVERAGE($H$6:H8)</f>
        <v>3.1073790677935476E-2</v>
      </c>
      <c r="J8" s="1" t="s">
        <v>414</v>
      </c>
      <c r="K8" s="1">
        <v>-110</v>
      </c>
      <c r="L8" s="12">
        <f t="shared" si="1"/>
        <v>0.52380952380952384</v>
      </c>
      <c r="M8" s="1">
        <v>2.5</v>
      </c>
      <c r="N8" s="1">
        <v>-103</v>
      </c>
      <c r="O8" s="12">
        <f t="shared" si="2"/>
        <v>0.5073891625615764</v>
      </c>
      <c r="P8" s="1">
        <v>-1</v>
      </c>
    </row>
    <row r="9" spans="1:16" x14ac:dyDescent="0.2">
      <c r="A9" s="1" t="s">
        <v>425</v>
      </c>
      <c r="B9" s="1">
        <f t="shared" si="4"/>
        <v>4</v>
      </c>
      <c r="C9" s="1" t="s">
        <v>387</v>
      </c>
      <c r="D9" s="1" t="s">
        <v>432</v>
      </c>
      <c r="E9" s="1">
        <v>0.67900000000000005</v>
      </c>
      <c r="F9" s="14">
        <f t="shared" si="3"/>
        <v>0.61727272727272731</v>
      </c>
      <c r="G9" s="14">
        <f>F9+G8</f>
        <v>-0.3446181818181816</v>
      </c>
      <c r="H9" s="10">
        <f t="shared" si="0"/>
        <v>8.5035829865926608E-3</v>
      </c>
      <c r="I9" s="10">
        <f>AVERAGE($H$6:H9)</f>
        <v>2.5431238755099773E-2</v>
      </c>
      <c r="J9" s="1" t="s">
        <v>414</v>
      </c>
      <c r="K9" s="1">
        <v>-110</v>
      </c>
      <c r="L9" s="12">
        <f t="shared" si="1"/>
        <v>0.52380952380952384</v>
      </c>
      <c r="M9" s="1">
        <v>4.5</v>
      </c>
      <c r="N9" s="1">
        <v>-106</v>
      </c>
      <c r="O9" s="12">
        <f t="shared" si="2"/>
        <v>0.5145631067961165</v>
      </c>
      <c r="P9" s="1">
        <v>4</v>
      </c>
    </row>
    <row r="10" spans="1:16" x14ac:dyDescent="0.2">
      <c r="A10" s="1" t="s">
        <v>426</v>
      </c>
      <c r="B10" s="1">
        <f t="shared" si="4"/>
        <v>5</v>
      </c>
      <c r="C10" s="1" t="s">
        <v>388</v>
      </c>
      <c r="D10" s="1" t="s">
        <v>431</v>
      </c>
      <c r="E10" s="1">
        <v>1.2898000000000001</v>
      </c>
      <c r="F10" s="14">
        <f t="shared" si="3"/>
        <v>-1.2898000000000001</v>
      </c>
      <c r="G10" s="14">
        <f>F10+G9</f>
        <v>-1.6344181818181815</v>
      </c>
      <c r="H10" s="10">
        <f t="shared" si="0"/>
        <v>-3.9992362982928985E-2</v>
      </c>
      <c r="I10" s="10">
        <f>AVERAGE($H$6:H10)</f>
        <v>1.2346518407494022E-2</v>
      </c>
      <c r="J10" s="1" t="s">
        <v>414</v>
      </c>
      <c r="K10" s="1">
        <v>-112</v>
      </c>
      <c r="L10" s="12">
        <f t="shared" si="1"/>
        <v>0.52830188679245282</v>
      </c>
      <c r="M10" s="1">
        <v>-6.5</v>
      </c>
      <c r="N10" s="1">
        <v>-110</v>
      </c>
      <c r="O10" s="12">
        <f t="shared" si="2"/>
        <v>0.52380952380952384</v>
      </c>
      <c r="P10" s="1">
        <v>-5.5</v>
      </c>
    </row>
    <row r="11" spans="1:16" x14ac:dyDescent="0.2">
      <c r="A11" s="1" t="s">
        <v>427</v>
      </c>
      <c r="B11" s="1">
        <f t="shared" si="4"/>
        <v>6</v>
      </c>
      <c r="C11" s="1" t="s">
        <v>388</v>
      </c>
      <c r="D11" s="1" t="s">
        <v>429</v>
      </c>
      <c r="E11" s="1">
        <v>0.68820000000000003</v>
      </c>
      <c r="F11" s="14">
        <f t="shared" si="3"/>
        <v>-0.68820000000000003</v>
      </c>
      <c r="G11" s="14">
        <f t="shared" ref="G11:G12" si="5">F11+G10</f>
        <v>-2.3226181818181817</v>
      </c>
      <c r="H11" s="10">
        <f t="shared" si="0"/>
        <v>9.1028423331054986E-2</v>
      </c>
      <c r="I11" s="10">
        <f>AVERAGE($H$6:H11)</f>
        <v>2.5460169228087515E-2</v>
      </c>
      <c r="J11" s="1" t="s">
        <v>414</v>
      </c>
      <c r="K11" s="1">
        <v>-109</v>
      </c>
      <c r="L11" s="12">
        <f t="shared" si="1"/>
        <v>0.52153110047846885</v>
      </c>
      <c r="M11" s="1">
        <v>1.5</v>
      </c>
      <c r="N11" s="1">
        <v>-110</v>
      </c>
      <c r="O11" s="12">
        <f t="shared" si="2"/>
        <v>0.52380952380952384</v>
      </c>
      <c r="P11" s="1">
        <v>-1</v>
      </c>
    </row>
    <row r="12" spans="1:16" x14ac:dyDescent="0.2">
      <c r="A12" s="1" t="s">
        <v>427</v>
      </c>
      <c r="B12" s="1">
        <f t="shared" si="4"/>
        <v>7</v>
      </c>
      <c r="C12" s="1" t="s">
        <v>388</v>
      </c>
      <c r="D12" s="1" t="s">
        <v>430</v>
      </c>
      <c r="E12" s="1">
        <v>0.69510000000000005</v>
      </c>
      <c r="F12" s="14">
        <f t="shared" si="3"/>
        <v>-0.69510000000000005</v>
      </c>
      <c r="G12" s="14">
        <f t="shared" si="5"/>
        <v>-3.0177181818181817</v>
      </c>
      <c r="H12" s="10">
        <f t="shared" si="0"/>
        <v>0.13975593655856822</v>
      </c>
      <c r="I12" s="10">
        <f>AVERAGE($H$6:H12)</f>
        <v>4.1788135989584758E-2</v>
      </c>
      <c r="J12" s="1" t="s">
        <v>414</v>
      </c>
      <c r="K12" s="1">
        <v>-109</v>
      </c>
      <c r="L12" s="12">
        <f t="shared" si="1"/>
        <v>0.52153110047846885</v>
      </c>
      <c r="M12" s="1">
        <v>1.5</v>
      </c>
      <c r="N12" s="1">
        <v>-116</v>
      </c>
      <c r="O12" s="12">
        <f t="shared" si="2"/>
        <v>0.53703703703703709</v>
      </c>
      <c r="P12" s="1">
        <v>-2</v>
      </c>
    </row>
    <row r="13" spans="1:16" x14ac:dyDescent="0.2">
      <c r="A13" s="1" t="s">
        <v>427</v>
      </c>
      <c r="B13" s="1">
        <f t="shared" si="4"/>
        <v>8</v>
      </c>
      <c r="C13" s="1" t="s">
        <v>388</v>
      </c>
      <c r="D13" s="1" t="s">
        <v>436</v>
      </c>
      <c r="E13" s="1">
        <v>1.0744</v>
      </c>
      <c r="F13" s="14">
        <f t="shared" ref="F13:F16" si="6">IF(C13="P",0,IF(C13="L",-E13,IF(K13&lt;0,E13*(100/-K13),E13*(K13/100)))/1)</f>
        <v>-1.0744</v>
      </c>
      <c r="G13" s="14">
        <f t="shared" ref="G13:G16" si="7">F13+G12</f>
        <v>-4.092118181818182</v>
      </c>
      <c r="H13" s="10">
        <f t="shared" ref="H13:H16" si="8">((M13-P13)*3.55%)+(O13-L13)</f>
        <v>-1.7749999999999998E-2</v>
      </c>
      <c r="I13" s="10">
        <f>AVERAGE($H$6:H13)</f>
        <v>3.4345868990886666E-2</v>
      </c>
      <c r="J13" s="1" t="s">
        <v>414</v>
      </c>
      <c r="K13" s="1">
        <v>-107</v>
      </c>
      <c r="L13" s="12">
        <f t="shared" si="1"/>
        <v>0.51690821256038644</v>
      </c>
      <c r="M13" s="1">
        <v>2</v>
      </c>
      <c r="N13" s="1">
        <v>-107</v>
      </c>
      <c r="O13" s="12">
        <f t="shared" si="2"/>
        <v>0.51690821256038644</v>
      </c>
      <c r="P13" s="1">
        <v>2.5</v>
      </c>
    </row>
    <row r="14" spans="1:16" x14ac:dyDescent="0.2">
      <c r="A14" s="1" t="s">
        <v>437</v>
      </c>
      <c r="B14" s="1">
        <f t="shared" si="4"/>
        <v>9</v>
      </c>
      <c r="C14" s="1" t="s">
        <v>387</v>
      </c>
      <c r="D14" s="1" t="s">
        <v>438</v>
      </c>
      <c r="E14" s="1">
        <v>1.0632999999999999</v>
      </c>
      <c r="F14" s="14">
        <f t="shared" si="6"/>
        <v>0.96663636363636352</v>
      </c>
      <c r="G14" s="14">
        <f t="shared" si="7"/>
        <v>-3.1254818181818185</v>
      </c>
      <c r="H14" s="10">
        <f>((M14-P14)*3.55%)+(O14-L14)</f>
        <v>2.6650756564307886E-2</v>
      </c>
      <c r="I14" s="10">
        <f>AVERAGE($H$6:H14)</f>
        <v>3.3490856499044576E-2</v>
      </c>
      <c r="J14" s="1" t="s">
        <v>414</v>
      </c>
      <c r="K14" s="1">
        <v>-110</v>
      </c>
      <c r="L14" s="12">
        <f t="shared" si="1"/>
        <v>0.52380952380952384</v>
      </c>
      <c r="M14" s="1">
        <v>-6</v>
      </c>
      <c r="N14" s="1">
        <v>-114</v>
      </c>
      <c r="O14" s="12">
        <f t="shared" si="2"/>
        <v>0.53271028037383172</v>
      </c>
      <c r="P14" s="1">
        <v>-6.5</v>
      </c>
    </row>
    <row r="15" spans="1:16" x14ac:dyDescent="0.2">
      <c r="A15" s="1" t="s">
        <v>437</v>
      </c>
      <c r="B15" s="1">
        <f t="shared" si="4"/>
        <v>10</v>
      </c>
      <c r="C15" s="1" t="s">
        <v>388</v>
      </c>
      <c r="D15" s="1" t="s">
        <v>439</v>
      </c>
      <c r="E15" s="1">
        <v>0.82620000000000005</v>
      </c>
      <c r="F15" s="14">
        <f t="shared" si="6"/>
        <v>-0.82620000000000005</v>
      </c>
      <c r="G15" s="14">
        <f t="shared" si="7"/>
        <v>-3.9516818181818185</v>
      </c>
      <c r="H15" s="10">
        <f t="shared" si="8"/>
        <v>-3.3221576668945006E-2</v>
      </c>
      <c r="I15" s="10">
        <f>AVERAGE($H$6:H15)</f>
        <v>2.681961318224562E-2</v>
      </c>
      <c r="J15" s="1" t="s">
        <v>414</v>
      </c>
      <c r="K15" s="1">
        <v>-109</v>
      </c>
      <c r="L15" s="12">
        <f t="shared" si="1"/>
        <v>0.52153110047846885</v>
      </c>
      <c r="M15" s="1">
        <v>-9.5</v>
      </c>
      <c r="N15" s="1">
        <v>-110</v>
      </c>
      <c r="O15" s="12">
        <f t="shared" si="2"/>
        <v>0.52380952380952384</v>
      </c>
      <c r="P15" s="1">
        <v>-8.5</v>
      </c>
    </row>
    <row r="16" spans="1:16" x14ac:dyDescent="0.2">
      <c r="A16" s="1" t="s">
        <v>437</v>
      </c>
      <c r="B16" s="1">
        <f t="shared" si="4"/>
        <v>11</v>
      </c>
      <c r="C16" s="1" t="s">
        <v>387</v>
      </c>
      <c r="D16" s="1" t="s">
        <v>440</v>
      </c>
      <c r="E16" s="1">
        <v>0.72199999999999998</v>
      </c>
      <c r="F16" s="14">
        <f t="shared" si="6"/>
        <v>0.65636363636363637</v>
      </c>
      <c r="G16" s="14">
        <f t="shared" si="7"/>
        <v>-3.2953181818181823</v>
      </c>
      <c r="H16" s="10">
        <f t="shared" si="8"/>
        <v>1.3296387520525636E-3</v>
      </c>
      <c r="I16" s="10">
        <f>AVERAGE($H$6:H16)</f>
        <v>2.4502342779500797E-2</v>
      </c>
      <c r="J16" s="1" t="s">
        <v>414</v>
      </c>
      <c r="K16" s="1">
        <v>-110</v>
      </c>
      <c r="L16" s="12">
        <f t="shared" si="1"/>
        <v>0.52380952380952384</v>
      </c>
      <c r="M16" s="1">
        <v>-1.5</v>
      </c>
      <c r="N16" s="1">
        <v>-103</v>
      </c>
      <c r="O16" s="12">
        <f t="shared" si="2"/>
        <v>0.5073891625615764</v>
      </c>
      <c r="P16" s="1">
        <v>-2</v>
      </c>
    </row>
    <row r="17" spans="1:16" x14ac:dyDescent="0.2">
      <c r="A17" s="1" t="s">
        <v>448</v>
      </c>
      <c r="B17" s="1">
        <f t="shared" si="4"/>
        <v>12</v>
      </c>
      <c r="C17" s="1" t="s">
        <v>387</v>
      </c>
      <c r="D17" s="1" t="s">
        <v>449</v>
      </c>
      <c r="E17" s="1">
        <v>0.70909999999999995</v>
      </c>
      <c r="F17" s="14">
        <f t="shared" ref="F17" si="9">IF(C17="P",0,IF(C17="L",-E17,IF(K17&lt;0,E17*(100/-K17),E17*(K17/100)))/1)</f>
        <v>0.67533333333333323</v>
      </c>
      <c r="G17" s="14">
        <f t="shared" ref="G17" si="10">F17+G16</f>
        <v>-2.6199848484848491</v>
      </c>
      <c r="H17" s="10">
        <f t="shared" ref="H17" si="11">((M17-P17)*3.55%)+(O17-L17)</f>
        <v>0.10410879961740788</v>
      </c>
      <c r="I17" s="10">
        <f>AVERAGE($H$6:H17)</f>
        <v>3.113621418265972E-2</v>
      </c>
      <c r="J17" s="1" t="s">
        <v>414</v>
      </c>
      <c r="K17" s="1">
        <v>-105</v>
      </c>
      <c r="L17" s="12">
        <f t="shared" ref="L17" si="12">IF(K17&lt;0,K17/(K17-100),100/(K17+100))</f>
        <v>0.51219512195121952</v>
      </c>
      <c r="M17" s="1">
        <v>2</v>
      </c>
      <c r="N17" s="1">
        <v>-104</v>
      </c>
      <c r="O17" s="12">
        <f t="shared" ref="O17" si="13">IF(N17&lt;0,N17/(N17-100),100/(N17+100))</f>
        <v>0.50980392156862742</v>
      </c>
      <c r="P17" s="1">
        <v>-1</v>
      </c>
    </row>
    <row r="18" spans="1:16" x14ac:dyDescent="0.2">
      <c r="A18" s="1" t="s">
        <v>450</v>
      </c>
      <c r="B18" s="1">
        <f t="shared" si="4"/>
        <v>13</v>
      </c>
      <c r="C18" s="1" t="s">
        <v>387</v>
      </c>
      <c r="D18" s="1" t="s">
        <v>453</v>
      </c>
      <c r="E18" s="1">
        <v>1.0296000000000001</v>
      </c>
      <c r="F18" s="14">
        <f t="shared" ref="F18" si="14">IF(C18="P",0,IF(C18="L",-E18,IF(K18&lt;0,E18*(100/-K18),E18*(K18/100)))/1)</f>
        <v>1.0296000000000001</v>
      </c>
      <c r="G18" s="14">
        <f t="shared" ref="G18" si="15">F18+G17</f>
        <v>-1.5903848484848491</v>
      </c>
      <c r="H18" s="10">
        <f t="shared" ref="H18" si="16">((M18-P18)*3.55%)+(O18-L18)</f>
        <v>6.0595238095238375E-3</v>
      </c>
      <c r="I18" s="10">
        <f>AVERAGE($H$6:H18)</f>
        <v>2.9207238000110807E-2</v>
      </c>
      <c r="J18" s="1" t="s">
        <v>414</v>
      </c>
      <c r="K18" s="1">
        <v>-100</v>
      </c>
      <c r="L18" s="12">
        <f t="shared" ref="L18" si="17">IF(K18&lt;0,K18/(K18-100),100/(K18+100))</f>
        <v>0.5</v>
      </c>
      <c r="M18" s="1">
        <v>-13.5</v>
      </c>
      <c r="N18" s="1">
        <v>-110</v>
      </c>
      <c r="O18" s="12">
        <f t="shared" ref="O18" si="18">IF(N18&lt;0,N18/(N18-100),100/(N18+100))</f>
        <v>0.52380952380952384</v>
      </c>
      <c r="P18" s="1">
        <v>-13</v>
      </c>
    </row>
    <row r="19" spans="1:16" x14ac:dyDescent="0.2">
      <c r="A19" s="1" t="s">
        <v>450</v>
      </c>
      <c r="B19" s="1">
        <f t="shared" si="4"/>
        <v>14</v>
      </c>
      <c r="C19" s="1" t="s">
        <v>388</v>
      </c>
      <c r="D19" s="1" t="s">
        <v>454</v>
      </c>
      <c r="E19" s="1">
        <v>0.77980000000000005</v>
      </c>
      <c r="F19" s="14">
        <f t="shared" ref="F19:F21" si="19">IF(C19="P",0,IF(C19="L",-E19,IF(K19&lt;0,E19*(100/-K19),E19*(K19/100)))/1)</f>
        <v>-0.77980000000000005</v>
      </c>
      <c r="G19" s="14">
        <f t="shared" ref="G19:G21" si="20">F19+G18</f>
        <v>-2.3701848484848491</v>
      </c>
      <c r="H19" s="10">
        <f t="shared" ref="H19:H21" si="21">((M19-P19)*3.55%)+(O19-L19)</f>
        <v>5.9309523809523833E-2</v>
      </c>
      <c r="I19" s="10">
        <f>AVERAGE($H$6:H19)</f>
        <v>3.1357401272211739E-2</v>
      </c>
      <c r="J19" s="1" t="s">
        <v>414</v>
      </c>
      <c r="K19" s="1">
        <v>100</v>
      </c>
      <c r="L19" s="12">
        <f t="shared" ref="L19:L21" si="22">IF(K19&lt;0,K19/(K19-100),100/(K19+100))</f>
        <v>0.5</v>
      </c>
      <c r="M19" s="1">
        <v>-11.5</v>
      </c>
      <c r="N19" s="1">
        <v>-110</v>
      </c>
      <c r="O19" s="12">
        <f t="shared" ref="O19:O21" si="23">IF(N19&lt;0,N19/(N19-100),100/(N19+100))</f>
        <v>0.52380952380952384</v>
      </c>
      <c r="P19" s="1">
        <v>-12.5</v>
      </c>
    </row>
    <row r="20" spans="1:16" x14ac:dyDescent="0.2">
      <c r="A20" s="1" t="s">
        <v>450</v>
      </c>
      <c r="B20" s="1">
        <f t="shared" si="4"/>
        <v>15</v>
      </c>
      <c r="C20" s="1" t="s">
        <v>387</v>
      </c>
      <c r="D20" s="1" t="s">
        <v>452</v>
      </c>
      <c r="E20" s="1">
        <v>0.83009999999999995</v>
      </c>
      <c r="F20" s="14">
        <f t="shared" si="19"/>
        <v>0.74116071428571428</v>
      </c>
      <c r="G20" s="14">
        <f t="shared" si="20"/>
        <v>-1.6290241341991347</v>
      </c>
      <c r="H20" s="10">
        <f t="shared" si="21"/>
        <v>4.4083935813788999E-3</v>
      </c>
      <c r="I20" s="10">
        <f>AVERAGE($H$6:H20)</f>
        <v>2.9560800759489546E-2</v>
      </c>
      <c r="J20" s="1" t="s">
        <v>414</v>
      </c>
      <c r="K20" s="1">
        <v>-112</v>
      </c>
      <c r="L20" s="12">
        <f t="shared" si="22"/>
        <v>0.52830188679245282</v>
      </c>
      <c r="M20" s="1">
        <v>-16</v>
      </c>
      <c r="N20" s="1">
        <v>-114</v>
      </c>
      <c r="O20" s="12">
        <f t="shared" si="23"/>
        <v>0.53271028037383172</v>
      </c>
      <c r="P20" s="1">
        <v>-16</v>
      </c>
    </row>
    <row r="21" spans="1:16" x14ac:dyDescent="0.2">
      <c r="A21" s="1" t="s">
        <v>450</v>
      </c>
      <c r="B21" s="1">
        <f t="shared" si="4"/>
        <v>16</v>
      </c>
      <c r="C21" s="1" t="s">
        <v>387</v>
      </c>
      <c r="D21" s="1" t="s">
        <v>451</v>
      </c>
      <c r="E21" s="1">
        <v>0.87029999999999996</v>
      </c>
      <c r="F21" s="14">
        <f t="shared" si="19"/>
        <v>0.81336448598130839</v>
      </c>
      <c r="G21" s="14">
        <f t="shared" si="20"/>
        <v>-0.81565964821782633</v>
      </c>
      <c r="H21" s="10">
        <f t="shared" si="21"/>
        <v>-3.0877112081917589E-2</v>
      </c>
      <c r="I21" s="10">
        <f>AVERAGE($H$6:H21)</f>
        <v>2.5783431206901603E-2</v>
      </c>
      <c r="J21" s="1" t="s">
        <v>414</v>
      </c>
      <c r="K21" s="1">
        <v>-107</v>
      </c>
      <c r="L21" s="12">
        <f t="shared" si="22"/>
        <v>0.51690821256038644</v>
      </c>
      <c r="M21" s="1">
        <v>-15</v>
      </c>
      <c r="N21" s="1">
        <v>-109</v>
      </c>
      <c r="O21" s="12">
        <f t="shared" si="23"/>
        <v>0.52153110047846885</v>
      </c>
      <c r="P21" s="1">
        <v>-14</v>
      </c>
    </row>
    <row r="22" spans="1:16" x14ac:dyDescent="0.2">
      <c r="A22" s="1" t="s">
        <v>455</v>
      </c>
      <c r="B22" s="1">
        <f t="shared" si="4"/>
        <v>17</v>
      </c>
      <c r="C22" s="1" t="s">
        <v>387</v>
      </c>
      <c r="D22" s="1" t="s">
        <v>456</v>
      </c>
      <c r="E22" s="1">
        <v>0.94599999999999995</v>
      </c>
      <c r="F22" s="14">
        <f t="shared" ref="F22:F24" si="24">IF(C22="P",0,IF(C22="L",-E22,IF(K22&lt;0,E22*(100/-K22),E22*(K22/100)))/1)</f>
        <v>0.94599999999999995</v>
      </c>
      <c r="G22" s="14">
        <f t="shared" ref="G22:G24" si="25">F22+G21</f>
        <v>0.13034035178217362</v>
      </c>
      <c r="H22" s="10">
        <f t="shared" ref="H22:H24" si="26">((M22-P22)*3.55%)+(O22-L22)</f>
        <v>-6.9519230769230722E-2</v>
      </c>
      <c r="I22" s="10">
        <f>AVERAGE($H$6:H22)</f>
        <v>2.0177392267129113E-2</v>
      </c>
      <c r="J22" s="1" t="s">
        <v>414</v>
      </c>
      <c r="K22" s="1">
        <v>-100</v>
      </c>
      <c r="L22" s="12">
        <f t="shared" ref="L22:L24" si="27">IF(K22&lt;0,K22/(K22-100),100/(K22+100))</f>
        <v>0.5</v>
      </c>
      <c r="M22" s="1">
        <v>-14</v>
      </c>
      <c r="N22" s="1">
        <v>-108</v>
      </c>
      <c r="O22" s="12">
        <f t="shared" ref="O22:O24" si="28">IF(N22&lt;0,N22/(N22-100),100/(N22+100))</f>
        <v>0.51923076923076927</v>
      </c>
      <c r="P22" s="1">
        <v>-11.5</v>
      </c>
    </row>
    <row r="23" spans="1:16" x14ac:dyDescent="0.2">
      <c r="A23" s="1" t="s">
        <v>455</v>
      </c>
      <c r="B23" s="1">
        <f t="shared" si="4"/>
        <v>18</v>
      </c>
      <c r="C23" s="1" t="s">
        <v>387</v>
      </c>
      <c r="D23" s="1" t="s">
        <v>456</v>
      </c>
      <c r="E23" s="1">
        <v>0.47299999999999998</v>
      </c>
      <c r="F23" s="14">
        <f t="shared" si="24"/>
        <v>0.42232142857142857</v>
      </c>
      <c r="G23" s="14">
        <f t="shared" si="25"/>
        <v>0.55266178035360225</v>
      </c>
      <c r="H23" s="10">
        <f t="shared" si="26"/>
        <v>1.715265866209259E-2</v>
      </c>
      <c r="I23" s="10">
        <f>AVERAGE($H$6:H23)</f>
        <v>2.0009351511293752E-2</v>
      </c>
      <c r="J23" s="1" t="s">
        <v>414</v>
      </c>
      <c r="K23" s="1">
        <v>-112</v>
      </c>
      <c r="L23" s="12">
        <f t="shared" si="27"/>
        <v>0.52830188679245282</v>
      </c>
      <c r="M23" s="1">
        <v>-11.5</v>
      </c>
      <c r="N23" s="1">
        <v>-120</v>
      </c>
      <c r="O23" s="12">
        <f t="shared" si="28"/>
        <v>0.54545454545454541</v>
      </c>
      <c r="P23" s="1">
        <v>-11.5</v>
      </c>
    </row>
    <row r="24" spans="1:16" x14ac:dyDescent="0.2">
      <c r="A24" s="1" t="s">
        <v>455</v>
      </c>
      <c r="B24" s="1">
        <f t="shared" si="4"/>
        <v>19</v>
      </c>
      <c r="C24" s="1" t="s">
        <v>387</v>
      </c>
      <c r="D24" s="1" t="s">
        <v>457</v>
      </c>
      <c r="E24" s="1">
        <v>0.73099999999999998</v>
      </c>
      <c r="F24" s="14">
        <f t="shared" si="24"/>
        <v>0.68962264150943398</v>
      </c>
      <c r="G24" s="14">
        <f t="shared" si="25"/>
        <v>1.2422844218630362</v>
      </c>
      <c r="H24" s="10">
        <f t="shared" si="26"/>
        <v>4.4746417013407334E-2</v>
      </c>
      <c r="I24" s="10">
        <f>AVERAGE($H$6:H24)</f>
        <v>2.1311302327194463E-2</v>
      </c>
      <c r="J24" s="1" t="s">
        <v>414</v>
      </c>
      <c r="K24" s="1">
        <v>-106</v>
      </c>
      <c r="L24" s="12">
        <f t="shared" si="27"/>
        <v>0.5145631067961165</v>
      </c>
      <c r="M24" s="1">
        <v>-11</v>
      </c>
      <c r="N24" s="1">
        <v>-110</v>
      </c>
      <c r="O24" s="12">
        <f t="shared" si="28"/>
        <v>0.52380952380952384</v>
      </c>
      <c r="P24" s="1">
        <v>-12</v>
      </c>
    </row>
    <row r="25" spans="1:16" x14ac:dyDescent="0.2">
      <c r="A25" s="1" t="s">
        <v>458</v>
      </c>
      <c r="B25" s="1">
        <f t="shared" si="4"/>
        <v>20</v>
      </c>
      <c r="C25" s="1" t="s">
        <v>387</v>
      </c>
      <c r="D25" s="1" t="s">
        <v>459</v>
      </c>
      <c r="E25" s="1">
        <v>0.67320000000000002</v>
      </c>
      <c r="F25" s="14">
        <f t="shared" ref="F25" si="29">IF(C25="P",0,IF(C25="L",-E25,IF(K25&lt;0,E25*(100/-K25),E25*(K25/100)))/1)</f>
        <v>0.60107142857142859</v>
      </c>
      <c r="G25" s="14">
        <f t="shared" ref="G25" si="30">F25+G24</f>
        <v>1.8433558504344649</v>
      </c>
      <c r="H25" s="10">
        <f t="shared" ref="H25" si="31">((M25-P25)*3.55%)+(O25-L25)</f>
        <v>1.325763701707101E-2</v>
      </c>
      <c r="I25" s="10">
        <f>AVERAGE($H$6:H25)</f>
        <v>2.090861906168829E-2</v>
      </c>
      <c r="J25" s="1" t="s">
        <v>414</v>
      </c>
      <c r="K25" s="1">
        <v>-112</v>
      </c>
      <c r="L25" s="12">
        <f t="shared" ref="L25" si="32">IF(K25&lt;0,K25/(K25-100),100/(K25+100))</f>
        <v>0.52830188679245282</v>
      </c>
      <c r="M25" s="1">
        <v>-7.5</v>
      </c>
      <c r="N25" s="1">
        <v>-110</v>
      </c>
      <c r="O25" s="12">
        <f t="shared" ref="O25" si="33">IF(N25&lt;0,N25/(N25-100),100/(N25+100))</f>
        <v>0.52380952380952384</v>
      </c>
      <c r="P25" s="1">
        <v>-8</v>
      </c>
    </row>
    <row r="26" spans="1:16" x14ac:dyDescent="0.2">
      <c r="A26" s="1" t="s">
        <v>458</v>
      </c>
      <c r="B26" s="1">
        <f t="shared" si="4"/>
        <v>21</v>
      </c>
      <c r="C26" s="1" t="s">
        <v>387</v>
      </c>
      <c r="D26" s="1" t="s">
        <v>460</v>
      </c>
      <c r="E26" s="1">
        <v>0.87</v>
      </c>
      <c r="F26" s="14">
        <f t="shared" ref="F26" si="34">IF(C26="P",0,IF(C26="L",-E26,IF(K26&lt;0,E26*(100/-K26),E26*(K26/100)))/1)</f>
        <v>0.76991150442477885</v>
      </c>
      <c r="G26" s="14">
        <f t="shared" ref="G26" si="35">F26+G25</f>
        <v>2.6132673548592438</v>
      </c>
      <c r="H26" s="10">
        <f t="shared" ref="H26" si="36">((M26-P26)*3.55%)+(O26-L26)</f>
        <v>4.2789123630672957E-2</v>
      </c>
      <c r="I26" s="10">
        <f>AVERAGE($H$6:H26)</f>
        <v>2.1950547850687559E-2</v>
      </c>
      <c r="J26" s="1" t="s">
        <v>414</v>
      </c>
      <c r="K26" s="1">
        <v>-113</v>
      </c>
      <c r="L26" s="12">
        <f t="shared" ref="L26" si="37">IF(K26&lt;0,K26/(K26-100),100/(K26+100))</f>
        <v>0.53051643192488263</v>
      </c>
      <c r="M26" s="1">
        <v>-1</v>
      </c>
      <c r="N26" s="1">
        <v>-125</v>
      </c>
      <c r="O26" s="12">
        <f t="shared" ref="O26" si="38">IF(N26&lt;0,N26/(N26-100),100/(N26+100))</f>
        <v>0.55555555555555558</v>
      </c>
      <c r="P26" s="1">
        <v>-1.5</v>
      </c>
    </row>
    <row r="27" spans="1:16" x14ac:dyDescent="0.2">
      <c r="A27" s="1" t="s">
        <v>461</v>
      </c>
      <c r="B27" s="1">
        <f t="shared" si="4"/>
        <v>22</v>
      </c>
      <c r="C27" s="1" t="s">
        <v>388</v>
      </c>
      <c r="D27" s="1" t="s">
        <v>462</v>
      </c>
      <c r="E27" s="1">
        <v>0.71540000000000004</v>
      </c>
      <c r="F27" s="14">
        <f t="shared" ref="F27" si="39">IF(C27="P",0,IF(C27="L",-E27,IF(K27&lt;0,E27*(100/-K27),E27*(K27/100)))/1)</f>
        <v>-0.71540000000000004</v>
      </c>
      <c r="G27" s="14">
        <f t="shared" ref="G27" si="40">F27+G26</f>
        <v>1.8978673548592437</v>
      </c>
      <c r="H27" s="10">
        <f t="shared" ref="H27" si="41">((M27-P27)*3.55%)+(O27-L27)</f>
        <v>2.2355360815523584E-3</v>
      </c>
      <c r="I27" s="10">
        <f>AVERAGE($H$6:H27)</f>
        <v>2.1054410952090506E-2</v>
      </c>
      <c r="J27" s="1" t="s">
        <v>414</v>
      </c>
      <c r="K27" s="1">
        <v>-111</v>
      </c>
      <c r="L27" s="12">
        <f t="shared" ref="L27" si="42">IF(K27&lt;0,K27/(K27-100),100/(K27+100))</f>
        <v>0.52606635071090047</v>
      </c>
      <c r="M27" s="1">
        <v>2</v>
      </c>
      <c r="N27" s="1">
        <v>-112</v>
      </c>
      <c r="O27" s="12">
        <f t="shared" ref="O27" si="43">IF(N27&lt;0,N27/(N27-100),100/(N27+100))</f>
        <v>0.52830188679245282</v>
      </c>
      <c r="P27" s="1">
        <v>2</v>
      </c>
    </row>
    <row r="28" spans="1:16" x14ac:dyDescent="0.2">
      <c r="A28" s="1" t="s">
        <v>461</v>
      </c>
      <c r="B28" s="1">
        <f t="shared" si="4"/>
        <v>23</v>
      </c>
      <c r="C28" s="1" t="s">
        <v>387</v>
      </c>
      <c r="D28" s="1" t="s">
        <v>463</v>
      </c>
      <c r="E28" s="1">
        <v>0.71289999999999998</v>
      </c>
      <c r="F28" s="14">
        <f t="shared" ref="F28" si="44">IF(C28="P",0,IF(C28="L",-E28,IF(K28&lt;0,E28*(100/-K28),E28*(K28/100)))/1)</f>
        <v>0.64225225225225224</v>
      </c>
      <c r="G28" s="14">
        <f t="shared" ref="G28" si="45">F28+G27</f>
        <v>2.540119607111496</v>
      </c>
      <c r="H28" s="10">
        <f t="shared" ref="H28" si="46">((M28-P28)*3.55%)+(O28-L28)</f>
        <v>3.9950081213982157E-2</v>
      </c>
      <c r="I28" s="10">
        <f>AVERAGE($H$6:H28)</f>
        <v>2.1875961833042315E-2</v>
      </c>
      <c r="J28" s="1" t="s">
        <v>414</v>
      </c>
      <c r="K28" s="1">
        <v>-111</v>
      </c>
      <c r="L28" s="12">
        <f t="shared" ref="L28" si="47">IF(K28&lt;0,K28/(K28-100),100/(K28+100))</f>
        <v>0.52606635071090047</v>
      </c>
      <c r="M28" s="1">
        <v>4</v>
      </c>
      <c r="N28" s="1">
        <v>-113</v>
      </c>
      <c r="O28" s="12">
        <f t="shared" ref="O28" si="48">IF(N28&lt;0,N28/(N28-100),100/(N28+100))</f>
        <v>0.53051643192488263</v>
      </c>
      <c r="P28" s="1">
        <v>3</v>
      </c>
    </row>
    <row r="29" spans="1:16" x14ac:dyDescent="0.2">
      <c r="F29" s="14"/>
      <c r="G29" s="14"/>
      <c r="H29" s="10"/>
      <c r="I29" s="10"/>
      <c r="J29" s="1"/>
      <c r="K29" s="1"/>
      <c r="L29" s="12"/>
      <c r="M29" s="1"/>
      <c r="N29" s="1"/>
      <c r="O29" s="12"/>
      <c r="P29" s="1"/>
    </row>
    <row r="30" spans="1:16" x14ac:dyDescent="0.2">
      <c r="F30" s="14"/>
      <c r="G30" s="14"/>
      <c r="H30" s="10"/>
      <c r="I30" s="10"/>
      <c r="J30" s="1"/>
      <c r="K30" s="1"/>
      <c r="L30" s="12"/>
      <c r="M30" s="1"/>
      <c r="N30" s="1"/>
      <c r="O30" s="12"/>
      <c r="P30" s="1"/>
    </row>
    <row r="31" spans="1:16" x14ac:dyDescent="0.2">
      <c r="F31" s="14"/>
      <c r="G31" s="14"/>
      <c r="H31" s="10"/>
      <c r="I31" s="10"/>
      <c r="J31" s="1"/>
      <c r="K31" s="1"/>
      <c r="L31" s="12"/>
      <c r="M31" s="1"/>
      <c r="N31" s="1"/>
      <c r="O31" s="12"/>
      <c r="P31" s="1"/>
    </row>
    <row r="32" spans="1:16" x14ac:dyDescent="0.2">
      <c r="F32" s="14"/>
      <c r="G32" s="14"/>
      <c r="H32" s="10"/>
      <c r="I32" s="10"/>
      <c r="J32" s="1"/>
      <c r="K32" s="1"/>
      <c r="L32" s="12"/>
      <c r="M32" s="1"/>
      <c r="N32" s="1"/>
      <c r="O32" s="12"/>
      <c r="P32" s="1"/>
    </row>
    <row r="33" spans="6:16" x14ac:dyDescent="0.2">
      <c r="F33" s="14"/>
      <c r="G33" s="14"/>
      <c r="H33" s="10"/>
      <c r="I33" s="10"/>
      <c r="J33" s="1"/>
      <c r="K33" s="1"/>
      <c r="L33" s="12"/>
      <c r="M33" s="1"/>
      <c r="N33" s="1"/>
      <c r="O33" s="12"/>
      <c r="P33" s="1"/>
    </row>
    <row r="34" spans="6:16" x14ac:dyDescent="0.2">
      <c r="F34" s="14"/>
      <c r="G34" s="14"/>
      <c r="H34" s="10"/>
      <c r="I34" s="10"/>
      <c r="J34" s="1"/>
      <c r="K34" s="1"/>
      <c r="L34" s="12"/>
      <c r="M34" s="1"/>
      <c r="N34" s="1"/>
      <c r="O34" s="12"/>
      <c r="P34" s="1"/>
    </row>
    <row r="35" spans="6:16" x14ac:dyDescent="0.2">
      <c r="F35" s="14"/>
      <c r="G35" s="14"/>
      <c r="H35" s="10"/>
      <c r="I35" s="10"/>
      <c r="J35" s="1"/>
      <c r="K35" s="1"/>
      <c r="L35" s="12"/>
      <c r="M35" s="1"/>
      <c r="N35" s="1"/>
      <c r="O35" s="12"/>
      <c r="P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27B6-58FD-524E-85CF-A53FB2DF16C9}">
  <dimension ref="A1:K20"/>
  <sheetViews>
    <sheetView workbookViewId="0">
      <selection activeCell="I13" sqref="I13"/>
    </sheetView>
  </sheetViews>
  <sheetFormatPr baseColWidth="10" defaultRowHeight="16" x14ac:dyDescent="0.2"/>
  <cols>
    <col min="1" max="1" width="10.83203125" style="1"/>
    <col min="2" max="2" width="20.1640625" style="1" bestFit="1" customWidth="1"/>
    <col min="3" max="3" width="13.1640625" style="1" bestFit="1" customWidth="1"/>
    <col min="4" max="5" width="10.83203125" style="1"/>
    <col min="6" max="6" width="12" style="1" bestFit="1" customWidth="1"/>
    <col min="7" max="16384" width="10.83203125" style="1"/>
  </cols>
  <sheetData>
    <row r="1" spans="1:11" x14ac:dyDescent="0.2">
      <c r="A1" s="1" t="s">
        <v>413</v>
      </c>
      <c r="B1" s="1" t="s">
        <v>404</v>
      </c>
      <c r="C1" s="1" t="s">
        <v>0</v>
      </c>
      <c r="D1" s="1" t="s">
        <v>405</v>
      </c>
      <c r="E1" s="1" t="s">
        <v>400</v>
      </c>
      <c r="F1" s="1" t="s">
        <v>406</v>
      </c>
      <c r="G1" s="1" t="s">
        <v>407</v>
      </c>
      <c r="H1" s="1" t="s">
        <v>392</v>
      </c>
      <c r="I1" s="1" t="s">
        <v>408</v>
      </c>
      <c r="J1" s="1" t="s">
        <v>409</v>
      </c>
      <c r="K1" s="1" t="s">
        <v>410</v>
      </c>
    </row>
    <row r="2" spans="1:11" x14ac:dyDescent="0.2">
      <c r="A2" s="1" t="s">
        <v>414</v>
      </c>
      <c r="B2" s="1" t="s">
        <v>411</v>
      </c>
      <c r="C2" s="1" t="s">
        <v>2</v>
      </c>
      <c r="D2" s="1">
        <v>2800</v>
      </c>
      <c r="E2" s="1">
        <v>1.111</v>
      </c>
      <c r="F2" s="1">
        <v>171</v>
      </c>
      <c r="G2" s="1" t="s">
        <v>445</v>
      </c>
      <c r="H2" s="11" t="s">
        <v>415</v>
      </c>
      <c r="I2" s="1" t="s">
        <v>465</v>
      </c>
      <c r="J2" s="1" t="s">
        <v>387</v>
      </c>
      <c r="K2" s="1">
        <v>7.5</v>
      </c>
    </row>
    <row r="3" spans="1:11" x14ac:dyDescent="0.2">
      <c r="A3" s="1" t="s">
        <v>414</v>
      </c>
      <c r="B3" s="1" t="s">
        <v>411</v>
      </c>
      <c r="C3" s="1" t="s">
        <v>30</v>
      </c>
      <c r="D3" s="1">
        <v>2000</v>
      </c>
      <c r="E3" s="1">
        <v>1.58</v>
      </c>
      <c r="F3" s="1">
        <v>3619</v>
      </c>
      <c r="G3" s="1" t="s">
        <v>445</v>
      </c>
      <c r="H3" s="11" t="s">
        <v>416</v>
      </c>
      <c r="J3" s="1" t="s">
        <v>388</v>
      </c>
      <c r="K3" s="1">
        <f t="shared" ref="K3:K12" si="0">IF(J3=0,0,IF(J3="P",0,IF(J3="L",-E3,IF(D3&lt;0,E3*(100/-D3),E3*(D3/100)))/1))</f>
        <v>-1.58</v>
      </c>
    </row>
    <row r="4" spans="1:11" x14ac:dyDescent="0.2">
      <c r="A4" s="1" t="s">
        <v>414</v>
      </c>
      <c r="B4" s="1" t="s">
        <v>411</v>
      </c>
      <c r="C4" s="1" t="s">
        <v>13</v>
      </c>
      <c r="D4" s="1">
        <v>7000</v>
      </c>
      <c r="E4" s="1">
        <v>0.45</v>
      </c>
      <c r="F4" s="1">
        <v>403</v>
      </c>
      <c r="G4" s="1" t="s">
        <v>445</v>
      </c>
      <c r="H4" s="11" t="s">
        <v>416</v>
      </c>
      <c r="I4" s="1" t="s">
        <v>465</v>
      </c>
      <c r="J4" s="1" t="s">
        <v>387</v>
      </c>
      <c r="K4" s="1">
        <v>7.5</v>
      </c>
    </row>
    <row r="5" spans="1:11" x14ac:dyDescent="0.2">
      <c r="A5" s="1" t="s">
        <v>414</v>
      </c>
      <c r="B5" s="1" t="s">
        <v>411</v>
      </c>
      <c r="C5" s="1" t="s">
        <v>48</v>
      </c>
      <c r="D5" s="1">
        <v>20000</v>
      </c>
      <c r="E5" s="1">
        <v>0.15</v>
      </c>
      <c r="F5" s="1">
        <v>50000</v>
      </c>
      <c r="G5" s="1" t="s">
        <v>445</v>
      </c>
      <c r="H5" s="11" t="s">
        <v>416</v>
      </c>
      <c r="J5" s="1" t="s">
        <v>388</v>
      </c>
      <c r="K5" s="1">
        <f t="shared" si="0"/>
        <v>-0.15</v>
      </c>
    </row>
    <row r="6" spans="1:11" x14ac:dyDescent="0.2">
      <c r="A6" s="1" t="s">
        <v>414</v>
      </c>
      <c r="B6" s="1" t="s">
        <v>443</v>
      </c>
      <c r="C6" s="1" t="s">
        <v>9</v>
      </c>
      <c r="D6" s="1">
        <v>816</v>
      </c>
      <c r="E6" s="1">
        <v>0.85</v>
      </c>
      <c r="F6" s="1">
        <v>468</v>
      </c>
      <c r="G6" s="1" t="s">
        <v>445</v>
      </c>
      <c r="H6" s="1" t="s">
        <v>468</v>
      </c>
      <c r="J6" s="1" t="s">
        <v>388</v>
      </c>
      <c r="K6" s="1">
        <f t="shared" si="0"/>
        <v>-0.85</v>
      </c>
    </row>
    <row r="7" spans="1:11" x14ac:dyDescent="0.2">
      <c r="A7" s="1" t="s">
        <v>414</v>
      </c>
      <c r="B7" s="1" t="s">
        <v>444</v>
      </c>
      <c r="C7" s="1" t="s">
        <v>10</v>
      </c>
      <c r="D7" s="1">
        <v>1725</v>
      </c>
      <c r="E7" s="1">
        <v>0.45</v>
      </c>
      <c r="F7" s="1">
        <v>265</v>
      </c>
      <c r="G7" s="1" t="s">
        <v>445</v>
      </c>
      <c r="H7" s="1" t="s">
        <v>468</v>
      </c>
      <c r="J7" s="1" t="s">
        <v>388</v>
      </c>
      <c r="K7" s="1">
        <f t="shared" si="0"/>
        <v>-0.45</v>
      </c>
    </row>
    <row r="8" spans="1:11" x14ac:dyDescent="0.2">
      <c r="A8" s="1" t="s">
        <v>414</v>
      </c>
      <c r="B8" s="1" t="s">
        <v>446</v>
      </c>
      <c r="C8" s="1" t="s">
        <v>23</v>
      </c>
      <c r="D8" s="1">
        <v>281</v>
      </c>
      <c r="E8" s="1">
        <v>0.65</v>
      </c>
      <c r="F8" s="1">
        <v>281</v>
      </c>
      <c r="G8" s="1" t="s">
        <v>445</v>
      </c>
      <c r="H8" s="1" t="s">
        <v>469</v>
      </c>
      <c r="J8" s="1" t="s">
        <v>388</v>
      </c>
      <c r="K8" s="1">
        <f t="shared" si="0"/>
        <v>-0.65</v>
      </c>
    </row>
    <row r="9" spans="1:11" x14ac:dyDescent="0.2">
      <c r="A9" s="1" t="s">
        <v>414</v>
      </c>
      <c r="B9" s="1" t="s">
        <v>446</v>
      </c>
      <c r="C9" s="1" t="s">
        <v>10</v>
      </c>
      <c r="D9" s="1">
        <v>155</v>
      </c>
      <c r="E9" s="1">
        <v>1</v>
      </c>
      <c r="F9" s="1">
        <v>155</v>
      </c>
      <c r="G9" s="1" t="s">
        <v>445</v>
      </c>
      <c r="H9" s="1" t="s">
        <v>469</v>
      </c>
      <c r="J9" s="1" t="s">
        <v>387</v>
      </c>
      <c r="K9" s="1">
        <f t="shared" si="0"/>
        <v>1.55</v>
      </c>
    </row>
    <row r="10" spans="1:11" x14ac:dyDescent="0.2">
      <c r="A10" s="1" t="s">
        <v>414</v>
      </c>
      <c r="B10" s="1" t="s">
        <v>447</v>
      </c>
      <c r="C10" s="1" t="s">
        <v>40</v>
      </c>
      <c r="D10" s="1">
        <v>111</v>
      </c>
      <c r="E10" s="1">
        <v>0.5</v>
      </c>
      <c r="F10" s="1">
        <v>111</v>
      </c>
      <c r="G10" s="1" t="s">
        <v>445</v>
      </c>
      <c r="H10" s="1" t="s">
        <v>469</v>
      </c>
      <c r="J10" s="1" t="s">
        <v>387</v>
      </c>
      <c r="K10" s="1">
        <f t="shared" si="0"/>
        <v>0.55500000000000005</v>
      </c>
    </row>
    <row r="11" spans="1:11" x14ac:dyDescent="0.2">
      <c r="A11" s="1" t="s">
        <v>414</v>
      </c>
      <c r="B11" s="1" t="s">
        <v>446</v>
      </c>
      <c r="C11" s="1" t="s">
        <v>9</v>
      </c>
      <c r="D11" s="1">
        <v>-144</v>
      </c>
      <c r="E11" s="1">
        <v>1.44</v>
      </c>
      <c r="F11" s="1">
        <v>-144</v>
      </c>
      <c r="G11" s="1" t="s">
        <v>445</v>
      </c>
      <c r="H11" s="1" t="s">
        <v>469</v>
      </c>
      <c r="J11" s="1" t="s">
        <v>387</v>
      </c>
      <c r="K11" s="1">
        <f t="shared" si="0"/>
        <v>0.99999999999999989</v>
      </c>
    </row>
    <row r="12" spans="1:11" x14ac:dyDescent="0.2">
      <c r="A12" s="1" t="s">
        <v>414</v>
      </c>
      <c r="B12" s="1" t="s">
        <v>447</v>
      </c>
      <c r="C12" s="1" t="s">
        <v>24</v>
      </c>
      <c r="D12" s="1">
        <v>-142</v>
      </c>
      <c r="E12" s="1">
        <v>1.0649999999999999</v>
      </c>
      <c r="F12" s="1">
        <v>-142</v>
      </c>
      <c r="G12" s="1" t="s">
        <v>445</v>
      </c>
      <c r="H12" s="1" t="s">
        <v>469</v>
      </c>
      <c r="J12" s="1" t="s">
        <v>388</v>
      </c>
      <c r="K12" s="1">
        <f t="shared" si="0"/>
        <v>-1.0649999999999999</v>
      </c>
    </row>
    <row r="13" spans="1:11" x14ac:dyDescent="0.2">
      <c r="A13" s="1" t="s">
        <v>414</v>
      </c>
      <c r="B13" s="1" t="s">
        <v>444</v>
      </c>
      <c r="C13" s="1" t="s">
        <v>10</v>
      </c>
      <c r="D13" s="1">
        <v>-324</v>
      </c>
      <c r="E13" s="1">
        <v>6.2755999999999998</v>
      </c>
      <c r="F13" s="1">
        <v>-324</v>
      </c>
      <c r="G13" s="1" t="s">
        <v>445</v>
      </c>
      <c r="H13" s="1" t="s">
        <v>468</v>
      </c>
      <c r="I13" s="1" t="s">
        <v>464</v>
      </c>
      <c r="J13" s="1" t="s">
        <v>387</v>
      </c>
      <c r="K13" s="1">
        <f t="shared" ref="K13" si="1">IF(J13=0,0,IF(J13="P",0,IF(J13="L",-E13,IF(D13&lt;0,E13*(100/-D13),E13*(D13/100)))/1))</f>
        <v>1.9369135802469135</v>
      </c>
    </row>
    <row r="14" spans="1:11" x14ac:dyDescent="0.2">
      <c r="A14" s="1" t="s">
        <v>466</v>
      </c>
      <c r="B14" s="1" t="s">
        <v>411</v>
      </c>
      <c r="C14" s="1" t="s">
        <v>25</v>
      </c>
      <c r="D14" s="1">
        <v>6000</v>
      </c>
      <c r="E14" s="1">
        <v>0.66666999999999998</v>
      </c>
      <c r="F14" s="1">
        <v>1600</v>
      </c>
      <c r="G14" s="1" t="s">
        <v>412</v>
      </c>
      <c r="H14" s="1" t="s">
        <v>467</v>
      </c>
    </row>
    <row r="15" spans="1:11" x14ac:dyDescent="0.2">
      <c r="A15" s="1" t="s">
        <v>466</v>
      </c>
      <c r="B15" s="1" t="s">
        <v>411</v>
      </c>
      <c r="C15" s="1" t="s">
        <v>471</v>
      </c>
      <c r="D15" s="1">
        <v>8000</v>
      </c>
      <c r="E15" s="1">
        <v>0.5</v>
      </c>
      <c r="F15" s="1">
        <v>5000</v>
      </c>
      <c r="G15" s="1" t="s">
        <v>412</v>
      </c>
      <c r="H15" s="1" t="s">
        <v>470</v>
      </c>
    </row>
    <row r="16" spans="1:11" x14ac:dyDescent="0.2">
      <c r="A16" s="1" t="s">
        <v>466</v>
      </c>
      <c r="B16" s="1" t="s">
        <v>411</v>
      </c>
      <c r="C16" s="1" t="s">
        <v>5</v>
      </c>
      <c r="D16" s="1">
        <v>3500</v>
      </c>
      <c r="E16" s="1">
        <v>1.143</v>
      </c>
      <c r="F16" s="1">
        <v>3500</v>
      </c>
      <c r="G16" s="1" t="s">
        <v>412</v>
      </c>
      <c r="H16" s="1" t="s">
        <v>472</v>
      </c>
    </row>
    <row r="17" spans="1:8" x14ac:dyDescent="0.2">
      <c r="A17" s="1" t="s">
        <v>466</v>
      </c>
      <c r="B17" s="1" t="s">
        <v>411</v>
      </c>
      <c r="C17" s="1" t="s">
        <v>12</v>
      </c>
      <c r="D17" s="1">
        <v>3000</v>
      </c>
      <c r="E17" s="1">
        <v>1.3340000000000001</v>
      </c>
      <c r="F17" s="1">
        <v>4000</v>
      </c>
      <c r="G17" s="1" t="s">
        <v>412</v>
      </c>
      <c r="H17" s="1" t="s">
        <v>473</v>
      </c>
    </row>
    <row r="18" spans="1:8" x14ac:dyDescent="0.2">
      <c r="A18" s="1" t="s">
        <v>466</v>
      </c>
      <c r="B18" s="1" t="s">
        <v>474</v>
      </c>
      <c r="C18" s="1" t="s">
        <v>475</v>
      </c>
      <c r="D18" s="1">
        <v>6000</v>
      </c>
      <c r="E18" s="1">
        <v>0.3</v>
      </c>
      <c r="F18" s="1">
        <v>6000</v>
      </c>
      <c r="G18" s="1" t="s">
        <v>412</v>
      </c>
      <c r="H18" s="1" t="s">
        <v>476</v>
      </c>
    </row>
    <row r="19" spans="1:8" x14ac:dyDescent="0.2">
      <c r="A19" s="1" t="s">
        <v>466</v>
      </c>
      <c r="B19" s="1" t="s">
        <v>474</v>
      </c>
      <c r="C19" s="1" t="s">
        <v>477</v>
      </c>
      <c r="D19" s="1">
        <v>5000</v>
      </c>
      <c r="E19" s="1">
        <v>0.8</v>
      </c>
      <c r="F19" s="1">
        <v>5000</v>
      </c>
      <c r="G19" s="1" t="s">
        <v>412</v>
      </c>
      <c r="H19" s="1" t="s">
        <v>478</v>
      </c>
    </row>
    <row r="20" spans="1:8" x14ac:dyDescent="0.2">
      <c r="A20" s="1" t="s">
        <v>466</v>
      </c>
      <c r="B20" s="1" t="s">
        <v>411</v>
      </c>
      <c r="C20" s="1" t="s">
        <v>15</v>
      </c>
      <c r="D20" s="1">
        <v>6500</v>
      </c>
      <c r="E20" s="1">
        <v>0.8</v>
      </c>
      <c r="F20" s="1">
        <v>6500</v>
      </c>
      <c r="G20" s="1" t="s">
        <v>412</v>
      </c>
      <c r="H20" s="1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BAEE-C2FE-D343-91CD-53A70DA99145}">
  <dimension ref="A1:H366"/>
  <sheetViews>
    <sheetView workbookViewId="0">
      <selection activeCell="C3" sqref="C3"/>
    </sheetView>
  </sheetViews>
  <sheetFormatPr baseColWidth="10" defaultRowHeight="16" x14ac:dyDescent="0.2"/>
  <cols>
    <col min="1" max="4" width="10.83203125" style="1"/>
  </cols>
  <sheetData>
    <row r="1" spans="1:8" x14ac:dyDescent="0.2">
      <c r="A1" s="2" t="s">
        <v>0</v>
      </c>
      <c r="B1" s="2" t="s">
        <v>366</v>
      </c>
      <c r="C1" s="2" t="s">
        <v>365</v>
      </c>
      <c r="D1" s="2" t="s">
        <v>403</v>
      </c>
      <c r="E1" s="2" t="s">
        <v>480</v>
      </c>
      <c r="F1" s="2" t="s">
        <v>482</v>
      </c>
      <c r="H1" s="1" t="s">
        <v>481</v>
      </c>
    </row>
    <row r="2" spans="1:8" x14ac:dyDescent="0.2">
      <c r="A2" s="1" t="s">
        <v>4</v>
      </c>
      <c r="B2" s="3">
        <f ca="1">VLOOKUP(A2,[3]TeamRtg!$A$3:$G$367,7,FALSE)</f>
        <v>2.7124698926776269</v>
      </c>
      <c r="C2" s="1">
        <f t="shared" ref="C2:C65" ca="1" si="0">RANK(B2,$B$2:$B$366)</f>
        <v>2</v>
      </c>
      <c r="D2" s="1">
        <v>1</v>
      </c>
      <c r="E2" s="1">
        <f>VLOOKUP($A2,[4]TeamRtg!$A$2:$E$366,4,FALSE)</f>
        <v>2.5</v>
      </c>
      <c r="F2" s="1">
        <f>VLOOKUP($A2,[4]TeamRtg!$A$2:$E$366,5,FALSE)</f>
        <v>3.9</v>
      </c>
      <c r="H2" s="1">
        <v>25</v>
      </c>
    </row>
    <row r="3" spans="1:8" x14ac:dyDescent="0.2">
      <c r="A3" s="1" t="s">
        <v>1</v>
      </c>
      <c r="B3" s="3">
        <f ca="1">VLOOKUP(A3,[3]TeamRtg!$A$3:$G$367,7,FALSE)</f>
        <v>2.786135048373541</v>
      </c>
      <c r="C3" s="1">
        <f t="shared" ca="1" si="0"/>
        <v>1</v>
      </c>
      <c r="D3" s="1">
        <v>2</v>
      </c>
      <c r="E3" s="1">
        <f>VLOOKUP($A3,[4]TeamRtg!$A$2:$E$366,4,FALSE)</f>
        <v>2.25</v>
      </c>
      <c r="F3" s="1">
        <f>VLOOKUP($A3,[4]TeamRtg!$A$2:$E$366,5,FALSE)</f>
        <v>3.9</v>
      </c>
    </row>
    <row r="4" spans="1:8" x14ac:dyDescent="0.2">
      <c r="A4" s="1" t="s">
        <v>13</v>
      </c>
      <c r="B4" s="3">
        <f ca="1">VLOOKUP(A4,[3]TeamRtg!$A$3:$G$367,7,FALSE)</f>
        <v>2.2716104682444449</v>
      </c>
      <c r="C4" s="1">
        <f t="shared" ca="1" si="0"/>
        <v>5</v>
      </c>
      <c r="D4" s="1">
        <v>3</v>
      </c>
      <c r="E4" s="1">
        <f>VLOOKUP($A4,[4]TeamRtg!$A$2:$E$366,4,FALSE)</f>
        <v>2.3889999999999998</v>
      </c>
      <c r="F4" s="1">
        <f>VLOOKUP($A4,[4]TeamRtg!$A$2:$E$366,5,FALSE)</f>
        <v>3.9</v>
      </c>
    </row>
    <row r="5" spans="1:8" x14ac:dyDescent="0.2">
      <c r="A5" s="1" t="s">
        <v>6</v>
      </c>
      <c r="B5" s="3">
        <f ca="1">VLOOKUP(A5,[3]TeamRtg!$A$3:$G$367,7,FALSE)</f>
        <v>2.3751426945118781</v>
      </c>
      <c r="C5" s="1">
        <f t="shared" ca="1" si="0"/>
        <v>3</v>
      </c>
      <c r="D5" s="1">
        <v>4</v>
      </c>
      <c r="E5" s="1">
        <f>VLOOKUP($A5,[4]TeamRtg!$A$2:$E$366,4,FALSE)</f>
        <v>2.1720000000000002</v>
      </c>
      <c r="F5" s="1">
        <f>VLOOKUP($A5,[4]TeamRtg!$A$2:$E$366,5,FALSE)</f>
        <v>3.7719999999999998</v>
      </c>
    </row>
    <row r="6" spans="1:8" x14ac:dyDescent="0.2">
      <c r="A6" s="1" t="s">
        <v>5</v>
      </c>
      <c r="B6" s="3">
        <f ca="1">VLOOKUP(A6,[3]TeamRtg!$A$3:$G$367,7,FALSE)</f>
        <v>2.3717025596508812</v>
      </c>
      <c r="C6" s="1">
        <f t="shared" ca="1" si="0"/>
        <v>4</v>
      </c>
      <c r="D6" s="1">
        <v>5</v>
      </c>
      <c r="E6" s="1">
        <f>VLOOKUP($A6,[4]TeamRtg!$A$2:$E$366,4,FALSE)</f>
        <v>1.1180000000000001</v>
      </c>
      <c r="F6" s="1">
        <f>VLOOKUP($A6,[4]TeamRtg!$A$2:$E$366,5,FALSE)</f>
        <v>3.9</v>
      </c>
    </row>
    <row r="7" spans="1:8" x14ac:dyDescent="0.2">
      <c r="A7" s="1" t="s">
        <v>16</v>
      </c>
      <c r="B7" s="3">
        <f ca="1">VLOOKUP(A7,[3]TeamRtg!$A$3:$G$367,7,FALSE)</f>
        <v>2.1251800764280349</v>
      </c>
      <c r="C7" s="1">
        <f t="shared" ca="1" si="0"/>
        <v>8</v>
      </c>
      <c r="D7" s="1">
        <v>6</v>
      </c>
      <c r="E7" s="1">
        <f>VLOOKUP($A7,[4]TeamRtg!$A$2:$E$366,4,FALSE)</f>
        <v>1.57</v>
      </c>
      <c r="F7" s="1">
        <f>VLOOKUP($A7,[4]TeamRtg!$A$2:$E$366,5,FALSE)</f>
        <v>3.9</v>
      </c>
    </row>
    <row r="8" spans="1:8" x14ac:dyDescent="0.2">
      <c r="A8" s="1" t="s">
        <v>2</v>
      </c>
      <c r="B8" s="3">
        <f ca="1">VLOOKUP(A8,[3]TeamRtg!$A$3:$G$367,7,FALSE)</f>
        <v>2.2598969472452048</v>
      </c>
      <c r="C8" s="1">
        <f t="shared" ca="1" si="0"/>
        <v>6</v>
      </c>
      <c r="D8" s="1">
        <v>7</v>
      </c>
      <c r="E8" s="1">
        <f>VLOOKUP($A8,[4]TeamRtg!$A$2:$E$366,4,FALSE)</f>
        <v>1.958</v>
      </c>
      <c r="F8" s="1">
        <f>VLOOKUP($A8,[4]TeamRtg!$A$2:$E$366,5,FALSE)</f>
        <v>3.6080000000000001</v>
      </c>
    </row>
    <row r="9" spans="1:8" x14ac:dyDescent="0.2">
      <c r="A9" s="1" t="s">
        <v>25</v>
      </c>
      <c r="B9" s="3">
        <f ca="1">VLOOKUP(A9,[3]TeamRtg!$A$3:$G$367,7,FALSE)</f>
        <v>2.1787470411601855</v>
      </c>
      <c r="C9" s="1">
        <f t="shared" ca="1" si="0"/>
        <v>7</v>
      </c>
      <c r="D9" s="1">
        <v>8</v>
      </c>
      <c r="E9" s="1">
        <f>VLOOKUP($A9,[4]TeamRtg!$A$2:$E$366,4,FALSE)</f>
        <v>1.125</v>
      </c>
      <c r="F9" s="1">
        <f>VLOOKUP($A9,[4]TeamRtg!$A$2:$E$366,5,FALSE)</f>
        <v>3.9</v>
      </c>
    </row>
    <row r="10" spans="1:8" x14ac:dyDescent="0.2">
      <c r="A10" s="1" t="s">
        <v>9</v>
      </c>
      <c r="B10" s="3">
        <f ca="1">VLOOKUP(A10,[3]TeamRtg!$A$3:$G$367,7,FALSE)</f>
        <v>2.1175734348448678</v>
      </c>
      <c r="C10" s="1">
        <f t="shared" ca="1" si="0"/>
        <v>9</v>
      </c>
      <c r="D10" s="1">
        <v>9</v>
      </c>
      <c r="E10" s="1">
        <f>VLOOKUP($A10,[4]TeamRtg!$A$2:$E$366,4,FALSE)</f>
        <v>2.0649999999999999</v>
      </c>
      <c r="F10" s="1">
        <f>VLOOKUP($A10,[4]TeamRtg!$A$2:$E$366,5,FALSE)</f>
        <v>2.665</v>
      </c>
    </row>
    <row r="11" spans="1:8" x14ac:dyDescent="0.2">
      <c r="A11" s="1" t="s">
        <v>12</v>
      </c>
      <c r="B11" s="3">
        <f ca="1">VLOOKUP(A11,[3]TeamRtg!$A$3:$G$367,7,FALSE)</f>
        <v>2.1111514180895261</v>
      </c>
      <c r="C11" s="1">
        <f t="shared" ca="1" si="0"/>
        <v>10</v>
      </c>
      <c r="D11" s="1">
        <v>10</v>
      </c>
      <c r="E11" s="1">
        <f>VLOOKUP($A11,[4]TeamRtg!$A$2:$E$366,4,FALSE)</f>
        <v>1.159</v>
      </c>
      <c r="F11" s="1">
        <f>VLOOKUP($A11,[4]TeamRtg!$A$2:$E$366,5,FALSE)</f>
        <v>3.9</v>
      </c>
    </row>
    <row r="12" spans="1:8" x14ac:dyDescent="0.2">
      <c r="A12" s="1" t="s">
        <v>15</v>
      </c>
      <c r="B12" s="3">
        <f ca="1">VLOOKUP(A12,[3]TeamRtg!$A$3:$G$367,7,FALSE)</f>
        <v>1.9349611946019263</v>
      </c>
      <c r="C12" s="1">
        <f t="shared" ca="1" si="0"/>
        <v>12</v>
      </c>
      <c r="D12" s="1">
        <v>11</v>
      </c>
      <c r="E12" s="1">
        <f>VLOOKUP($A12,[4]TeamRtg!$A$2:$E$366,4,FALSE)</f>
        <v>1.784</v>
      </c>
      <c r="F12" s="1">
        <f>VLOOKUP($A12,[4]TeamRtg!$A$2:$E$366,5,FALSE)</f>
        <v>2.9340000000000002</v>
      </c>
    </row>
    <row r="13" spans="1:8" x14ac:dyDescent="0.2">
      <c r="A13" s="1" t="s">
        <v>3</v>
      </c>
      <c r="B13" s="3">
        <f ca="1">VLOOKUP(A13,[3]TeamRtg!$A$3:$G$367,7,FALSE)</f>
        <v>1.8151661983768144</v>
      </c>
      <c r="C13" s="1">
        <f t="shared" ca="1" si="0"/>
        <v>18</v>
      </c>
      <c r="D13" s="1">
        <v>12</v>
      </c>
      <c r="E13" s="1">
        <f>VLOOKUP($A13,[4]TeamRtg!$A$2:$E$366,4,FALSE)</f>
        <v>0.97899999999999998</v>
      </c>
      <c r="F13" s="1">
        <f>VLOOKUP($A13,[4]TeamRtg!$A$2:$E$366,5,FALSE)</f>
        <v>2.4790000000000001</v>
      </c>
    </row>
    <row r="14" spans="1:8" x14ac:dyDescent="0.2">
      <c r="A14" s="1" t="s">
        <v>20</v>
      </c>
      <c r="B14" s="3">
        <f ca="1">VLOOKUP(A14,[3]TeamRtg!$A$3:$G$367,7,FALSE)</f>
        <v>1.9151263730436112</v>
      </c>
      <c r="C14" s="1">
        <f t="shared" ca="1" si="0"/>
        <v>13</v>
      </c>
      <c r="D14" s="1">
        <v>13</v>
      </c>
      <c r="E14" s="1">
        <f>VLOOKUP($A14,[4]TeamRtg!$A$2:$E$366,4,FALSE)</f>
        <v>1.1140000000000001</v>
      </c>
      <c r="F14" s="1">
        <f>VLOOKUP($A14,[4]TeamRtg!$A$2:$E$366,5,FALSE)</f>
        <v>3.3639999999999999</v>
      </c>
    </row>
    <row r="15" spans="1:8" x14ac:dyDescent="0.2">
      <c r="A15" s="1" t="s">
        <v>40</v>
      </c>
      <c r="B15" s="3">
        <f ca="1">VLOOKUP(A15,[3]TeamRtg!$A$3:$G$367,7,FALSE)</f>
        <v>1.8557265431469958</v>
      </c>
      <c r="C15" s="1">
        <f t="shared" ca="1" si="0"/>
        <v>17</v>
      </c>
      <c r="D15" s="1">
        <v>14</v>
      </c>
      <c r="E15" s="1">
        <f>VLOOKUP($A15,[4]TeamRtg!$A$2:$E$366,4,FALSE)</f>
        <v>1.4610000000000001</v>
      </c>
      <c r="F15" s="1">
        <f>VLOOKUP($A15,[4]TeamRtg!$A$2:$E$366,5,FALSE)</f>
        <v>2.2610000000000001</v>
      </c>
    </row>
    <row r="16" spans="1:8" x14ac:dyDescent="0.2">
      <c r="A16" s="1" t="s">
        <v>11</v>
      </c>
      <c r="B16" s="3">
        <f ca="1">VLOOKUP(A16,[3]TeamRtg!$A$3:$G$367,7,FALSE)</f>
        <v>1.8578686750002795</v>
      </c>
      <c r="C16" s="1">
        <f t="shared" ca="1" si="0"/>
        <v>16</v>
      </c>
      <c r="D16" s="1">
        <v>15</v>
      </c>
      <c r="E16" s="1">
        <f>VLOOKUP($A16,[4]TeamRtg!$A$2:$E$366,4,FALSE)</f>
        <v>9.0999999999999998E-2</v>
      </c>
      <c r="F16" s="1">
        <f>VLOOKUP($A16,[4]TeamRtg!$A$2:$E$366,5,FALSE)</f>
        <v>2.9910000000000001</v>
      </c>
    </row>
    <row r="17" spans="1:6" x14ac:dyDescent="0.2">
      <c r="A17" s="1" t="s">
        <v>8</v>
      </c>
      <c r="B17" s="3">
        <f ca="1">VLOOKUP(A17,[3]TeamRtg!$A$3:$G$367,7,FALSE)</f>
        <v>1.891007715181541</v>
      </c>
      <c r="C17" s="1">
        <f t="shared" ca="1" si="0"/>
        <v>14</v>
      </c>
      <c r="D17" s="1">
        <v>16</v>
      </c>
      <c r="E17" s="1">
        <f>VLOOKUP($A17,[4]TeamRtg!$A$2:$E$366,4,FALSE)</f>
        <v>0.74</v>
      </c>
      <c r="F17" s="1">
        <f>VLOOKUP($A17,[4]TeamRtg!$A$2:$E$366,5,FALSE)</f>
        <v>3.04</v>
      </c>
    </row>
    <row r="18" spans="1:6" x14ac:dyDescent="0.2">
      <c r="A18" s="1" t="s">
        <v>24</v>
      </c>
      <c r="B18" s="3">
        <f ca="1">VLOOKUP(A18,[3]TeamRtg!$A$3:$G$367,7,FALSE)</f>
        <v>1.8839595689269328</v>
      </c>
      <c r="C18" s="1">
        <f t="shared" ca="1" si="0"/>
        <v>15</v>
      </c>
      <c r="D18" s="1">
        <v>17</v>
      </c>
      <c r="E18" s="1">
        <f>VLOOKUP($A18,[4]TeamRtg!$A$2:$E$366,4,FALSE)</f>
        <v>1.6819999999999999</v>
      </c>
      <c r="F18" s="1">
        <f>VLOOKUP($A18,[4]TeamRtg!$A$2:$E$366,5,FALSE)</f>
        <v>3.1320000000000001</v>
      </c>
    </row>
    <row r="19" spans="1:6" x14ac:dyDescent="0.2">
      <c r="A19" s="1" t="s">
        <v>29</v>
      </c>
      <c r="B19" s="3">
        <f ca="1">VLOOKUP(A19,[3]TeamRtg!$A$3:$G$367,7,FALSE)</f>
        <v>1.8060841925941404</v>
      </c>
      <c r="C19" s="1">
        <f t="shared" ca="1" si="0"/>
        <v>19</v>
      </c>
      <c r="D19" s="1">
        <v>18</v>
      </c>
      <c r="E19" s="1">
        <f>VLOOKUP($A19,[4]TeamRtg!$A$2:$E$366,4,FALSE)</f>
        <v>1.1120000000000001</v>
      </c>
      <c r="F19" s="1">
        <f>VLOOKUP($A19,[4]TeamRtg!$A$2:$E$366,5,FALSE)</f>
        <v>3.1120000000000001</v>
      </c>
    </row>
    <row r="20" spans="1:6" x14ac:dyDescent="0.2">
      <c r="A20" s="1" t="s">
        <v>17</v>
      </c>
      <c r="B20" s="3">
        <f ca="1">VLOOKUP(A20,[3]TeamRtg!$A$3:$G$367,7,FALSE)</f>
        <v>1.8027709953318127</v>
      </c>
      <c r="C20" s="1">
        <f t="shared" ca="1" si="0"/>
        <v>20</v>
      </c>
      <c r="D20" s="1">
        <v>19</v>
      </c>
      <c r="E20" s="1">
        <f>VLOOKUP($A20,[4]TeamRtg!$A$2:$E$366,4,FALSE)</f>
        <v>1.159</v>
      </c>
      <c r="F20" s="1">
        <f>VLOOKUP($A20,[4]TeamRtg!$A$2:$E$366,5,FALSE)</f>
        <v>3.1589999999999998</v>
      </c>
    </row>
    <row r="21" spans="1:6" x14ac:dyDescent="0.2">
      <c r="A21" s="1" t="s">
        <v>14</v>
      </c>
      <c r="B21" s="3">
        <f ca="1">VLOOKUP(A21,[3]TeamRtg!$A$3:$G$367,7,FALSE)</f>
        <v>1.9785624371144439</v>
      </c>
      <c r="C21" s="1">
        <f t="shared" ca="1" si="0"/>
        <v>11</v>
      </c>
      <c r="D21" s="1">
        <v>20</v>
      </c>
      <c r="E21" s="1">
        <f>VLOOKUP($A21,[4]TeamRtg!$A$2:$E$366,4,FALSE)</f>
        <v>1.51</v>
      </c>
      <c r="F21" s="1">
        <f>VLOOKUP($A21,[4]TeamRtg!$A$2:$E$366,5,FALSE)</f>
        <v>2.2599999999999998</v>
      </c>
    </row>
    <row r="22" spans="1:6" x14ac:dyDescent="0.2">
      <c r="A22" s="1" t="s">
        <v>10</v>
      </c>
      <c r="B22" s="3">
        <f ca="1">VLOOKUP(A22,[3]TeamRtg!$A$3:$G$367,7,FALSE)</f>
        <v>1.7978066901951177</v>
      </c>
      <c r="C22" s="1">
        <f t="shared" ca="1" si="0"/>
        <v>22</v>
      </c>
      <c r="D22" s="1">
        <v>21</v>
      </c>
      <c r="E22" s="1">
        <f>VLOOKUP($A22,[4]TeamRtg!$A$2:$E$366,4,FALSE)</f>
        <v>0.64800000000000002</v>
      </c>
      <c r="F22" s="1">
        <f>VLOOKUP($A22,[4]TeamRtg!$A$2:$E$366,5,FALSE)</f>
        <v>2.4980000000000002</v>
      </c>
    </row>
    <row r="23" spans="1:6" x14ac:dyDescent="0.2">
      <c r="A23" s="1" t="s">
        <v>18</v>
      </c>
      <c r="B23" s="3">
        <f ca="1">VLOOKUP(A23,[3]TeamRtg!$A$3:$G$367,7,FALSE)</f>
        <v>1.7979015470592865</v>
      </c>
      <c r="C23" s="1">
        <f t="shared" ca="1" si="0"/>
        <v>21</v>
      </c>
      <c r="D23" s="1">
        <v>22</v>
      </c>
      <c r="E23" s="1">
        <f>VLOOKUP($A23,[4]TeamRtg!$A$2:$E$366,4,FALSE)</f>
        <v>0.247</v>
      </c>
      <c r="F23" s="1">
        <f>VLOOKUP($A23,[4]TeamRtg!$A$2:$E$366,5,FALSE)</f>
        <v>2.4969999999999999</v>
      </c>
    </row>
    <row r="24" spans="1:6" x14ac:dyDescent="0.2">
      <c r="A24" s="1" t="s">
        <v>44</v>
      </c>
      <c r="B24" s="3">
        <f ca="1">VLOOKUP(A24,[3]TeamRtg!$A$3:$G$367,7,FALSE)</f>
        <v>1.7662545216942005</v>
      </c>
      <c r="C24" s="1">
        <f t="shared" ca="1" si="0"/>
        <v>24</v>
      </c>
      <c r="D24" s="1">
        <v>23</v>
      </c>
      <c r="E24" s="1">
        <f>VLOOKUP($A24,[4]TeamRtg!$A$2:$E$366,4,FALSE)</f>
        <v>1.415</v>
      </c>
      <c r="F24" s="1">
        <f>VLOOKUP($A24,[4]TeamRtg!$A$2:$E$366,5,FALSE)</f>
        <v>2.8149999999999999</v>
      </c>
    </row>
    <row r="25" spans="1:6" x14ac:dyDescent="0.2">
      <c r="A25" s="1" t="s">
        <v>22</v>
      </c>
      <c r="B25" s="3">
        <f ca="1">VLOOKUP(A25,[3]TeamRtg!$A$3:$G$367,7,FALSE)</f>
        <v>1.7399677740943762</v>
      </c>
      <c r="C25" s="1">
        <f t="shared" ca="1" si="0"/>
        <v>25</v>
      </c>
      <c r="D25" s="1">
        <v>24</v>
      </c>
      <c r="E25" s="1">
        <f>VLOOKUP($A25,[4]TeamRtg!$A$2:$E$366,4,FALSE)</f>
        <v>1.34</v>
      </c>
      <c r="F25" s="1">
        <f>VLOOKUP($A25,[4]TeamRtg!$A$2:$E$366,5,FALSE)</f>
        <v>3.04</v>
      </c>
    </row>
    <row r="26" spans="1:6" x14ac:dyDescent="0.2">
      <c r="A26" s="1" t="s">
        <v>30</v>
      </c>
      <c r="B26" s="3">
        <f ca="1">VLOOKUP(A26,[3]TeamRtg!$A$3:$G$367,7,FALSE)</f>
        <v>1.7718077297551607</v>
      </c>
      <c r="C26" s="1">
        <f t="shared" ca="1" si="0"/>
        <v>23</v>
      </c>
      <c r="D26" s="1">
        <v>25</v>
      </c>
      <c r="E26" s="1">
        <f>VLOOKUP($A26,[4]TeamRtg!$A$2:$E$366,4,FALSE)</f>
        <v>1.214</v>
      </c>
      <c r="F26" s="1">
        <f>VLOOKUP($A26,[4]TeamRtg!$A$2:$E$366,5,FALSE)</f>
        <v>2.6640000000000001</v>
      </c>
    </row>
    <row r="27" spans="1:6" x14ac:dyDescent="0.2">
      <c r="A27" s="1" t="s">
        <v>61</v>
      </c>
      <c r="B27" s="3">
        <f ca="1">VLOOKUP(A27,[3]TeamRtg!$A$3:$G$367,7,FALSE)</f>
        <v>1.6905186980403659</v>
      </c>
      <c r="C27" s="1">
        <f t="shared" ca="1" si="0"/>
        <v>27</v>
      </c>
      <c r="D27" s="1">
        <v>26</v>
      </c>
      <c r="E27" s="1">
        <f>VLOOKUP($A27,[4]TeamRtg!$A$2:$E$366,4,FALSE)</f>
        <v>-0.26100000000000001</v>
      </c>
      <c r="F27" s="1">
        <f>VLOOKUP($A27,[4]TeamRtg!$A$2:$E$366,5,FALSE)</f>
        <v>3.339</v>
      </c>
    </row>
    <row r="28" spans="1:6" x14ac:dyDescent="0.2">
      <c r="A28" s="1" t="s">
        <v>53</v>
      </c>
      <c r="B28" s="3">
        <f ca="1">VLOOKUP(A28,[3]TeamRtg!$A$3:$G$367,7,FALSE)</f>
        <v>1.7206160434370932</v>
      </c>
      <c r="C28" s="1">
        <f t="shared" ca="1" si="0"/>
        <v>26</v>
      </c>
      <c r="D28" s="1">
        <v>27</v>
      </c>
      <c r="E28" s="1">
        <f>VLOOKUP($A28,[4]TeamRtg!$A$2:$E$366,4,FALSE)</f>
        <v>1.113</v>
      </c>
      <c r="F28" s="1">
        <f>VLOOKUP($A28,[4]TeamRtg!$A$2:$E$366,5,FALSE)</f>
        <v>2.7130000000000001</v>
      </c>
    </row>
    <row r="29" spans="1:6" x14ac:dyDescent="0.2">
      <c r="A29" s="1" t="s">
        <v>23</v>
      </c>
      <c r="B29" s="3">
        <f ca="1">VLOOKUP(A29,[3]TeamRtg!$A$3:$G$367,7,FALSE)</f>
        <v>1.6472501583023471</v>
      </c>
      <c r="C29" s="1">
        <f t="shared" ca="1" si="0"/>
        <v>29</v>
      </c>
      <c r="D29" s="1">
        <v>28</v>
      </c>
      <c r="E29" s="1">
        <f>VLOOKUP($A29,[4]TeamRtg!$A$2:$E$366,4,FALSE)</f>
        <v>0.89700000000000002</v>
      </c>
      <c r="F29" s="1">
        <f>VLOOKUP($A29,[4]TeamRtg!$A$2:$E$366,5,FALSE)</f>
        <v>2.6469999999999998</v>
      </c>
    </row>
    <row r="30" spans="1:6" x14ac:dyDescent="0.2">
      <c r="A30" s="1" t="s">
        <v>36</v>
      </c>
      <c r="B30" s="3">
        <f ca="1">VLOOKUP(A30,[3]TeamRtg!$A$3:$G$367,7,FALSE)</f>
        <v>1.6542050195535489</v>
      </c>
      <c r="C30" s="1">
        <f t="shared" ca="1" si="0"/>
        <v>28</v>
      </c>
      <c r="D30" s="1">
        <v>29</v>
      </c>
      <c r="E30" s="1">
        <f>VLOOKUP($A30,[4]TeamRtg!$A$2:$E$366,4,FALSE)</f>
        <v>0.79200000000000004</v>
      </c>
      <c r="F30" s="1">
        <f>VLOOKUP($A30,[4]TeamRtg!$A$2:$E$366,5,FALSE)</f>
        <v>2.3919999999999999</v>
      </c>
    </row>
    <row r="31" spans="1:6" x14ac:dyDescent="0.2">
      <c r="A31" s="1" t="s">
        <v>7</v>
      </c>
      <c r="B31" s="3">
        <f ca="1">VLOOKUP(A31,[3]TeamRtg!$A$3:$G$367,7,FALSE)</f>
        <v>1.6247527691532284</v>
      </c>
      <c r="C31" s="1">
        <f t="shared" ca="1" si="0"/>
        <v>30</v>
      </c>
      <c r="D31" s="1">
        <v>30</v>
      </c>
      <c r="E31" s="1">
        <f>VLOOKUP($A31,[4]TeamRtg!$A$2:$E$366,4,FALSE)</f>
        <v>1.6259999999999999</v>
      </c>
      <c r="F31" s="1">
        <f>VLOOKUP($A31,[4]TeamRtg!$A$2:$E$366,5,FALSE)</f>
        <v>2.3759999999999999</v>
      </c>
    </row>
    <row r="32" spans="1:6" x14ac:dyDescent="0.2">
      <c r="A32" s="1" t="s">
        <v>33</v>
      </c>
      <c r="B32" s="3">
        <f ca="1">VLOOKUP(A32,[3]TeamRtg!$A$3:$G$367,7,FALSE)</f>
        <v>1.6235866420827869</v>
      </c>
      <c r="C32" s="1">
        <f t="shared" ca="1" si="0"/>
        <v>31</v>
      </c>
      <c r="D32" s="1">
        <v>31</v>
      </c>
      <c r="E32" s="1">
        <f>VLOOKUP($A32,[4]TeamRtg!$A$2:$E$366,4,FALSE)</f>
        <v>1.423</v>
      </c>
      <c r="F32" s="1">
        <f>VLOOKUP($A32,[4]TeamRtg!$A$2:$E$366,5,FALSE)</f>
        <v>2.423</v>
      </c>
    </row>
    <row r="33" spans="1:6" x14ac:dyDescent="0.2">
      <c r="A33" s="1" t="s">
        <v>26</v>
      </c>
      <c r="B33" s="3">
        <f ca="1">VLOOKUP(A33,[3]TeamRtg!$A$3:$G$367,7,FALSE)</f>
        <v>1.6146909542918793</v>
      </c>
      <c r="C33" s="1">
        <f t="shared" ca="1" si="0"/>
        <v>32</v>
      </c>
      <c r="D33" s="1">
        <v>32</v>
      </c>
      <c r="E33" s="1">
        <f>VLOOKUP($A33,[4]TeamRtg!$A$2:$E$366,4,FALSE)</f>
        <v>1.415</v>
      </c>
      <c r="F33" s="1">
        <f>VLOOKUP($A33,[4]TeamRtg!$A$2:$E$366,5,FALSE)</f>
        <v>2.8650000000000002</v>
      </c>
    </row>
    <row r="34" spans="1:6" x14ac:dyDescent="0.2">
      <c r="A34" s="1" t="s">
        <v>49</v>
      </c>
      <c r="B34" s="3">
        <f ca="1">VLOOKUP(A34,[3]TeamRtg!$A$3:$G$367,7,FALSE)</f>
        <v>1.6047023180382403</v>
      </c>
      <c r="C34" s="1">
        <f t="shared" ca="1" si="0"/>
        <v>33</v>
      </c>
      <c r="D34" s="1">
        <v>33</v>
      </c>
      <c r="E34" s="1">
        <f>VLOOKUP($A34,[4]TeamRtg!$A$2:$E$366,4,FALSE)</f>
        <v>0.35399999999999998</v>
      </c>
      <c r="F34" s="1">
        <f>VLOOKUP($A34,[4]TeamRtg!$A$2:$E$366,5,FALSE)</f>
        <v>2.2040000000000002</v>
      </c>
    </row>
    <row r="35" spans="1:6" x14ac:dyDescent="0.2">
      <c r="A35" s="1" t="s">
        <v>124</v>
      </c>
      <c r="B35" s="3">
        <f ca="1">VLOOKUP(A35,[3]TeamRtg!$A$3:$G$367,7,FALSE)</f>
        <v>1.5946891503587897</v>
      </c>
      <c r="C35" s="1">
        <f t="shared" ca="1" si="0"/>
        <v>34</v>
      </c>
      <c r="D35" s="1">
        <v>34</v>
      </c>
      <c r="E35" s="1">
        <f>VLOOKUP($A35,[4]TeamRtg!$A$2:$E$366,4,FALSE)</f>
        <v>1.4430000000000001</v>
      </c>
      <c r="F35" s="1">
        <f>VLOOKUP($A35,[4]TeamRtg!$A$2:$E$366,5,FALSE)</f>
        <v>2.1429999999999998</v>
      </c>
    </row>
    <row r="36" spans="1:6" x14ac:dyDescent="0.2">
      <c r="A36" s="1" t="s">
        <v>42</v>
      </c>
      <c r="B36" s="3">
        <f ca="1">VLOOKUP(A36,[3]TeamRtg!$A$3:$G$367,7,FALSE)</f>
        <v>1.5794012180584567</v>
      </c>
      <c r="C36" s="1">
        <f t="shared" ca="1" si="0"/>
        <v>35</v>
      </c>
      <c r="D36" s="1">
        <v>35</v>
      </c>
      <c r="E36" s="1">
        <f>VLOOKUP($A36,[4]TeamRtg!$A$2:$E$366,4,FALSE)</f>
        <v>0.72899999999999998</v>
      </c>
      <c r="F36" s="1">
        <f>VLOOKUP($A36,[4]TeamRtg!$A$2:$E$366,5,FALSE)</f>
        <v>2.4289999999999998</v>
      </c>
    </row>
    <row r="37" spans="1:6" x14ac:dyDescent="0.2">
      <c r="A37" s="1" t="s">
        <v>46</v>
      </c>
      <c r="B37" s="3">
        <f ca="1">VLOOKUP(A37,[3]TeamRtg!$A$3:$G$367,7,FALSE)</f>
        <v>1.5678479217085559</v>
      </c>
      <c r="C37" s="1">
        <f t="shared" ca="1" si="0"/>
        <v>36</v>
      </c>
      <c r="D37" s="1">
        <v>36</v>
      </c>
      <c r="E37" s="1">
        <f>VLOOKUP($A37,[4]TeamRtg!$A$2:$E$366,4,FALSE)</f>
        <v>1.0680000000000001</v>
      </c>
      <c r="F37" s="1">
        <f>VLOOKUP($A37,[4]TeamRtg!$A$2:$E$366,5,FALSE)</f>
        <v>2.5179999999999998</v>
      </c>
    </row>
    <row r="38" spans="1:6" x14ac:dyDescent="0.2">
      <c r="A38" s="1" t="s">
        <v>63</v>
      </c>
      <c r="B38" s="3">
        <f ca="1">VLOOKUP(A38,[3]TeamRtg!$A$3:$G$367,7,FALSE)</f>
        <v>1.5486518112545364</v>
      </c>
      <c r="C38" s="1">
        <f t="shared" ca="1" si="0"/>
        <v>37</v>
      </c>
      <c r="D38" s="1">
        <v>37</v>
      </c>
      <c r="E38" s="1">
        <f>VLOOKUP($A38,[4]TeamRtg!$A$2:$E$366,4,FALSE)</f>
        <v>1.3979999999999999</v>
      </c>
      <c r="F38" s="1">
        <f>VLOOKUP($A38,[4]TeamRtg!$A$2:$E$366,5,FALSE)</f>
        <v>2.048</v>
      </c>
    </row>
    <row r="39" spans="1:6" x14ac:dyDescent="0.2">
      <c r="A39" s="1" t="s">
        <v>19</v>
      </c>
      <c r="B39" s="3">
        <f ca="1">VLOOKUP(A39,[3]TeamRtg!$A$3:$G$367,7,FALSE)</f>
        <v>1.5446874310895287</v>
      </c>
      <c r="C39" s="1">
        <f t="shared" ca="1" si="0"/>
        <v>38</v>
      </c>
      <c r="D39" s="1">
        <v>38</v>
      </c>
      <c r="E39" s="1">
        <f>VLOOKUP($A39,[4]TeamRtg!$A$2:$E$366,4,FALSE)</f>
        <v>0.69499999999999995</v>
      </c>
      <c r="F39" s="1">
        <f>VLOOKUP($A39,[4]TeamRtg!$A$2:$E$366,5,FALSE)</f>
        <v>2.3450000000000002</v>
      </c>
    </row>
    <row r="40" spans="1:6" x14ac:dyDescent="0.2">
      <c r="A40" s="1" t="s">
        <v>35</v>
      </c>
      <c r="B40" s="3">
        <f ca="1">VLOOKUP(A40,[3]TeamRtg!$A$3:$G$367,7,FALSE)</f>
        <v>1.5286124829909424</v>
      </c>
      <c r="C40" s="1">
        <f t="shared" ca="1" si="0"/>
        <v>39</v>
      </c>
      <c r="D40" s="1">
        <v>39</v>
      </c>
      <c r="E40" s="1">
        <f>VLOOKUP($A40,[4]TeamRtg!$A$2:$E$366,4,FALSE)</f>
        <v>0.57899999999999996</v>
      </c>
      <c r="F40" s="1">
        <f>VLOOKUP($A40,[4]TeamRtg!$A$2:$E$366,5,FALSE)</f>
        <v>2.0790000000000002</v>
      </c>
    </row>
    <row r="41" spans="1:6" x14ac:dyDescent="0.2">
      <c r="A41" s="1" t="s">
        <v>73</v>
      </c>
      <c r="B41" s="3">
        <f ca="1">VLOOKUP(A41,[3]TeamRtg!$A$3:$G$367,7,FALSE)</f>
        <v>1.5196026124874891</v>
      </c>
      <c r="C41" s="1">
        <f t="shared" ca="1" si="0"/>
        <v>40</v>
      </c>
      <c r="D41" s="1">
        <v>40</v>
      </c>
      <c r="E41" s="1">
        <f>VLOOKUP($A41,[4]TeamRtg!$A$2:$E$366,4,FALSE)</f>
        <v>1.0189999999999999</v>
      </c>
      <c r="F41" s="1">
        <f>VLOOKUP($A41,[4]TeamRtg!$A$2:$E$366,5,FALSE)</f>
        <v>2.4689999999999999</v>
      </c>
    </row>
    <row r="42" spans="1:6" x14ac:dyDescent="0.2">
      <c r="A42" s="1" t="s">
        <v>115</v>
      </c>
      <c r="B42" s="3">
        <f ca="1">VLOOKUP(A42,[3]TeamRtg!$A$3:$G$367,7,FALSE)</f>
        <v>1.5146717716364539</v>
      </c>
      <c r="C42" s="1">
        <f t="shared" ca="1" si="0"/>
        <v>41</v>
      </c>
      <c r="D42" s="1">
        <v>41</v>
      </c>
      <c r="E42" s="1">
        <f>VLOOKUP($A42,[4]TeamRtg!$A$2:$E$366,4,FALSE)</f>
        <v>1.214</v>
      </c>
      <c r="F42" s="1">
        <f>VLOOKUP($A42,[4]TeamRtg!$A$2:$E$366,5,FALSE)</f>
        <v>1.964</v>
      </c>
    </row>
    <row r="43" spans="1:6" x14ac:dyDescent="0.2">
      <c r="A43" s="1" t="s">
        <v>76</v>
      </c>
      <c r="B43" s="3">
        <f ca="1">VLOOKUP(A43,[3]TeamRtg!$A$3:$G$367,7,FALSE)</f>
        <v>1.4947525793453595</v>
      </c>
      <c r="C43" s="1">
        <f t="shared" ca="1" si="0"/>
        <v>42</v>
      </c>
      <c r="D43" s="1">
        <v>42</v>
      </c>
      <c r="E43" s="1">
        <f>VLOOKUP($A43,[4]TeamRtg!$A$2:$E$366,4,FALSE)</f>
        <v>1.494</v>
      </c>
      <c r="F43" s="1">
        <f>VLOOKUP($A43,[4]TeamRtg!$A$2:$E$366,5,FALSE)</f>
        <v>2.2440000000000002</v>
      </c>
    </row>
    <row r="44" spans="1:6" x14ac:dyDescent="0.2">
      <c r="A44" s="1" t="s">
        <v>88</v>
      </c>
      <c r="B44" s="3">
        <f ca="1">VLOOKUP(A44,[3]TeamRtg!$A$3:$G$367,7,FALSE)</f>
        <v>1.4806180712075676</v>
      </c>
      <c r="C44" s="1">
        <f t="shared" ca="1" si="0"/>
        <v>43</v>
      </c>
      <c r="D44" s="1">
        <v>43</v>
      </c>
      <c r="E44" s="1">
        <f>VLOOKUP($A44,[4]TeamRtg!$A$2:$E$366,4,FALSE)</f>
        <v>1.18</v>
      </c>
      <c r="F44" s="1">
        <f>VLOOKUP($A44,[4]TeamRtg!$A$2:$E$366,5,FALSE)</f>
        <v>1.93</v>
      </c>
    </row>
    <row r="45" spans="1:6" x14ac:dyDescent="0.2">
      <c r="A45" s="1" t="s">
        <v>45</v>
      </c>
      <c r="B45" s="3">
        <f ca="1">VLOOKUP(A45,[3]TeamRtg!$A$3:$G$367,7,FALSE)</f>
        <v>1.4615735344285243</v>
      </c>
      <c r="C45" s="1">
        <f t="shared" ca="1" si="0"/>
        <v>44</v>
      </c>
      <c r="D45" s="1">
        <v>44</v>
      </c>
      <c r="E45" s="1">
        <f>VLOOKUP($A45,[4]TeamRtg!$A$2:$E$366,4,FALSE)</f>
        <v>1.1619999999999999</v>
      </c>
      <c r="F45" s="1">
        <f>VLOOKUP($A45,[4]TeamRtg!$A$2:$E$366,5,FALSE)</f>
        <v>1.9119999999999999</v>
      </c>
    </row>
    <row r="46" spans="1:6" x14ac:dyDescent="0.2">
      <c r="A46" s="1" t="s">
        <v>47</v>
      </c>
      <c r="B46" s="3">
        <f ca="1">VLOOKUP(A46,[3]TeamRtg!$A$3:$G$367,7,FALSE)</f>
        <v>1.4547747442978209</v>
      </c>
      <c r="C46" s="1">
        <f t="shared" ca="1" si="0"/>
        <v>45</v>
      </c>
      <c r="D46" s="1">
        <v>45</v>
      </c>
      <c r="E46" s="1">
        <f>VLOOKUP($A46,[4]TeamRtg!$A$2:$E$366,4,FALSE)</f>
        <v>1.155</v>
      </c>
      <c r="F46" s="1">
        <f>VLOOKUP($A46,[4]TeamRtg!$A$2:$E$366,5,FALSE)</f>
        <v>1.905</v>
      </c>
    </row>
    <row r="47" spans="1:6" x14ac:dyDescent="0.2">
      <c r="A47" s="1" t="s">
        <v>41</v>
      </c>
      <c r="B47" s="3">
        <f ca="1">VLOOKUP(A47,[3]TeamRtg!$A$3:$G$367,7,FALSE)</f>
        <v>1.4462983190476226</v>
      </c>
      <c r="C47" s="1">
        <f t="shared" ca="1" si="0"/>
        <v>46</v>
      </c>
      <c r="D47" s="1">
        <v>46</v>
      </c>
      <c r="E47" s="1">
        <f>VLOOKUP($A47,[4]TeamRtg!$A$2:$E$366,4,FALSE)</f>
        <v>1.2470000000000001</v>
      </c>
      <c r="F47" s="1">
        <f>VLOOKUP($A47,[4]TeamRtg!$A$2:$E$366,5,FALSE)</f>
        <v>2.4969999999999999</v>
      </c>
    </row>
    <row r="48" spans="1:6" x14ac:dyDescent="0.2">
      <c r="A48" s="1" t="s">
        <v>28</v>
      </c>
      <c r="B48" s="3">
        <f ca="1">VLOOKUP(A48,[3]TeamRtg!$A$3:$G$367,7,FALSE)</f>
        <v>1.4269705245266655</v>
      </c>
      <c r="C48" s="1">
        <f t="shared" ca="1" si="0"/>
        <v>47</v>
      </c>
      <c r="D48" s="1">
        <v>47</v>
      </c>
      <c r="E48" s="1">
        <f>VLOOKUP($A48,[4]TeamRtg!$A$2:$E$366,4,FALSE)</f>
        <v>1.4279999999999999</v>
      </c>
      <c r="F48" s="1">
        <f>VLOOKUP($A48,[4]TeamRtg!$A$2:$E$366,5,FALSE)</f>
        <v>2.1779999999999999</v>
      </c>
    </row>
    <row r="49" spans="1:6" x14ac:dyDescent="0.2">
      <c r="A49" s="1" t="s">
        <v>39</v>
      </c>
      <c r="B49" s="3">
        <f ca="1">VLOOKUP(A49,[3]TeamRtg!$A$3:$G$367,7,FALSE)</f>
        <v>1.422058219123628</v>
      </c>
      <c r="C49" s="1">
        <f t="shared" ca="1" si="0"/>
        <v>48</v>
      </c>
      <c r="D49" s="1">
        <v>48</v>
      </c>
      <c r="E49" s="1">
        <f>VLOOKUP($A49,[4]TeamRtg!$A$2:$E$366,4,FALSE)</f>
        <v>0.623</v>
      </c>
      <c r="F49" s="1">
        <f>VLOOKUP($A49,[4]TeamRtg!$A$2:$E$366,5,FALSE)</f>
        <v>2.173</v>
      </c>
    </row>
    <row r="50" spans="1:6" x14ac:dyDescent="0.2">
      <c r="A50" s="1" t="s">
        <v>56</v>
      </c>
      <c r="B50" s="3">
        <f ca="1">VLOOKUP(A50,[3]TeamRtg!$A$3:$G$367,7,FALSE)</f>
        <v>1.409625804859699</v>
      </c>
      <c r="C50" s="1">
        <f t="shared" ca="1" si="0"/>
        <v>49</v>
      </c>
      <c r="D50" s="1">
        <v>49</v>
      </c>
      <c r="E50" s="1">
        <f>VLOOKUP($A50,[4]TeamRtg!$A$2:$E$366,4,FALSE)</f>
        <v>1.1100000000000001</v>
      </c>
      <c r="F50" s="1">
        <f>VLOOKUP($A50,[4]TeamRtg!$A$2:$E$366,5,FALSE)</f>
        <v>1.86</v>
      </c>
    </row>
    <row r="51" spans="1:6" x14ac:dyDescent="0.2">
      <c r="A51" s="1" t="s">
        <v>50</v>
      </c>
      <c r="B51" s="3">
        <f ca="1">VLOOKUP(A51,[3]TeamRtg!$A$3:$G$367,7,FALSE)</f>
        <v>1.383570720242532</v>
      </c>
      <c r="C51" s="1">
        <f t="shared" ca="1" si="0"/>
        <v>50</v>
      </c>
      <c r="D51" s="1">
        <v>50</v>
      </c>
      <c r="E51" s="1">
        <f>VLOOKUP($A51,[4]TeamRtg!$A$2:$E$366,4,FALSE)</f>
        <v>1.0840000000000001</v>
      </c>
      <c r="F51" s="1">
        <f>VLOOKUP($A51,[4]TeamRtg!$A$2:$E$366,5,FALSE)</f>
        <v>1.8340000000000001</v>
      </c>
    </row>
    <row r="52" spans="1:6" x14ac:dyDescent="0.2">
      <c r="A52" s="1" t="s">
        <v>37</v>
      </c>
      <c r="B52" s="3">
        <f ca="1">VLOOKUP(A52,[3]TeamRtg!$A$3:$G$367,7,FALSE)</f>
        <v>1.3294785489923744</v>
      </c>
      <c r="C52" s="1">
        <f t="shared" ca="1" si="0"/>
        <v>51</v>
      </c>
      <c r="D52" s="1">
        <v>51</v>
      </c>
      <c r="E52" s="1">
        <f>VLOOKUP($A52,[4]TeamRtg!$A$2:$E$366,4,FALSE)</f>
        <v>1.0309999999999999</v>
      </c>
      <c r="F52" s="1">
        <f>VLOOKUP($A52,[4]TeamRtg!$A$2:$E$366,5,FALSE)</f>
        <v>1.7809999999999999</v>
      </c>
    </row>
    <row r="53" spans="1:6" x14ac:dyDescent="0.2">
      <c r="A53" s="1" t="s">
        <v>38</v>
      </c>
      <c r="B53" s="3">
        <f ca="1">VLOOKUP(A53,[3]TeamRtg!$A$3:$G$367,7,FALSE)</f>
        <v>1.2946669086228073</v>
      </c>
      <c r="C53" s="1">
        <f t="shared" ca="1" si="0"/>
        <v>52</v>
      </c>
      <c r="D53" s="1">
        <v>52</v>
      </c>
      <c r="E53" s="1">
        <f>VLOOKUP($A53,[4]TeamRtg!$A$2:$E$366,4,FALSE)</f>
        <v>0.996</v>
      </c>
      <c r="F53" s="1">
        <f>VLOOKUP($A53,[4]TeamRtg!$A$2:$E$366,5,FALSE)</f>
        <v>1.746</v>
      </c>
    </row>
    <row r="54" spans="1:6" x14ac:dyDescent="0.2">
      <c r="A54" s="1" t="s">
        <v>21</v>
      </c>
      <c r="B54" s="3">
        <f ca="1">VLOOKUP(A54,[3]TeamRtg!$A$3:$G$367,7,FALSE)</f>
        <v>1.2834927786375292</v>
      </c>
      <c r="C54" s="1">
        <f t="shared" ca="1" si="0"/>
        <v>53</v>
      </c>
      <c r="D54" s="1">
        <v>53</v>
      </c>
      <c r="E54" s="1">
        <f>VLOOKUP($A54,[4]TeamRtg!$A$2:$E$366,4,FALSE)</f>
        <v>0.98599999999999999</v>
      </c>
      <c r="F54" s="1">
        <f>VLOOKUP($A54,[4]TeamRtg!$A$2:$E$366,5,FALSE)</f>
        <v>1.736</v>
      </c>
    </row>
    <row r="55" spans="1:6" x14ac:dyDescent="0.2">
      <c r="A55" s="1" t="s">
        <v>82</v>
      </c>
      <c r="B55" s="3">
        <f ca="1">VLOOKUP(A55,[3]TeamRtg!$A$3:$G$367,7,FALSE)</f>
        <v>1.258329041700726</v>
      </c>
      <c r="C55" s="1">
        <f t="shared" ca="1" si="0"/>
        <v>54</v>
      </c>
      <c r="D55" s="1">
        <v>54</v>
      </c>
      <c r="E55" s="1">
        <f>VLOOKUP($A55,[4]TeamRtg!$A$2:$E$366,4,FALSE)</f>
        <v>0.95899999999999996</v>
      </c>
      <c r="F55" s="1">
        <f>VLOOKUP($A55,[4]TeamRtg!$A$2:$E$366,5,FALSE)</f>
        <v>1.7090000000000001</v>
      </c>
    </row>
    <row r="56" spans="1:6" x14ac:dyDescent="0.2">
      <c r="A56" s="1" t="s">
        <v>93</v>
      </c>
      <c r="B56" s="3">
        <f ca="1">VLOOKUP(A56,[3]TeamRtg!$A$3:$G$367,7,FALSE)</f>
        <v>1.2500324817637327</v>
      </c>
      <c r="C56" s="1">
        <f t="shared" ca="1" si="0"/>
        <v>55</v>
      </c>
      <c r="D56" s="1">
        <v>55</v>
      </c>
      <c r="E56" s="1">
        <f>VLOOKUP($A56,[4]TeamRtg!$A$2:$E$366,4,FALSE)</f>
        <v>0.95099999999999996</v>
      </c>
      <c r="F56" s="1">
        <f>VLOOKUP($A56,[4]TeamRtg!$A$2:$E$366,5,FALSE)</f>
        <v>1.7010000000000001</v>
      </c>
    </row>
    <row r="57" spans="1:6" x14ac:dyDescent="0.2">
      <c r="A57" s="1" t="s">
        <v>72</v>
      </c>
      <c r="B57" s="3">
        <f ca="1">VLOOKUP(A57,[3]TeamRtg!$A$3:$G$367,7,FALSE)</f>
        <v>1.1989485684101833</v>
      </c>
      <c r="C57" s="1">
        <f t="shared" ca="1" si="0"/>
        <v>56</v>
      </c>
      <c r="D57" s="1">
        <v>56</v>
      </c>
      <c r="E57" s="1">
        <f>VLOOKUP($A57,[4]TeamRtg!$A$2:$E$366,4,FALSE)</f>
        <v>0.9</v>
      </c>
      <c r="F57" s="1">
        <f>VLOOKUP($A57,[4]TeamRtg!$A$2:$E$366,5,FALSE)</f>
        <v>1.65</v>
      </c>
    </row>
    <row r="58" spans="1:6" x14ac:dyDescent="0.2">
      <c r="A58" s="1" t="s">
        <v>59</v>
      </c>
      <c r="B58" s="3">
        <f ca="1">VLOOKUP(A58,[3]TeamRtg!$A$3:$G$367,7,FALSE)</f>
        <v>1.191752396281007</v>
      </c>
      <c r="C58" s="1">
        <f t="shared" ca="1" si="0"/>
        <v>58</v>
      </c>
      <c r="D58" s="1">
        <v>57</v>
      </c>
      <c r="E58" s="1">
        <f>VLOOKUP($A58,[4]TeamRtg!$A$2:$E$366,4,FALSE)</f>
        <v>0.89300000000000002</v>
      </c>
      <c r="F58" s="1">
        <f>VLOOKUP($A58,[4]TeamRtg!$A$2:$E$366,5,FALSE)</f>
        <v>1.643</v>
      </c>
    </row>
    <row r="59" spans="1:6" x14ac:dyDescent="0.2">
      <c r="A59" s="1" t="s">
        <v>97</v>
      </c>
      <c r="B59" s="3">
        <f ca="1">VLOOKUP(A59,[3]TeamRtg!$A$3:$G$367,7,FALSE)</f>
        <v>1.1680486216825459</v>
      </c>
      <c r="C59" s="1">
        <f t="shared" ca="1" si="0"/>
        <v>59</v>
      </c>
      <c r="D59" s="1">
        <v>58</v>
      </c>
      <c r="E59" s="1">
        <f>VLOOKUP($A59,[4]TeamRtg!$A$2:$E$366,4,FALSE)</f>
        <v>0.86899999999999999</v>
      </c>
      <c r="F59" s="1">
        <f>VLOOKUP($A59,[4]TeamRtg!$A$2:$E$366,5,FALSE)</f>
        <v>1.619</v>
      </c>
    </row>
    <row r="60" spans="1:6" x14ac:dyDescent="0.2">
      <c r="A60" s="1" t="s">
        <v>54</v>
      </c>
      <c r="B60" s="3">
        <f ca="1">VLOOKUP(A60,[3]TeamRtg!$A$3:$G$367,7,FALSE)</f>
        <v>1.1390084619272745</v>
      </c>
      <c r="C60" s="1">
        <f t="shared" ca="1" si="0"/>
        <v>60</v>
      </c>
      <c r="D60" s="1">
        <v>59</v>
      </c>
      <c r="E60" s="1">
        <f>VLOOKUP($A60,[4]TeamRtg!$A$2:$E$366,4,FALSE)</f>
        <v>0.84099999999999997</v>
      </c>
      <c r="F60" s="1">
        <f>VLOOKUP($A60,[4]TeamRtg!$A$2:$E$366,5,FALSE)</f>
        <v>1.591</v>
      </c>
    </row>
    <row r="61" spans="1:6" x14ac:dyDescent="0.2">
      <c r="A61" s="1" t="s">
        <v>90</v>
      </c>
      <c r="B61" s="3">
        <f ca="1">VLOOKUP(A61,[3]TeamRtg!$A$3:$G$367,7,FALSE)</f>
        <v>1.0861386545797997</v>
      </c>
      <c r="C61" s="1">
        <f t="shared" ca="1" si="0"/>
        <v>61</v>
      </c>
      <c r="D61" s="1">
        <v>60</v>
      </c>
      <c r="E61" s="1">
        <f>VLOOKUP($A61,[4]TeamRtg!$A$2:$E$366,4,FALSE)</f>
        <v>0.78800000000000003</v>
      </c>
      <c r="F61" s="1">
        <f>VLOOKUP($A61,[4]TeamRtg!$A$2:$E$366,5,FALSE)</f>
        <v>1.538</v>
      </c>
    </row>
    <row r="62" spans="1:6" x14ac:dyDescent="0.2">
      <c r="A62" s="1" t="s">
        <v>118</v>
      </c>
      <c r="B62" s="3">
        <f ca="1">VLOOKUP(A62,[3]TeamRtg!$A$3:$G$367,7,FALSE)</f>
        <v>1.0710821244795583</v>
      </c>
      <c r="C62" s="1">
        <f t="shared" ca="1" si="0"/>
        <v>62</v>
      </c>
      <c r="D62" s="1">
        <v>61</v>
      </c>
      <c r="E62" s="1">
        <f>VLOOKUP($A62,[4]TeamRtg!$A$2:$E$366,4,FALSE)</f>
        <v>0.77300000000000002</v>
      </c>
      <c r="F62" s="1">
        <f>VLOOKUP($A62,[4]TeamRtg!$A$2:$E$366,5,FALSE)</f>
        <v>1.5229999999999999</v>
      </c>
    </row>
    <row r="63" spans="1:6" x14ac:dyDescent="0.2">
      <c r="A63" s="1" t="s">
        <v>34</v>
      </c>
      <c r="B63" s="3">
        <f ca="1">VLOOKUP(A63,[3]TeamRtg!$A$3:$G$367,7,FALSE)</f>
        <v>1.0203125556685499</v>
      </c>
      <c r="C63" s="1">
        <f t="shared" ca="1" si="0"/>
        <v>63</v>
      </c>
      <c r="D63" s="1">
        <v>62</v>
      </c>
      <c r="E63" s="1">
        <f>VLOOKUP($A63,[4]TeamRtg!$A$2:$E$366,4,FALSE)</f>
        <v>0.72399999999999998</v>
      </c>
      <c r="F63" s="1">
        <f>VLOOKUP($A63,[4]TeamRtg!$A$2:$E$366,5,FALSE)</f>
        <v>1.474</v>
      </c>
    </row>
    <row r="64" spans="1:6" x14ac:dyDescent="0.2">
      <c r="A64" s="1" t="s">
        <v>43</v>
      </c>
      <c r="B64" s="3">
        <f ca="1">VLOOKUP(A64,[3]TeamRtg!$A$3:$G$367,7,FALSE)</f>
        <v>1.019098742144257</v>
      </c>
      <c r="C64" s="1">
        <f t="shared" ca="1" si="0"/>
        <v>64</v>
      </c>
      <c r="D64" s="1">
        <v>63</v>
      </c>
      <c r="E64" s="1">
        <f>VLOOKUP($A64,[4]TeamRtg!$A$2:$E$366,4,FALSE)</f>
        <v>0.72199999999999998</v>
      </c>
      <c r="F64" s="1">
        <f>VLOOKUP($A64,[4]TeamRtg!$A$2:$E$366,5,FALSE)</f>
        <v>1.472</v>
      </c>
    </row>
    <row r="65" spans="1:6" x14ac:dyDescent="0.2">
      <c r="A65" s="1" t="s">
        <v>102</v>
      </c>
      <c r="B65" s="3">
        <f ca="1">VLOOKUP(A65,[3]TeamRtg!$A$3:$G$367,7,FALSE)</f>
        <v>1.0071535974554773</v>
      </c>
      <c r="C65" s="1">
        <f t="shared" ca="1" si="0"/>
        <v>65</v>
      </c>
      <c r="D65" s="1">
        <v>64</v>
      </c>
      <c r="E65" s="1">
        <f>VLOOKUP($A65,[4]TeamRtg!$A$2:$E$366,4,FALSE)</f>
        <v>0.70899999999999996</v>
      </c>
      <c r="F65" s="1">
        <f>VLOOKUP($A65,[4]TeamRtg!$A$2:$E$366,5,FALSE)</f>
        <v>1.4590000000000001</v>
      </c>
    </row>
    <row r="66" spans="1:6" x14ac:dyDescent="0.2">
      <c r="A66" s="1" t="s">
        <v>84</v>
      </c>
      <c r="B66" s="3">
        <f ca="1">VLOOKUP(A66,[3]TeamRtg!$A$3:$G$367,7,FALSE)</f>
        <v>0.97208731765765943</v>
      </c>
      <c r="C66" s="1">
        <f t="shared" ref="C66:C129" ca="1" si="1">RANK(B66,$B$2:$B$366)</f>
        <v>66</v>
      </c>
      <c r="D66" s="1">
        <v>65</v>
      </c>
      <c r="E66" s="1">
        <f>VLOOKUP($A66,[4]TeamRtg!$A$2:$E$366,4,FALSE)</f>
        <v>0.67500000000000004</v>
      </c>
      <c r="F66" s="1">
        <f>VLOOKUP($A66,[4]TeamRtg!$A$2:$E$366,5,FALSE)</f>
        <v>1.425</v>
      </c>
    </row>
    <row r="67" spans="1:6" x14ac:dyDescent="0.2">
      <c r="A67" s="1" t="s">
        <v>99</v>
      </c>
      <c r="B67" s="3">
        <f ca="1">VLOOKUP(A67,[3]TeamRtg!$A$3:$G$367,7,FALSE)</f>
        <v>0.97155970444180273</v>
      </c>
      <c r="C67" s="1">
        <f t="shared" ca="1" si="1"/>
        <v>67</v>
      </c>
      <c r="D67" s="1">
        <v>66</v>
      </c>
      <c r="E67" s="1">
        <f>VLOOKUP($A67,[4]TeamRtg!$A$2:$E$366,4,FALSE)</f>
        <v>0.67400000000000004</v>
      </c>
      <c r="F67" s="1">
        <f>VLOOKUP($A67,[4]TeamRtg!$A$2:$E$366,5,FALSE)</f>
        <v>1.4239999999999999</v>
      </c>
    </row>
    <row r="68" spans="1:6" x14ac:dyDescent="0.2">
      <c r="A68" s="1" t="s">
        <v>51</v>
      </c>
      <c r="B68" s="3">
        <f ca="1">VLOOKUP(A68,[3]TeamRtg!$A$3:$G$367,7,FALSE)</f>
        <v>0.94726838151214798</v>
      </c>
      <c r="C68" s="1">
        <f t="shared" ca="1" si="1"/>
        <v>69</v>
      </c>
      <c r="D68" s="1">
        <v>67</v>
      </c>
      <c r="E68" s="1">
        <f>VLOOKUP($A68,[4]TeamRtg!$A$2:$E$366,4,FALSE)</f>
        <v>0.65</v>
      </c>
      <c r="F68" s="1">
        <f>VLOOKUP($A68,[4]TeamRtg!$A$2:$E$366,5,FALSE)</f>
        <v>1.4</v>
      </c>
    </row>
    <row r="69" spans="1:6" x14ac:dyDescent="0.2">
      <c r="A69" s="1" t="s">
        <v>70</v>
      </c>
      <c r="B69" s="3">
        <f ca="1">VLOOKUP(A69,[3]TeamRtg!$A$3:$G$367,7,FALSE)</f>
        <v>0.36807941972951241</v>
      </c>
      <c r="C69" s="1">
        <f t="shared" ca="1" si="1"/>
        <v>113</v>
      </c>
      <c r="D69" s="1">
        <v>68</v>
      </c>
      <c r="E69" s="1">
        <f>VLOOKUP($A69,[4]TeamRtg!$A$2:$E$366,4,FALSE)</f>
        <v>0.64200000000000002</v>
      </c>
      <c r="F69" s="1">
        <f>VLOOKUP($A69,[4]TeamRtg!$A$2:$E$366,5,FALSE)</f>
        <v>1.3919999999999999</v>
      </c>
    </row>
    <row r="70" spans="1:6" x14ac:dyDescent="0.2">
      <c r="A70" s="1" t="s">
        <v>94</v>
      </c>
      <c r="B70" s="3">
        <f ca="1">VLOOKUP(A70,[3]TeamRtg!$A$3:$G$367,7,FALSE)</f>
        <v>0.9360387879604557</v>
      </c>
      <c r="C70" s="1">
        <f t="shared" ca="1" si="1"/>
        <v>70</v>
      </c>
      <c r="D70" s="1">
        <v>69</v>
      </c>
      <c r="E70" s="1">
        <f>VLOOKUP($A70,[4]TeamRtg!$A$2:$E$366,4,FALSE)</f>
        <v>0.63900000000000001</v>
      </c>
      <c r="F70" s="1">
        <f>VLOOKUP($A70,[4]TeamRtg!$A$2:$E$366,5,FALSE)</f>
        <v>1.389</v>
      </c>
    </row>
    <row r="71" spans="1:6" x14ac:dyDescent="0.2">
      <c r="A71" s="1" t="s">
        <v>31</v>
      </c>
      <c r="B71" s="3">
        <f ca="1">VLOOKUP(A71,[3]TeamRtg!$A$3:$G$367,7,FALSE)</f>
        <v>0.92621146032683244</v>
      </c>
      <c r="C71" s="1">
        <f t="shared" ca="1" si="1"/>
        <v>71</v>
      </c>
      <c r="D71" s="1">
        <v>70</v>
      </c>
      <c r="E71" s="1">
        <f>VLOOKUP($A71,[4]TeamRtg!$A$2:$E$366,4,FALSE)</f>
        <v>0.63</v>
      </c>
      <c r="F71" s="1">
        <f>VLOOKUP($A71,[4]TeamRtg!$A$2:$E$366,5,FALSE)</f>
        <v>1.38</v>
      </c>
    </row>
    <row r="72" spans="1:6" x14ac:dyDescent="0.2">
      <c r="A72" s="1" t="s">
        <v>86</v>
      </c>
      <c r="B72" s="3">
        <f ca="1">VLOOKUP(A72,[3]TeamRtg!$A$3:$G$367,7,FALSE)</f>
        <v>0.92229772109543129</v>
      </c>
      <c r="C72" s="1">
        <f t="shared" ca="1" si="1"/>
        <v>72</v>
      </c>
      <c r="D72" s="1">
        <v>71</v>
      </c>
      <c r="E72" s="1">
        <f>VLOOKUP($A72,[4]TeamRtg!$A$2:$E$366,4,FALSE)</f>
        <v>0.625</v>
      </c>
      <c r="F72" s="1">
        <f>VLOOKUP($A72,[4]TeamRtg!$A$2:$E$366,5,FALSE)</f>
        <v>1.375</v>
      </c>
    </row>
    <row r="73" spans="1:6" x14ac:dyDescent="0.2">
      <c r="A73" s="1" t="s">
        <v>66</v>
      </c>
      <c r="B73" s="3">
        <f ca="1">VLOOKUP(A73,[3]TeamRtg!$A$3:$G$367,7,FALSE)</f>
        <v>0.92158701281500133</v>
      </c>
      <c r="C73" s="1">
        <f t="shared" ca="1" si="1"/>
        <v>73</v>
      </c>
      <c r="D73" s="1">
        <v>72</v>
      </c>
      <c r="E73" s="1">
        <f>VLOOKUP($A73,[4]TeamRtg!$A$2:$E$366,4,FALSE)</f>
        <v>0.625</v>
      </c>
      <c r="F73" s="1">
        <f>VLOOKUP($A73,[4]TeamRtg!$A$2:$E$366,5,FALSE)</f>
        <v>1.375</v>
      </c>
    </row>
    <row r="74" spans="1:6" x14ac:dyDescent="0.2">
      <c r="A74" s="1" t="s">
        <v>60</v>
      </c>
      <c r="B74" s="3">
        <f ca="1">VLOOKUP(A74,[3]TeamRtg!$A$3:$G$367,7,FALSE)</f>
        <v>1.1919373029271081</v>
      </c>
      <c r="C74" s="1">
        <f t="shared" ca="1" si="1"/>
        <v>57</v>
      </c>
      <c r="D74" s="1">
        <v>73</v>
      </c>
      <c r="E74" s="1">
        <f>VLOOKUP($A74,[4]TeamRtg!$A$2:$E$366,4,FALSE)</f>
        <v>0.61699999999999999</v>
      </c>
      <c r="F74" s="1">
        <f>VLOOKUP($A74,[4]TeamRtg!$A$2:$E$366,5,FALSE)</f>
        <v>1.367</v>
      </c>
    </row>
    <row r="75" spans="1:6" x14ac:dyDescent="0.2">
      <c r="A75" s="1" t="s">
        <v>27</v>
      </c>
      <c r="B75" s="3">
        <f ca="1">VLOOKUP(A75,[3]TeamRtg!$A$3:$G$367,7,FALSE)</f>
        <v>0.89587361841846413</v>
      </c>
      <c r="C75" s="1">
        <f t="shared" ca="1" si="1"/>
        <v>74</v>
      </c>
      <c r="D75" s="1">
        <v>74</v>
      </c>
      <c r="E75" s="1">
        <f>VLOOKUP($A75,[4]TeamRtg!$A$2:$E$366,4,FALSE)</f>
        <v>0.6</v>
      </c>
      <c r="F75" s="1">
        <f>VLOOKUP($A75,[4]TeamRtg!$A$2:$E$366,5,FALSE)</f>
        <v>1.35</v>
      </c>
    </row>
    <row r="76" spans="1:6" x14ac:dyDescent="0.2">
      <c r="A76" s="1" t="s">
        <v>75</v>
      </c>
      <c r="B76" s="3">
        <f ca="1">VLOOKUP(A76,[3]TeamRtg!$A$3:$G$367,7,FALSE)</f>
        <v>0.87533832609752737</v>
      </c>
      <c r="C76" s="1">
        <f t="shared" ca="1" si="1"/>
        <v>75</v>
      </c>
      <c r="D76" s="1">
        <v>75</v>
      </c>
      <c r="E76" s="1">
        <f>VLOOKUP($A76,[4]TeamRtg!$A$2:$E$366,4,FALSE)</f>
        <v>0.57899999999999996</v>
      </c>
      <c r="F76" s="1">
        <f>VLOOKUP($A76,[4]TeamRtg!$A$2:$E$366,5,FALSE)</f>
        <v>1.329</v>
      </c>
    </row>
    <row r="77" spans="1:6" x14ac:dyDescent="0.2">
      <c r="A77" s="1" t="s">
        <v>96</v>
      </c>
      <c r="B77" s="3">
        <f ca="1">VLOOKUP(A77,[3]TeamRtg!$A$3:$G$367,7,FALSE)</f>
        <v>0.97083333602150657</v>
      </c>
      <c r="C77" s="1">
        <f t="shared" ca="1" si="1"/>
        <v>68</v>
      </c>
      <c r="D77" s="1">
        <v>76</v>
      </c>
      <c r="E77" s="1">
        <f>VLOOKUP($A77,[4]TeamRtg!$A$2:$E$366,4,FALSE)</f>
        <v>0.57599999999999996</v>
      </c>
      <c r="F77" s="1">
        <f>VLOOKUP($A77,[4]TeamRtg!$A$2:$E$366,5,FALSE)</f>
        <v>1.3260000000000001</v>
      </c>
    </row>
    <row r="78" spans="1:6" x14ac:dyDescent="0.2">
      <c r="A78" s="1" t="s">
        <v>221</v>
      </c>
      <c r="B78" s="3">
        <f ca="1">VLOOKUP(A78,[3]TeamRtg!$A$3:$G$367,7,FALSE)</f>
        <v>0.86386777259981795</v>
      </c>
      <c r="C78" s="1">
        <f t="shared" ca="1" si="1"/>
        <v>76</v>
      </c>
      <c r="D78" s="1">
        <v>77</v>
      </c>
      <c r="E78" s="1">
        <f>VLOOKUP($A78,[4]TeamRtg!$A$2:$E$366,4,FALSE)</f>
        <v>0.56599999999999995</v>
      </c>
      <c r="F78" s="1">
        <f>VLOOKUP($A78,[4]TeamRtg!$A$2:$E$366,5,FALSE)</f>
        <v>1.3160000000000001</v>
      </c>
    </row>
    <row r="79" spans="1:6" x14ac:dyDescent="0.2">
      <c r="A79" s="1" t="s">
        <v>127</v>
      </c>
      <c r="B79" s="3">
        <f ca="1">VLOOKUP(A79,[3]TeamRtg!$A$3:$G$367,7,FALSE)</f>
        <v>0.84945836941437158</v>
      </c>
      <c r="C79" s="1">
        <f t="shared" ca="1" si="1"/>
        <v>77</v>
      </c>
      <c r="D79" s="1">
        <v>78</v>
      </c>
      <c r="E79" s="1">
        <f>VLOOKUP($A79,[4]TeamRtg!$A$2:$E$366,4,FALSE)</f>
        <v>0.55200000000000005</v>
      </c>
      <c r="F79" s="1">
        <f>VLOOKUP($A79,[4]TeamRtg!$A$2:$E$366,5,FALSE)</f>
        <v>1.302</v>
      </c>
    </row>
    <row r="80" spans="1:6" x14ac:dyDescent="0.2">
      <c r="A80" s="1" t="s">
        <v>119</v>
      </c>
      <c r="B80" s="3">
        <f ca="1">VLOOKUP(A80,[3]TeamRtg!$A$3:$G$367,7,FALSE)</f>
        <v>0.83921143403767196</v>
      </c>
      <c r="C80" s="1">
        <f t="shared" ca="1" si="1"/>
        <v>78</v>
      </c>
      <c r="D80" s="1">
        <v>79</v>
      </c>
      <c r="E80" s="1">
        <f>VLOOKUP($A80,[4]TeamRtg!$A$2:$E$366,4,FALSE)</f>
        <v>0.54200000000000004</v>
      </c>
      <c r="F80" s="1">
        <f>VLOOKUP($A80,[4]TeamRtg!$A$2:$E$366,5,FALSE)</f>
        <v>1.292</v>
      </c>
    </row>
    <row r="81" spans="1:6" x14ac:dyDescent="0.2">
      <c r="A81" s="1" t="s">
        <v>80</v>
      </c>
      <c r="B81" s="3">
        <f ca="1">VLOOKUP(A81,[3]TeamRtg!$A$3:$G$367,7,FALSE)</f>
        <v>0.81701943108361175</v>
      </c>
      <c r="C81" s="1">
        <f t="shared" ca="1" si="1"/>
        <v>79</v>
      </c>
      <c r="D81" s="1">
        <v>80</v>
      </c>
      <c r="E81" s="1">
        <f>VLOOKUP($A81,[4]TeamRtg!$A$2:$E$366,4,FALSE)</f>
        <v>0.52100000000000002</v>
      </c>
      <c r="F81" s="1">
        <f>VLOOKUP($A81,[4]TeamRtg!$A$2:$E$366,5,FALSE)</f>
        <v>1.2709999999999999</v>
      </c>
    </row>
    <row r="82" spans="1:6" x14ac:dyDescent="0.2">
      <c r="A82" s="1" t="s">
        <v>105</v>
      </c>
      <c r="B82" s="3">
        <f ca="1">VLOOKUP(A82,[3]TeamRtg!$A$3:$G$367,7,FALSE)</f>
        <v>0.78372118685034498</v>
      </c>
      <c r="C82" s="1">
        <f t="shared" ca="1" si="1"/>
        <v>80</v>
      </c>
      <c r="D82" s="1">
        <v>81</v>
      </c>
      <c r="E82" s="1">
        <f>VLOOKUP($A82,[4]TeamRtg!$A$2:$E$366,4,FALSE)</f>
        <v>0.48699999999999999</v>
      </c>
      <c r="F82" s="1">
        <f>VLOOKUP($A82,[4]TeamRtg!$A$2:$E$366,5,FALSE)</f>
        <v>1.2370000000000001</v>
      </c>
    </row>
    <row r="83" spans="1:6" x14ac:dyDescent="0.2">
      <c r="A83" s="1" t="s">
        <v>114</v>
      </c>
      <c r="B83" s="3">
        <f ca="1">VLOOKUP(A83,[3]TeamRtg!$A$3:$G$367,7,FALSE)</f>
        <v>0.7711209289086125</v>
      </c>
      <c r="C83" s="1">
        <f t="shared" ca="1" si="1"/>
        <v>81</v>
      </c>
      <c r="D83" s="1">
        <v>82</v>
      </c>
      <c r="E83" s="1">
        <f>VLOOKUP($A83,[4]TeamRtg!$A$2:$E$366,4,FALSE)</f>
        <v>0.47399999999999998</v>
      </c>
      <c r="F83" s="1">
        <f>VLOOKUP($A83,[4]TeamRtg!$A$2:$E$366,5,FALSE)</f>
        <v>1.224</v>
      </c>
    </row>
    <row r="84" spans="1:6" x14ac:dyDescent="0.2">
      <c r="A84" s="1" t="s">
        <v>103</v>
      </c>
      <c r="B84" s="3">
        <f ca="1">VLOOKUP(A84,[3]TeamRtg!$A$3:$G$367,7,FALSE)</f>
        <v>0.72333721099166848</v>
      </c>
      <c r="C84" s="1">
        <f t="shared" ca="1" si="1"/>
        <v>82</v>
      </c>
      <c r="D84" s="1">
        <v>83</v>
      </c>
      <c r="E84" s="1">
        <f>VLOOKUP($A84,[4]TeamRtg!$A$2:$E$366,4,FALSE)</f>
        <v>0.42699999999999999</v>
      </c>
      <c r="F84" s="1">
        <f>VLOOKUP($A84,[4]TeamRtg!$A$2:$E$366,5,FALSE)</f>
        <v>1.177</v>
      </c>
    </row>
    <row r="85" spans="1:6" x14ac:dyDescent="0.2">
      <c r="A85" s="1" t="s">
        <v>71</v>
      </c>
      <c r="B85" s="3">
        <f ca="1">VLOOKUP(A85,[3]TeamRtg!$A$3:$G$367,7,FALSE)</f>
        <v>0.72139389814334498</v>
      </c>
      <c r="C85" s="1">
        <f t="shared" ca="1" si="1"/>
        <v>83</v>
      </c>
      <c r="D85" s="1">
        <v>84</v>
      </c>
      <c r="E85" s="1">
        <f>VLOOKUP($A85,[4]TeamRtg!$A$2:$E$366,4,FALSE)</f>
        <v>0.42599999999999999</v>
      </c>
      <c r="F85" s="1">
        <f>VLOOKUP($A85,[4]TeamRtg!$A$2:$E$366,5,FALSE)</f>
        <v>1.1759999999999999</v>
      </c>
    </row>
    <row r="86" spans="1:6" x14ac:dyDescent="0.2">
      <c r="A86" s="1" t="s">
        <v>55</v>
      </c>
      <c r="B86" s="3">
        <f ca="1">VLOOKUP(A86,[3]TeamRtg!$A$3:$G$367,7,FALSE)</f>
        <v>0.67588441004868616</v>
      </c>
      <c r="C86" s="1">
        <f t="shared" ca="1" si="1"/>
        <v>84</v>
      </c>
      <c r="D86" s="1">
        <v>85</v>
      </c>
      <c r="E86" s="1">
        <f>VLOOKUP($A86,[4]TeamRtg!$A$2:$E$366,4,FALSE)</f>
        <v>0.38100000000000001</v>
      </c>
      <c r="F86" s="1">
        <f>VLOOKUP($A86,[4]TeamRtg!$A$2:$E$366,5,FALSE)</f>
        <v>1.131</v>
      </c>
    </row>
    <row r="87" spans="1:6" x14ac:dyDescent="0.2">
      <c r="A87" s="1" t="s">
        <v>122</v>
      </c>
      <c r="B87" s="3">
        <f ca="1">VLOOKUP(A87,[3]TeamRtg!$A$3:$G$367,7,FALSE)</f>
        <v>0.66438996240911286</v>
      </c>
      <c r="C87" s="1">
        <f t="shared" ca="1" si="1"/>
        <v>85</v>
      </c>
      <c r="D87" s="1">
        <v>86</v>
      </c>
      <c r="E87" s="1">
        <f>VLOOKUP($A87,[4]TeamRtg!$A$2:$E$366,4,FALSE)</f>
        <v>0.36799999999999999</v>
      </c>
      <c r="F87" s="1">
        <f>VLOOKUP($A87,[4]TeamRtg!$A$2:$E$366,5,FALSE)</f>
        <v>1.1180000000000001</v>
      </c>
    </row>
    <row r="88" spans="1:6" x14ac:dyDescent="0.2">
      <c r="A88" s="1" t="s">
        <v>62</v>
      </c>
      <c r="B88" s="3">
        <f ca="1">VLOOKUP(A88,[3]TeamRtg!$A$3:$G$367,7,FALSE)</f>
        <v>0.63775980918693098</v>
      </c>
      <c r="C88" s="1">
        <f t="shared" ca="1" si="1"/>
        <v>86</v>
      </c>
      <c r="D88" s="1">
        <v>87</v>
      </c>
      <c r="E88" s="1">
        <f>VLOOKUP($A88,[4]TeamRtg!$A$2:$E$366,4,FALSE)</f>
        <v>0.34300000000000003</v>
      </c>
      <c r="F88" s="1">
        <f>VLOOKUP($A88,[4]TeamRtg!$A$2:$E$366,5,FALSE)</f>
        <v>1.093</v>
      </c>
    </row>
    <row r="89" spans="1:6" x14ac:dyDescent="0.2">
      <c r="A89" s="1" t="s">
        <v>87</v>
      </c>
      <c r="B89" s="3">
        <f ca="1">VLOOKUP(A89,[3]TeamRtg!$A$3:$G$367,7,FALSE)</f>
        <v>0.63446750269404528</v>
      </c>
      <c r="C89" s="1">
        <f t="shared" ca="1" si="1"/>
        <v>87</v>
      </c>
      <c r="D89" s="1">
        <v>88</v>
      </c>
      <c r="E89" s="1">
        <f>VLOOKUP($A89,[4]TeamRtg!$A$2:$E$366,4,FALSE)</f>
        <v>0.33900000000000002</v>
      </c>
      <c r="F89" s="1">
        <f>VLOOKUP($A89,[4]TeamRtg!$A$2:$E$366,5,FALSE)</f>
        <v>1.089</v>
      </c>
    </row>
    <row r="90" spans="1:6" x14ac:dyDescent="0.2">
      <c r="A90" s="1" t="s">
        <v>79</v>
      </c>
      <c r="B90" s="3">
        <f ca="1">VLOOKUP(A90,[3]TeamRtg!$A$3:$G$367,7,FALSE)</f>
        <v>0.62894114418157687</v>
      </c>
      <c r="C90" s="1">
        <f t="shared" ca="1" si="1"/>
        <v>88</v>
      </c>
      <c r="D90" s="1">
        <v>89</v>
      </c>
      <c r="E90" s="1">
        <f>VLOOKUP($A90,[4]TeamRtg!$A$2:$E$366,4,FALSE)</f>
        <v>0.33300000000000002</v>
      </c>
      <c r="F90" s="1">
        <f>VLOOKUP($A90,[4]TeamRtg!$A$2:$E$366,5,FALSE)</f>
        <v>1.083</v>
      </c>
    </row>
    <row r="91" spans="1:6" x14ac:dyDescent="0.2">
      <c r="A91" s="1" t="s">
        <v>274</v>
      </c>
      <c r="B91" s="3">
        <f ca="1">VLOOKUP(A91,[3]TeamRtg!$A$3:$G$367,7,FALSE)</f>
        <v>0.61815259508913967</v>
      </c>
      <c r="C91" s="1">
        <f t="shared" ca="1" si="1"/>
        <v>89</v>
      </c>
      <c r="D91" s="1">
        <v>90</v>
      </c>
      <c r="E91" s="1">
        <f>VLOOKUP($A91,[4]TeamRtg!$A$2:$E$366,4,FALSE)</f>
        <v>0.32100000000000001</v>
      </c>
      <c r="F91" s="1">
        <f>VLOOKUP($A91,[4]TeamRtg!$A$2:$E$366,5,FALSE)</f>
        <v>1.071</v>
      </c>
    </row>
    <row r="92" spans="1:6" x14ac:dyDescent="0.2">
      <c r="A92" s="1" t="s">
        <v>166</v>
      </c>
      <c r="B92" s="3">
        <f ca="1">VLOOKUP(A92,[3]TeamRtg!$A$3:$G$367,7,FALSE)</f>
        <v>0.61417160868970788</v>
      </c>
      <c r="C92" s="1">
        <f t="shared" ca="1" si="1"/>
        <v>90</v>
      </c>
      <c r="D92" s="1">
        <v>91</v>
      </c>
      <c r="E92" s="1">
        <f>VLOOKUP($A92,[4]TeamRtg!$A$2:$E$366,4,FALSE)</f>
        <v>0.318</v>
      </c>
      <c r="F92" s="1">
        <f>VLOOKUP($A92,[4]TeamRtg!$A$2:$E$366,5,FALSE)</f>
        <v>1.0680000000000001</v>
      </c>
    </row>
    <row r="93" spans="1:6" x14ac:dyDescent="0.2">
      <c r="A93" s="1" t="s">
        <v>151</v>
      </c>
      <c r="B93" s="3">
        <f ca="1">VLOOKUP(A93,[3]TeamRtg!$A$3:$G$367,7,FALSE)</f>
        <v>0.57324039005354555</v>
      </c>
      <c r="C93" s="1">
        <f t="shared" ca="1" si="1"/>
        <v>91</v>
      </c>
      <c r="D93" s="1">
        <v>92</v>
      </c>
      <c r="E93" s="1">
        <f>VLOOKUP($A93,[4]TeamRtg!$A$2:$E$366,4,FALSE)</f>
        <v>0.27700000000000002</v>
      </c>
      <c r="F93" s="1">
        <f>VLOOKUP($A93,[4]TeamRtg!$A$2:$E$366,5,FALSE)</f>
        <v>1.0269999999999999</v>
      </c>
    </row>
    <row r="94" spans="1:6" x14ac:dyDescent="0.2">
      <c r="A94" s="1" t="s">
        <v>142</v>
      </c>
      <c r="B94" s="3">
        <f ca="1">VLOOKUP(A94,[3]TeamRtg!$A$3:$G$367,7,FALSE)</f>
        <v>0.54188720831820514</v>
      </c>
      <c r="C94" s="1">
        <f t="shared" ca="1" si="1"/>
        <v>92</v>
      </c>
      <c r="D94" s="1">
        <v>93</v>
      </c>
      <c r="E94" s="1">
        <f>VLOOKUP($A94,[4]TeamRtg!$A$2:$E$366,4,FALSE)</f>
        <v>0.246</v>
      </c>
      <c r="F94" s="1">
        <f>VLOOKUP($A94,[4]TeamRtg!$A$2:$E$366,5,FALSE)</f>
        <v>0.996</v>
      </c>
    </row>
    <row r="95" spans="1:6" x14ac:dyDescent="0.2">
      <c r="A95" s="1" t="s">
        <v>65</v>
      </c>
      <c r="B95" s="3">
        <f ca="1">VLOOKUP(A95,[3]TeamRtg!$A$3:$G$367,7,FALSE)</f>
        <v>0.52879411576052715</v>
      </c>
      <c r="C95" s="1">
        <f t="shared" ca="1" si="1"/>
        <v>93</v>
      </c>
      <c r="D95" s="1">
        <v>94</v>
      </c>
      <c r="E95" s="1">
        <f>VLOOKUP($A95,[4]TeamRtg!$A$2:$E$366,4,FALSE)</f>
        <v>0.23400000000000001</v>
      </c>
      <c r="F95" s="1">
        <f>VLOOKUP($A95,[4]TeamRtg!$A$2:$E$366,5,FALSE)</f>
        <v>0.98399999999999999</v>
      </c>
    </row>
    <row r="96" spans="1:6" x14ac:dyDescent="0.2">
      <c r="A96" s="1" t="s">
        <v>32</v>
      </c>
      <c r="B96" s="3">
        <f ca="1">VLOOKUP(A96,[3]TeamRtg!$A$3:$G$367,7,FALSE)</f>
        <v>0.52466763690653995</v>
      </c>
      <c r="C96" s="1">
        <f t="shared" ca="1" si="1"/>
        <v>94</v>
      </c>
      <c r="D96" s="1">
        <v>95</v>
      </c>
      <c r="E96" s="1">
        <f>VLOOKUP($A96,[4]TeamRtg!$A$2:$E$366,4,FALSE)</f>
        <v>0.23100000000000001</v>
      </c>
      <c r="F96" s="1">
        <f>VLOOKUP($A96,[4]TeamRtg!$A$2:$E$366,5,FALSE)</f>
        <v>0.98099999999999998</v>
      </c>
    </row>
    <row r="97" spans="1:6" x14ac:dyDescent="0.2">
      <c r="A97" s="1" t="s">
        <v>193</v>
      </c>
      <c r="B97" s="3">
        <f ca="1">VLOOKUP(A97,[3]TeamRtg!$A$3:$G$367,7,FALSE)</f>
        <v>0.52164362788052465</v>
      </c>
      <c r="C97" s="1">
        <f t="shared" ca="1" si="1"/>
        <v>95</v>
      </c>
      <c r="D97" s="1">
        <v>96</v>
      </c>
      <c r="E97" s="1">
        <f>VLOOKUP($A97,[4]TeamRtg!$A$2:$E$366,4,FALSE)</f>
        <v>0.22600000000000001</v>
      </c>
      <c r="F97" s="1">
        <f>VLOOKUP($A97,[4]TeamRtg!$A$2:$E$366,5,FALSE)</f>
        <v>0.97599999999999998</v>
      </c>
    </row>
    <row r="98" spans="1:6" x14ac:dyDescent="0.2">
      <c r="A98" s="1" t="s">
        <v>228</v>
      </c>
      <c r="B98" s="3">
        <f ca="1">VLOOKUP(A98,[3]TeamRtg!$A$3:$G$367,7,FALSE)</f>
        <v>0.10917892832155619</v>
      </c>
      <c r="C98" s="1">
        <f t="shared" ca="1" si="1"/>
        <v>143</v>
      </c>
      <c r="D98" s="1">
        <v>97</v>
      </c>
      <c r="E98" s="1">
        <f>VLOOKUP($A98,[4]TeamRtg!$A$2:$E$366,4,FALSE)</f>
        <v>0.224</v>
      </c>
      <c r="F98" s="1">
        <f>VLOOKUP($A98,[4]TeamRtg!$A$2:$E$366,5,FALSE)</f>
        <v>0.97399999999999998</v>
      </c>
    </row>
    <row r="99" spans="1:6" x14ac:dyDescent="0.2">
      <c r="A99" s="1" t="s">
        <v>192</v>
      </c>
      <c r="B99" s="3">
        <f ca="1">VLOOKUP(A99,[3]TeamRtg!$A$3:$G$367,7,FALSE)</f>
        <v>0.51605333448873647</v>
      </c>
      <c r="C99" s="1">
        <f t="shared" ca="1" si="1"/>
        <v>96</v>
      </c>
      <c r="D99" s="1">
        <v>98</v>
      </c>
      <c r="E99" s="1">
        <f>VLOOKUP($A99,[4]TeamRtg!$A$2:$E$366,4,FALSE)</f>
        <v>0.22</v>
      </c>
      <c r="F99" s="1">
        <f>VLOOKUP($A99,[4]TeamRtg!$A$2:$E$366,5,FALSE)</f>
        <v>0.97</v>
      </c>
    </row>
    <row r="100" spans="1:6" x14ac:dyDescent="0.2">
      <c r="A100" s="1" t="s">
        <v>69</v>
      </c>
      <c r="B100" s="3">
        <f ca="1">VLOOKUP(A100,[3]TeamRtg!$A$3:$G$367,7,FALSE)</f>
        <v>0.50199692372658966</v>
      </c>
      <c r="C100" s="1">
        <f t="shared" ca="1" si="1"/>
        <v>97</v>
      </c>
      <c r="D100" s="1">
        <v>99</v>
      </c>
      <c r="E100" s="1">
        <f>VLOOKUP($A100,[4]TeamRtg!$A$2:$E$366,4,FALSE)</f>
        <v>0.20799999999999999</v>
      </c>
      <c r="F100" s="1">
        <f>VLOOKUP($A100,[4]TeamRtg!$A$2:$E$366,5,FALSE)</f>
        <v>0.95799999999999996</v>
      </c>
    </row>
    <row r="101" spans="1:6" x14ac:dyDescent="0.2">
      <c r="A101" s="1" t="s">
        <v>68</v>
      </c>
      <c r="B101" s="3">
        <f ca="1">VLOOKUP(A101,[3]TeamRtg!$A$3:$G$367,7,FALSE)</f>
        <v>0.48409138320474643</v>
      </c>
      <c r="C101" s="1">
        <f t="shared" ca="1" si="1"/>
        <v>99</v>
      </c>
      <c r="D101" s="1">
        <v>100</v>
      </c>
      <c r="E101" s="1">
        <f>VLOOKUP($A101,[4]TeamRtg!$A$2:$E$366,4,FALSE)</f>
        <v>0.19</v>
      </c>
      <c r="F101" s="1">
        <f>VLOOKUP($A101,[4]TeamRtg!$A$2:$E$366,5,FALSE)</f>
        <v>0.94</v>
      </c>
    </row>
    <row r="102" spans="1:6" x14ac:dyDescent="0.2">
      <c r="A102" s="1" t="s">
        <v>153</v>
      </c>
      <c r="B102" s="3">
        <f ca="1">VLOOKUP(A102,[3]TeamRtg!$A$3:$G$367,7,FALSE)</f>
        <v>0.47098867621266638</v>
      </c>
      <c r="C102" s="1">
        <f t="shared" ca="1" si="1"/>
        <v>100</v>
      </c>
      <c r="D102" s="1">
        <v>101</v>
      </c>
      <c r="E102" s="1">
        <f>VLOOKUP($A102,[4]TeamRtg!$A$2:$E$366,4,FALSE)</f>
        <v>0.17599999999999999</v>
      </c>
      <c r="F102" s="1">
        <f>VLOOKUP($A102,[4]TeamRtg!$A$2:$E$366,5,FALSE)</f>
        <v>0.92600000000000005</v>
      </c>
    </row>
    <row r="103" spans="1:6" x14ac:dyDescent="0.2">
      <c r="A103" s="1" t="s">
        <v>64</v>
      </c>
      <c r="B103" s="3">
        <f ca="1">VLOOKUP(A103,[3]TeamRtg!$A$3:$G$367,7,FALSE)</f>
        <v>0.46370970431155178</v>
      </c>
      <c r="C103" s="1">
        <f t="shared" ca="1" si="1"/>
        <v>101</v>
      </c>
      <c r="D103" s="1">
        <v>102</v>
      </c>
      <c r="E103" s="1">
        <f>VLOOKUP($A103,[4]TeamRtg!$A$2:$E$366,4,FALSE)</f>
        <v>0.17</v>
      </c>
      <c r="F103" s="1">
        <f>VLOOKUP($A103,[4]TeamRtg!$A$2:$E$366,5,FALSE)</f>
        <v>0.92</v>
      </c>
    </row>
    <row r="104" spans="1:6" x14ac:dyDescent="0.2">
      <c r="A104" s="1" t="s">
        <v>140</v>
      </c>
      <c r="B104" s="3">
        <f ca="1">VLOOKUP(A104,[3]TeamRtg!$A$3:$G$367,7,FALSE)</f>
        <v>0.46178000468725461</v>
      </c>
      <c r="C104" s="1">
        <f t="shared" ca="1" si="1"/>
        <v>102</v>
      </c>
      <c r="D104" s="1">
        <v>103</v>
      </c>
      <c r="E104" s="1">
        <f>VLOOKUP($A104,[4]TeamRtg!$A$2:$E$366,4,FALSE)</f>
        <v>0.16700000000000001</v>
      </c>
      <c r="F104" s="1">
        <f>VLOOKUP($A104,[4]TeamRtg!$A$2:$E$366,5,FALSE)</f>
        <v>0.91700000000000004</v>
      </c>
    </row>
    <row r="105" spans="1:6" x14ac:dyDescent="0.2">
      <c r="A105" s="1" t="s">
        <v>101</v>
      </c>
      <c r="B105" s="3">
        <f ca="1">VLOOKUP(A105,[3]TeamRtg!$A$3:$G$367,7,FALSE)</f>
        <v>0.4567520138860553</v>
      </c>
      <c r="C105" s="1">
        <f t="shared" ca="1" si="1"/>
        <v>103</v>
      </c>
      <c r="D105" s="1">
        <v>104</v>
      </c>
      <c r="E105" s="1">
        <f>VLOOKUP($A105,[4]TeamRtg!$A$2:$E$366,4,FALSE)</f>
        <v>0.16200000000000001</v>
      </c>
      <c r="F105" s="1">
        <f>VLOOKUP($A105,[4]TeamRtg!$A$2:$E$366,5,FALSE)</f>
        <v>0.91200000000000003</v>
      </c>
    </row>
    <row r="106" spans="1:6" x14ac:dyDescent="0.2">
      <c r="A106" s="1" t="s">
        <v>210</v>
      </c>
      <c r="B106" s="3">
        <f ca="1">VLOOKUP(A106,[3]TeamRtg!$A$3:$G$367,7,FALSE)</f>
        <v>0.45106928314771205</v>
      </c>
      <c r="C106" s="1">
        <f t="shared" ca="1" si="1"/>
        <v>104</v>
      </c>
      <c r="D106" s="1">
        <v>105</v>
      </c>
      <c r="E106" s="1">
        <f>VLOOKUP($A106,[4]TeamRtg!$A$2:$E$366,4,FALSE)</f>
        <v>0.155</v>
      </c>
      <c r="F106" s="1">
        <f>VLOOKUP($A106,[4]TeamRtg!$A$2:$E$366,5,FALSE)</f>
        <v>0.90500000000000003</v>
      </c>
    </row>
    <row r="107" spans="1:6" x14ac:dyDescent="0.2">
      <c r="A107" s="1" t="s">
        <v>125</v>
      </c>
      <c r="B107" s="3">
        <f ca="1">VLOOKUP(A107,[3]TeamRtg!$A$3:$G$367,7,FALSE)</f>
        <v>0.4497148243591097</v>
      </c>
      <c r="C107" s="1">
        <f t="shared" ca="1" si="1"/>
        <v>105</v>
      </c>
      <c r="D107" s="1">
        <v>106</v>
      </c>
      <c r="E107" s="1">
        <f>VLOOKUP($A107,[4]TeamRtg!$A$2:$E$366,4,FALSE)</f>
        <v>0.155</v>
      </c>
      <c r="F107" s="1">
        <f>VLOOKUP($A107,[4]TeamRtg!$A$2:$E$366,5,FALSE)</f>
        <v>0.90500000000000003</v>
      </c>
    </row>
    <row r="108" spans="1:6" x14ac:dyDescent="0.2">
      <c r="A108" s="1" t="s">
        <v>159</v>
      </c>
      <c r="B108" s="3">
        <f ca="1">VLOOKUP(A108,[3]TeamRtg!$A$3:$G$367,7,FALSE)</f>
        <v>0.42483165337971318</v>
      </c>
      <c r="C108" s="1">
        <f t="shared" ca="1" si="1"/>
        <v>106</v>
      </c>
      <c r="D108" s="1">
        <v>107</v>
      </c>
      <c r="E108" s="1">
        <f>VLOOKUP($A108,[4]TeamRtg!$A$2:$E$366,4,FALSE)</f>
        <v>0.13</v>
      </c>
      <c r="F108" s="1">
        <f>VLOOKUP($A108,[4]TeamRtg!$A$2:$E$366,5,FALSE)</f>
        <v>0.88</v>
      </c>
    </row>
    <row r="109" spans="1:6" x14ac:dyDescent="0.2">
      <c r="A109" s="1" t="s">
        <v>95</v>
      </c>
      <c r="B109" s="3">
        <f ca="1">VLOOKUP(A109,[3]TeamRtg!$A$3:$G$367,7,FALSE)</f>
        <v>0.49953497949395281</v>
      </c>
      <c r="C109" s="1">
        <f t="shared" ca="1" si="1"/>
        <v>98</v>
      </c>
      <c r="D109" s="1">
        <v>108</v>
      </c>
      <c r="E109" s="1">
        <f>VLOOKUP($A109,[4]TeamRtg!$A$2:$E$366,4,FALSE)</f>
        <v>0.121</v>
      </c>
      <c r="F109" s="1">
        <f>VLOOKUP($A109,[4]TeamRtg!$A$2:$E$366,5,FALSE)</f>
        <v>0.871</v>
      </c>
    </row>
    <row r="110" spans="1:6" x14ac:dyDescent="0.2">
      <c r="A110" s="1" t="s">
        <v>224</v>
      </c>
      <c r="B110" s="3">
        <f ca="1">VLOOKUP(A110,[3]TeamRtg!$A$3:$G$367,7,FALSE)</f>
        <v>0.41689403993753049</v>
      </c>
      <c r="C110" s="1">
        <f t="shared" ca="1" si="1"/>
        <v>107</v>
      </c>
      <c r="D110" s="1">
        <v>109</v>
      </c>
      <c r="E110" s="1">
        <f>VLOOKUP($A110,[4]TeamRtg!$A$2:$E$366,4,FALSE)</f>
        <v>0.121</v>
      </c>
      <c r="F110" s="1">
        <f>VLOOKUP($A110,[4]TeamRtg!$A$2:$E$366,5,FALSE)</f>
        <v>0.871</v>
      </c>
    </row>
    <row r="111" spans="1:6" x14ac:dyDescent="0.2">
      <c r="A111" s="1" t="s">
        <v>116</v>
      </c>
      <c r="B111" s="3">
        <f ca="1">VLOOKUP(A111,[3]TeamRtg!$A$3:$G$367,7,FALSE)</f>
        <v>0.40275008988252042</v>
      </c>
      <c r="C111" s="1">
        <f t="shared" ca="1" si="1"/>
        <v>108</v>
      </c>
      <c r="D111" s="1">
        <v>110</v>
      </c>
      <c r="E111" s="1">
        <f>VLOOKUP($A111,[4]TeamRtg!$A$2:$E$366,4,FALSE)</f>
        <v>0.108</v>
      </c>
      <c r="F111" s="1">
        <f>VLOOKUP($A111,[4]TeamRtg!$A$2:$E$366,5,FALSE)</f>
        <v>0.85799999999999998</v>
      </c>
    </row>
    <row r="112" spans="1:6" x14ac:dyDescent="0.2">
      <c r="A112" s="1" t="s">
        <v>89</v>
      </c>
      <c r="B112" s="3">
        <f ca="1">VLOOKUP(A112,[3]TeamRtg!$A$3:$G$367,7,FALSE)</f>
        <v>0.4006950194130553</v>
      </c>
      <c r="C112" s="1">
        <f t="shared" ca="1" si="1"/>
        <v>109</v>
      </c>
      <c r="D112" s="1">
        <v>111</v>
      </c>
      <c r="E112" s="1">
        <f>VLOOKUP($A112,[4]TeamRtg!$A$2:$E$366,4,FALSE)</f>
        <v>0.107</v>
      </c>
      <c r="F112" s="1">
        <f>VLOOKUP($A112,[4]TeamRtg!$A$2:$E$366,5,FALSE)</f>
        <v>0.85699999999999998</v>
      </c>
    </row>
    <row r="113" spans="1:6" x14ac:dyDescent="0.2">
      <c r="A113" s="1" t="s">
        <v>108</v>
      </c>
      <c r="B113" s="3">
        <f ca="1">VLOOKUP(A113,[3]TeamRtg!$A$3:$G$367,7,FALSE)</f>
        <v>0.39528841291280453</v>
      </c>
      <c r="C113" s="1">
        <f t="shared" ca="1" si="1"/>
        <v>110</v>
      </c>
      <c r="D113" s="1">
        <v>112</v>
      </c>
      <c r="E113" s="1">
        <f>VLOOKUP($A113,[4]TeamRtg!$A$2:$E$366,4,FALSE)</f>
        <v>0.10100000000000001</v>
      </c>
      <c r="F113" s="1">
        <f>VLOOKUP($A113,[4]TeamRtg!$A$2:$E$366,5,FALSE)</f>
        <v>0.85099999999999998</v>
      </c>
    </row>
    <row r="114" spans="1:6" x14ac:dyDescent="0.2">
      <c r="A114" s="1" t="s">
        <v>74</v>
      </c>
      <c r="B114" s="3">
        <f ca="1">VLOOKUP(A114,[3]TeamRtg!$A$3:$G$367,7,FALSE)</f>
        <v>0.37811185342381765</v>
      </c>
      <c r="C114" s="1">
        <f t="shared" ca="1" si="1"/>
        <v>111</v>
      </c>
      <c r="D114" s="1">
        <v>113</v>
      </c>
      <c r="E114" s="1">
        <f>VLOOKUP($A114,[4]TeamRtg!$A$2:$E$366,4,FALSE)</f>
        <v>8.4000000000000005E-2</v>
      </c>
      <c r="F114" s="1">
        <f>VLOOKUP($A114,[4]TeamRtg!$A$2:$E$366,5,FALSE)</f>
        <v>0.83399999999999996</v>
      </c>
    </row>
    <row r="115" spans="1:6" x14ac:dyDescent="0.2">
      <c r="A115" s="1" t="s">
        <v>109</v>
      </c>
      <c r="B115" s="3">
        <f ca="1">VLOOKUP(A115,[3]TeamRtg!$A$3:$G$367,7,FALSE)</f>
        <v>0.37611982097302044</v>
      </c>
      <c r="C115" s="1">
        <f t="shared" ca="1" si="1"/>
        <v>112</v>
      </c>
      <c r="D115" s="1">
        <v>114</v>
      </c>
      <c r="E115" s="1">
        <f>VLOOKUP($A115,[4]TeamRtg!$A$2:$E$366,4,FALSE)</f>
        <v>8.2000000000000003E-2</v>
      </c>
      <c r="F115" s="1">
        <f>VLOOKUP($A115,[4]TeamRtg!$A$2:$E$366,5,FALSE)</f>
        <v>0.83199999999999996</v>
      </c>
    </row>
    <row r="116" spans="1:6" x14ac:dyDescent="0.2">
      <c r="A116" s="1" t="s">
        <v>48</v>
      </c>
      <c r="B116" s="3">
        <f ca="1">VLOOKUP(A116,[3]TeamRtg!$A$3:$G$367,7,FALSE)</f>
        <v>0.3669232713822887</v>
      </c>
      <c r="C116" s="1">
        <f t="shared" ca="1" si="1"/>
        <v>114</v>
      </c>
      <c r="D116" s="1">
        <v>115</v>
      </c>
      <c r="E116" s="1">
        <f>VLOOKUP($A116,[4]TeamRtg!$A$2:$E$366,4,FALSE)</f>
        <v>7.3999999999999996E-2</v>
      </c>
      <c r="F116" s="1">
        <f>VLOOKUP($A116,[4]TeamRtg!$A$2:$E$366,5,FALSE)</f>
        <v>0.82399999999999995</v>
      </c>
    </row>
    <row r="117" spans="1:6" x14ac:dyDescent="0.2">
      <c r="A117" s="1" t="s">
        <v>123</v>
      </c>
      <c r="B117" s="3">
        <f ca="1">VLOOKUP(A117,[3]TeamRtg!$A$3:$G$367,7,FALSE)</f>
        <v>0.36537575105906589</v>
      </c>
      <c r="C117" s="1">
        <f t="shared" ca="1" si="1"/>
        <v>115</v>
      </c>
      <c r="D117" s="1">
        <v>116</v>
      </c>
      <c r="E117" s="1">
        <f>VLOOKUP($A117,[4]TeamRtg!$A$2:$E$366,4,FALSE)</f>
        <v>7.0999999999999994E-2</v>
      </c>
      <c r="F117" s="1">
        <f>VLOOKUP($A117,[4]TeamRtg!$A$2:$E$366,5,FALSE)</f>
        <v>0.82099999999999995</v>
      </c>
    </row>
    <row r="118" spans="1:6" x14ac:dyDescent="0.2">
      <c r="A118" s="1" t="s">
        <v>57</v>
      </c>
      <c r="B118" s="3">
        <f ca="1">VLOOKUP(A118,[3]TeamRtg!$A$3:$G$367,7,FALSE)</f>
        <v>0.35933969355140105</v>
      </c>
      <c r="C118" s="1">
        <f t="shared" ca="1" si="1"/>
        <v>117</v>
      </c>
      <c r="D118" s="1">
        <v>117</v>
      </c>
      <c r="E118" s="1">
        <f>VLOOKUP($A118,[4]TeamRtg!$A$2:$E$366,4,FALSE)</f>
        <v>6.6000000000000003E-2</v>
      </c>
      <c r="F118" s="1">
        <f>VLOOKUP($A118,[4]TeamRtg!$A$2:$E$366,5,FALSE)</f>
        <v>0.81599999999999995</v>
      </c>
    </row>
    <row r="119" spans="1:6" x14ac:dyDescent="0.2">
      <c r="A119" s="1" t="s">
        <v>83</v>
      </c>
      <c r="B119" s="3">
        <f ca="1">VLOOKUP(A119,[3]TeamRtg!$A$3:$G$367,7,FALSE)</f>
        <v>0.35985190180870685</v>
      </c>
      <c r="C119" s="1">
        <f t="shared" ca="1" si="1"/>
        <v>116</v>
      </c>
      <c r="D119" s="1">
        <v>118</v>
      </c>
      <c r="E119" s="1">
        <f>VLOOKUP($A119,[4]TeamRtg!$A$2:$E$366,4,FALSE)</f>
        <v>6.6000000000000003E-2</v>
      </c>
      <c r="F119" s="1">
        <f>VLOOKUP($A119,[4]TeamRtg!$A$2:$E$366,5,FALSE)</f>
        <v>0.81599999999999995</v>
      </c>
    </row>
    <row r="120" spans="1:6" x14ac:dyDescent="0.2">
      <c r="A120" s="1" t="s">
        <v>184</v>
      </c>
      <c r="B120" s="3">
        <f ca="1">VLOOKUP(A120,[3]TeamRtg!$A$3:$G$367,7,FALSE)</f>
        <v>0.35891231753662006</v>
      </c>
      <c r="C120" s="1">
        <f t="shared" ca="1" si="1"/>
        <v>118</v>
      </c>
      <c r="D120" s="1">
        <v>119</v>
      </c>
      <c r="E120" s="1">
        <f>VLOOKUP($A120,[4]TeamRtg!$A$2:$E$366,4,FALSE)</f>
        <v>6.4000000000000001E-2</v>
      </c>
      <c r="F120" s="1">
        <f>VLOOKUP($A120,[4]TeamRtg!$A$2:$E$366,5,FALSE)</f>
        <v>0.81399999999999995</v>
      </c>
    </row>
    <row r="121" spans="1:6" x14ac:dyDescent="0.2">
      <c r="A121" s="1" t="s">
        <v>252</v>
      </c>
      <c r="B121" s="3">
        <f ca="1">VLOOKUP(A121,[3]TeamRtg!$A$3:$G$367,7,FALSE)</f>
        <v>0.35335686738064281</v>
      </c>
      <c r="C121" s="1">
        <f t="shared" ca="1" si="1"/>
        <v>119</v>
      </c>
      <c r="D121" s="1">
        <v>120</v>
      </c>
      <c r="E121" s="1">
        <f>VLOOKUP($A121,[4]TeamRtg!$A$2:$E$366,4,FALSE)</f>
        <v>5.8000000000000003E-2</v>
      </c>
      <c r="F121" s="1">
        <f>VLOOKUP($A121,[4]TeamRtg!$A$2:$E$366,5,FALSE)</f>
        <v>0.80800000000000005</v>
      </c>
    </row>
    <row r="122" spans="1:6" x14ac:dyDescent="0.2">
      <c r="A122" s="1" t="s">
        <v>129</v>
      </c>
      <c r="B122" s="3">
        <f ca="1">VLOOKUP(A122,[3]TeamRtg!$A$3:$G$367,7,FALSE)</f>
        <v>0.32189023532250571</v>
      </c>
      <c r="C122" s="1">
        <f t="shared" ca="1" si="1"/>
        <v>121</v>
      </c>
      <c r="D122" s="1">
        <v>121</v>
      </c>
      <c r="E122" s="1">
        <f>VLOOKUP($A122,[4]TeamRtg!$A$2:$E$366,4,FALSE)</f>
        <v>2.8000000000000001E-2</v>
      </c>
      <c r="F122" s="1">
        <f>VLOOKUP($A122,[4]TeamRtg!$A$2:$E$366,5,FALSE)</f>
        <v>0.77800000000000002</v>
      </c>
    </row>
    <row r="123" spans="1:6" x14ac:dyDescent="0.2">
      <c r="A123" s="1" t="s">
        <v>131</v>
      </c>
      <c r="B123" s="3">
        <f ca="1">VLOOKUP(A123,[3]TeamRtg!$A$3:$G$367,7,FALSE)</f>
        <v>0.31323062566182475</v>
      </c>
      <c r="C123" s="1">
        <f t="shared" ca="1" si="1"/>
        <v>122</v>
      </c>
      <c r="D123" s="1">
        <v>122</v>
      </c>
      <c r="E123" s="1">
        <f>VLOOKUP($A123,[4]TeamRtg!$A$2:$E$366,4,FALSE)</f>
        <v>1.9E-2</v>
      </c>
      <c r="F123" s="1">
        <f>VLOOKUP($A123,[4]TeamRtg!$A$2:$E$366,5,FALSE)</f>
        <v>0.76900000000000002</v>
      </c>
    </row>
    <row r="124" spans="1:6" x14ac:dyDescent="0.2">
      <c r="A124" s="1" t="s">
        <v>207</v>
      </c>
      <c r="B124" s="3">
        <f ca="1">VLOOKUP(A124,[3]TeamRtg!$A$3:$G$367,7,FALSE)</f>
        <v>0.31040901622390987</v>
      </c>
      <c r="C124" s="1">
        <f t="shared" ca="1" si="1"/>
        <v>123</v>
      </c>
      <c r="D124" s="1">
        <v>123</v>
      </c>
      <c r="E124" s="1">
        <f>VLOOKUP($A124,[4]TeamRtg!$A$2:$E$366,4,FALSE)</f>
        <v>1.4999999999999999E-2</v>
      </c>
      <c r="F124" s="1">
        <f>VLOOKUP($A124,[4]TeamRtg!$A$2:$E$366,5,FALSE)</f>
        <v>0.76500000000000001</v>
      </c>
    </row>
    <row r="125" spans="1:6" x14ac:dyDescent="0.2">
      <c r="A125" s="1" t="s">
        <v>245</v>
      </c>
      <c r="B125" s="3">
        <f ca="1">VLOOKUP(A125,[3]TeamRtg!$A$3:$G$367,7,FALSE)</f>
        <v>0.30326445469530439</v>
      </c>
      <c r="C125" s="1">
        <f t="shared" ca="1" si="1"/>
        <v>124</v>
      </c>
      <c r="D125" s="1">
        <v>124</v>
      </c>
      <c r="E125" s="1">
        <f>VLOOKUP($A125,[4]TeamRtg!$A$2:$E$366,4,FALSE)</f>
        <v>8.0000000000000002E-3</v>
      </c>
      <c r="F125" s="1">
        <f>VLOOKUP($A125,[4]TeamRtg!$A$2:$E$366,5,FALSE)</f>
        <v>0.75800000000000001</v>
      </c>
    </row>
    <row r="126" spans="1:6" x14ac:dyDescent="0.2">
      <c r="A126" s="1" t="s">
        <v>156</v>
      </c>
      <c r="B126" s="3">
        <f ca="1">VLOOKUP(A126,[3]TeamRtg!$A$3:$G$367,7,FALSE)</f>
        <v>0.2978577651256315</v>
      </c>
      <c r="C126" s="1">
        <f t="shared" ca="1" si="1"/>
        <v>125</v>
      </c>
      <c r="D126" s="1">
        <v>125</v>
      </c>
      <c r="E126" s="1">
        <f>VLOOKUP($A126,[4]TeamRtg!$A$2:$E$366,4,FALSE)</f>
        <v>3.0000000000000001E-3</v>
      </c>
      <c r="F126" s="1">
        <f>VLOOKUP($A126,[4]TeamRtg!$A$2:$E$366,5,FALSE)</f>
        <v>0.753</v>
      </c>
    </row>
    <row r="127" spans="1:6" x14ac:dyDescent="0.2">
      <c r="A127" s="1" t="s">
        <v>137</v>
      </c>
      <c r="B127" s="3">
        <f ca="1">VLOOKUP(A127,[3]TeamRtg!$A$3:$G$367,7,FALSE)</f>
        <v>0.27797370916816511</v>
      </c>
      <c r="C127" s="1">
        <f t="shared" ca="1" si="1"/>
        <v>126</v>
      </c>
      <c r="D127" s="1">
        <v>126</v>
      </c>
      <c r="E127" s="1">
        <f>VLOOKUP($A127,[4]TeamRtg!$A$2:$E$366,4,FALSE)</f>
        <v>-1.6E-2</v>
      </c>
      <c r="F127" s="1">
        <f>VLOOKUP($A127,[4]TeamRtg!$A$2:$E$366,5,FALSE)</f>
        <v>0.73399999999999999</v>
      </c>
    </row>
    <row r="128" spans="1:6" x14ac:dyDescent="0.2">
      <c r="A128" s="1" t="s">
        <v>126</v>
      </c>
      <c r="B128" s="3">
        <f ca="1">VLOOKUP(A128,[3]TeamRtg!$A$3:$G$367,7,FALSE)</f>
        <v>0.26781386488221948</v>
      </c>
      <c r="C128" s="1">
        <f t="shared" ca="1" si="1"/>
        <v>127</v>
      </c>
      <c r="D128" s="1">
        <v>127</v>
      </c>
      <c r="E128" s="1">
        <f>VLOOKUP($A128,[4]TeamRtg!$A$2:$E$366,4,FALSE)</f>
        <v>-2.5999999999999999E-2</v>
      </c>
      <c r="F128" s="1">
        <f>VLOOKUP($A128,[4]TeamRtg!$A$2:$E$366,5,FALSE)</f>
        <v>0.72399999999999998</v>
      </c>
    </row>
    <row r="129" spans="1:6" x14ac:dyDescent="0.2">
      <c r="A129" s="1" t="s">
        <v>78</v>
      </c>
      <c r="B129" s="3">
        <f ca="1">VLOOKUP(A129,[3]TeamRtg!$A$3:$G$367,7,FALSE)</f>
        <v>0.33100392095488629</v>
      </c>
      <c r="C129" s="1">
        <f t="shared" ca="1" si="1"/>
        <v>120</v>
      </c>
      <c r="D129" s="1">
        <v>128</v>
      </c>
      <c r="E129" s="1">
        <f>VLOOKUP($A129,[4]TeamRtg!$A$2:$E$366,4,FALSE)</f>
        <v>-2.7E-2</v>
      </c>
      <c r="F129" s="1">
        <f>VLOOKUP($A129,[4]TeamRtg!$A$2:$E$366,5,FALSE)</f>
        <v>0.72299999999999998</v>
      </c>
    </row>
    <row r="130" spans="1:6" x14ac:dyDescent="0.2">
      <c r="A130" s="1" t="s">
        <v>91</v>
      </c>
      <c r="B130" s="3">
        <f ca="1">VLOOKUP(A130,[3]TeamRtg!$A$3:$G$367,7,FALSE)</f>
        <v>0.26574537689770539</v>
      </c>
      <c r="C130" s="1">
        <f t="shared" ref="C130:C193" ca="1" si="2">RANK(B130,$B$2:$B$366)</f>
        <v>128</v>
      </c>
      <c r="D130" s="1">
        <v>129</v>
      </c>
      <c r="E130" s="1">
        <f>VLOOKUP($A130,[4]TeamRtg!$A$2:$E$366,4,FALSE)</f>
        <v>-2.8000000000000001E-2</v>
      </c>
      <c r="F130" s="1">
        <f>VLOOKUP($A130,[4]TeamRtg!$A$2:$E$366,5,FALSE)</f>
        <v>0.72199999999999998</v>
      </c>
    </row>
    <row r="131" spans="1:6" x14ac:dyDescent="0.2">
      <c r="A131" s="1" t="s">
        <v>77</v>
      </c>
      <c r="B131" s="3">
        <f ca="1">VLOOKUP(A131,[3]TeamRtg!$A$3:$G$367,7,FALSE)</f>
        <v>0.26427162849648211</v>
      </c>
      <c r="C131" s="1">
        <f t="shared" ca="1" si="2"/>
        <v>129</v>
      </c>
      <c r="D131" s="1">
        <v>130</v>
      </c>
      <c r="E131" s="1">
        <f>VLOOKUP($A131,[4]TeamRtg!$A$2:$E$366,4,FALSE)</f>
        <v>-2.9000000000000001E-2</v>
      </c>
      <c r="F131" s="1">
        <f>VLOOKUP($A131,[4]TeamRtg!$A$2:$E$366,5,FALSE)</f>
        <v>0.72099999999999997</v>
      </c>
    </row>
    <row r="132" spans="1:6" x14ac:dyDescent="0.2">
      <c r="A132" s="1" t="s">
        <v>117</v>
      </c>
      <c r="B132" s="3">
        <f ca="1">VLOOKUP(A132,[3]TeamRtg!$A$3:$G$367,7,FALSE)</f>
        <v>0.26198174535914159</v>
      </c>
      <c r="C132" s="1">
        <f t="shared" ca="1" si="2"/>
        <v>130</v>
      </c>
      <c r="D132" s="1">
        <v>131</v>
      </c>
      <c r="E132" s="1">
        <f>VLOOKUP($A132,[4]TeamRtg!$A$2:$E$366,4,FALSE)</f>
        <v>-3.2000000000000001E-2</v>
      </c>
      <c r="F132" s="1">
        <f>VLOOKUP($A132,[4]TeamRtg!$A$2:$E$366,5,FALSE)</f>
        <v>0.71799999999999997</v>
      </c>
    </row>
    <row r="133" spans="1:6" x14ac:dyDescent="0.2">
      <c r="A133" s="1" t="s">
        <v>104</v>
      </c>
      <c r="B133" s="3">
        <f ca="1">VLOOKUP(A133,[3]TeamRtg!$A$3:$G$367,7,FALSE)</f>
        <v>0.23852889049512452</v>
      </c>
      <c r="C133" s="1">
        <f t="shared" ca="1" si="2"/>
        <v>132</v>
      </c>
      <c r="D133" s="1">
        <v>132</v>
      </c>
      <c r="E133" s="1">
        <f>VLOOKUP($A133,[4]TeamRtg!$A$2:$E$366,4,FALSE)</f>
        <v>-5.5E-2</v>
      </c>
      <c r="F133" s="1">
        <f>VLOOKUP($A133,[4]TeamRtg!$A$2:$E$366,5,FALSE)</f>
        <v>0.69499999999999995</v>
      </c>
    </row>
    <row r="134" spans="1:6" x14ac:dyDescent="0.2">
      <c r="A134" s="1" t="s">
        <v>128</v>
      </c>
      <c r="B134" s="3">
        <f ca="1">VLOOKUP(A134,[3]TeamRtg!$A$3:$G$367,7,FALSE)</f>
        <v>0.23278228584363697</v>
      </c>
      <c r="C134" s="1">
        <f t="shared" ca="1" si="2"/>
        <v>134</v>
      </c>
      <c r="D134" s="1">
        <v>133</v>
      </c>
      <c r="E134" s="1">
        <f>VLOOKUP($A134,[4]TeamRtg!$A$2:$E$366,4,FALSE)</f>
        <v>-6.0999999999999999E-2</v>
      </c>
      <c r="F134" s="1">
        <f>VLOOKUP($A134,[4]TeamRtg!$A$2:$E$366,5,FALSE)</f>
        <v>0.68899999999999995</v>
      </c>
    </row>
    <row r="135" spans="1:6" x14ac:dyDescent="0.2">
      <c r="A135" s="1" t="s">
        <v>81</v>
      </c>
      <c r="B135" s="3">
        <f ca="1">VLOOKUP(A135,[3]TeamRtg!$A$3:$G$367,7,FALSE)</f>
        <v>0.22114106357322683</v>
      </c>
      <c r="C135" s="1">
        <f t="shared" ca="1" si="2"/>
        <v>135</v>
      </c>
      <c r="D135" s="1">
        <v>134</v>
      </c>
      <c r="E135" s="1">
        <f>VLOOKUP($A135,[4]TeamRtg!$A$2:$E$366,4,FALSE)</f>
        <v>-7.1999999999999995E-2</v>
      </c>
      <c r="F135" s="1">
        <f>VLOOKUP($A135,[4]TeamRtg!$A$2:$E$366,5,FALSE)</f>
        <v>0.67800000000000005</v>
      </c>
    </row>
    <row r="136" spans="1:6" x14ac:dyDescent="0.2">
      <c r="A136" s="1" t="s">
        <v>98</v>
      </c>
      <c r="B136" s="3">
        <f ca="1">VLOOKUP(A136,[3]TeamRtg!$A$3:$G$367,7,FALSE)</f>
        <v>0.19614735939494371</v>
      </c>
      <c r="C136" s="1">
        <f t="shared" ca="1" si="2"/>
        <v>136</v>
      </c>
      <c r="D136" s="1">
        <v>135</v>
      </c>
      <c r="E136" s="1">
        <f>VLOOKUP($A136,[4]TeamRtg!$A$2:$E$366,4,FALSE)</f>
        <v>-9.7000000000000003E-2</v>
      </c>
      <c r="F136" s="1">
        <f>VLOOKUP($A136,[4]TeamRtg!$A$2:$E$366,5,FALSE)</f>
        <v>0.65300000000000002</v>
      </c>
    </row>
    <row r="137" spans="1:6" x14ac:dyDescent="0.2">
      <c r="A137" s="1" t="s">
        <v>135</v>
      </c>
      <c r="B137" s="3">
        <f ca="1">VLOOKUP(A137,[3]TeamRtg!$A$3:$G$367,7,FALSE)</f>
        <v>0.19458487879988029</v>
      </c>
      <c r="C137" s="1">
        <f t="shared" ca="1" si="2"/>
        <v>137</v>
      </c>
      <c r="D137" s="1">
        <v>136</v>
      </c>
      <c r="E137" s="1">
        <f>VLOOKUP($A137,[4]TeamRtg!$A$2:$E$366,4,FALSE)</f>
        <v>-9.9000000000000005E-2</v>
      </c>
      <c r="F137" s="1">
        <f>VLOOKUP($A137,[4]TeamRtg!$A$2:$E$366,5,FALSE)</f>
        <v>0.65100000000000002</v>
      </c>
    </row>
    <row r="138" spans="1:6" x14ac:dyDescent="0.2">
      <c r="A138" s="1" t="s">
        <v>197</v>
      </c>
      <c r="B138" s="3">
        <f ca="1">VLOOKUP(A138,[3]TeamRtg!$A$3:$G$367,7,FALSE)</f>
        <v>0.1764563300316353</v>
      </c>
      <c r="C138" s="1">
        <f t="shared" ca="1" si="2"/>
        <v>138</v>
      </c>
      <c r="D138" s="1">
        <v>137</v>
      </c>
      <c r="E138" s="1">
        <f>VLOOKUP($A138,[4]TeamRtg!$A$2:$E$366,4,FALSE)</f>
        <v>-0.11799999999999999</v>
      </c>
      <c r="F138" s="1">
        <f>VLOOKUP($A138,[4]TeamRtg!$A$2:$E$366,5,FALSE)</f>
        <v>0.63200000000000001</v>
      </c>
    </row>
    <row r="139" spans="1:6" x14ac:dyDescent="0.2">
      <c r="A139" s="1" t="s">
        <v>287</v>
      </c>
      <c r="B139" s="3">
        <f ca="1">VLOOKUP(A139,[3]TeamRtg!$A$3:$G$367,7,FALSE)</f>
        <v>0.23509062657506352</v>
      </c>
      <c r="C139" s="1">
        <f t="shared" ca="1" si="2"/>
        <v>133</v>
      </c>
      <c r="D139" s="1">
        <v>138</v>
      </c>
      <c r="E139" s="1">
        <f>VLOOKUP($A139,[4]TeamRtg!$A$2:$E$366,4,FALSE)</f>
        <v>-0.11799999999999999</v>
      </c>
      <c r="F139" s="1">
        <f>VLOOKUP($A139,[4]TeamRtg!$A$2:$E$366,5,FALSE)</f>
        <v>0.63200000000000001</v>
      </c>
    </row>
    <row r="140" spans="1:6" x14ac:dyDescent="0.2">
      <c r="A140" s="1" t="s">
        <v>52</v>
      </c>
      <c r="B140" s="3">
        <f ca="1">VLOOKUP(A140,[3]TeamRtg!$A$3:$G$367,7,FALSE)</f>
        <v>0.1670786635299803</v>
      </c>
      <c r="C140" s="1">
        <f t="shared" ca="1" si="2"/>
        <v>139</v>
      </c>
      <c r="D140" s="1">
        <v>139</v>
      </c>
      <c r="E140" s="1">
        <f>VLOOKUP($A140,[4]TeamRtg!$A$2:$E$366,4,FALSE)</f>
        <v>-0.125</v>
      </c>
      <c r="F140" s="1">
        <f>VLOOKUP($A140,[4]TeamRtg!$A$2:$E$366,5,FALSE)</f>
        <v>0.625</v>
      </c>
    </row>
    <row r="141" spans="1:6" x14ac:dyDescent="0.2">
      <c r="A141" s="1" t="s">
        <v>149</v>
      </c>
      <c r="B141" s="3">
        <f ca="1">VLOOKUP(A141,[3]TeamRtg!$A$3:$G$367,7,FALSE)</f>
        <v>0.15534867685813247</v>
      </c>
      <c r="C141" s="1">
        <f t="shared" ca="1" si="2"/>
        <v>141</v>
      </c>
      <c r="D141" s="1">
        <v>140</v>
      </c>
      <c r="E141" s="1">
        <f>VLOOKUP($A141,[4]TeamRtg!$A$2:$E$366,4,FALSE)</f>
        <v>-0.13800000000000001</v>
      </c>
      <c r="F141" s="1">
        <f>VLOOKUP($A141,[4]TeamRtg!$A$2:$E$366,5,FALSE)</f>
        <v>0.61199999999999999</v>
      </c>
    </row>
    <row r="142" spans="1:6" x14ac:dyDescent="0.2">
      <c r="A142" s="1" t="s">
        <v>67</v>
      </c>
      <c r="B142" s="3">
        <f ca="1">VLOOKUP(A142,[3]TeamRtg!$A$3:$G$367,7,FALSE)</f>
        <v>0.13514092186581456</v>
      </c>
      <c r="C142" s="1">
        <f t="shared" ca="1" si="2"/>
        <v>142</v>
      </c>
      <c r="D142" s="1">
        <v>141</v>
      </c>
      <c r="E142" s="1">
        <f>VLOOKUP($A142,[4]TeamRtg!$A$2:$E$366,4,FALSE)</f>
        <v>-0.157</v>
      </c>
      <c r="F142" s="1">
        <f>VLOOKUP($A142,[4]TeamRtg!$A$2:$E$366,5,FALSE)</f>
        <v>0.59299999999999997</v>
      </c>
    </row>
    <row r="143" spans="1:6" x14ac:dyDescent="0.2">
      <c r="A143" s="1" t="s">
        <v>141</v>
      </c>
      <c r="B143" s="3">
        <f ca="1">VLOOKUP(A143,[3]TeamRtg!$A$3:$G$367,7,FALSE)</f>
        <v>9.9801605365770693E-2</v>
      </c>
      <c r="C143" s="1">
        <f t="shared" ca="1" si="2"/>
        <v>144</v>
      </c>
      <c r="D143" s="1">
        <v>142</v>
      </c>
      <c r="E143" s="1">
        <f>VLOOKUP($A143,[4]TeamRtg!$A$2:$E$366,4,FALSE)</f>
        <v>-0.193</v>
      </c>
      <c r="F143" s="1">
        <f>VLOOKUP($A143,[4]TeamRtg!$A$2:$E$366,5,FALSE)</f>
        <v>0.55700000000000005</v>
      </c>
    </row>
    <row r="144" spans="1:6" x14ac:dyDescent="0.2">
      <c r="A144" s="1" t="s">
        <v>92</v>
      </c>
      <c r="B144" s="3">
        <f ca="1">VLOOKUP(A144,[3]TeamRtg!$A$3:$G$367,7,FALSE)</f>
        <v>0.2598724196054813</v>
      </c>
      <c r="C144" s="1">
        <f t="shared" ca="1" si="2"/>
        <v>131</v>
      </c>
      <c r="D144" s="1">
        <v>143</v>
      </c>
      <c r="E144" s="1">
        <f>VLOOKUP($A144,[4]TeamRtg!$A$2:$E$366,4,FALSE)</f>
        <v>-0.19400000000000001</v>
      </c>
      <c r="F144" s="1">
        <f>VLOOKUP($A144,[4]TeamRtg!$A$2:$E$366,5,FALSE)</f>
        <v>0.55600000000000005</v>
      </c>
    </row>
    <row r="145" spans="1:6" x14ac:dyDescent="0.2">
      <c r="A145" s="1" t="s">
        <v>100</v>
      </c>
      <c r="B145" s="3">
        <f ca="1">VLOOKUP(A145,[3]TeamRtg!$A$3:$G$367,7,FALSE)</f>
        <v>9.632807813115217E-2</v>
      </c>
      <c r="C145" s="1">
        <f t="shared" ca="1" si="2"/>
        <v>145</v>
      </c>
      <c r="D145" s="1">
        <v>144</v>
      </c>
      <c r="E145" s="1">
        <f>VLOOKUP($A145,[4]TeamRtg!$A$2:$E$366,4,FALSE)</f>
        <v>-0.19600000000000001</v>
      </c>
      <c r="F145" s="1">
        <f>VLOOKUP($A145,[4]TeamRtg!$A$2:$E$366,5,FALSE)</f>
        <v>0.55400000000000005</v>
      </c>
    </row>
    <row r="146" spans="1:6" x14ac:dyDescent="0.2">
      <c r="A146" s="1" t="s">
        <v>154</v>
      </c>
      <c r="B146" s="3">
        <f ca="1">VLOOKUP(A146,[3]TeamRtg!$A$3:$G$367,7,FALSE)</f>
        <v>9.2566686450577307E-2</v>
      </c>
      <c r="C146" s="1">
        <f t="shared" ca="1" si="2"/>
        <v>146</v>
      </c>
      <c r="D146" s="1">
        <v>145</v>
      </c>
      <c r="E146" s="1">
        <f>VLOOKUP($A146,[4]TeamRtg!$A$2:$E$366,4,FALSE)</f>
        <v>-0.20100000000000001</v>
      </c>
      <c r="F146" s="1">
        <f>VLOOKUP($A146,[4]TeamRtg!$A$2:$E$366,5,FALSE)</f>
        <v>0.54900000000000004</v>
      </c>
    </row>
    <row r="147" spans="1:6" x14ac:dyDescent="0.2">
      <c r="A147" s="1" t="s">
        <v>185</v>
      </c>
      <c r="B147" s="3">
        <f ca="1">VLOOKUP(A147,[3]TeamRtg!$A$3:$G$367,7,FALSE)</f>
        <v>8.6792399928069155E-2</v>
      </c>
      <c r="C147" s="1">
        <f t="shared" ca="1" si="2"/>
        <v>147</v>
      </c>
      <c r="D147" s="1">
        <v>146</v>
      </c>
      <c r="E147" s="1">
        <f>VLOOKUP($A147,[4]TeamRtg!$A$2:$E$366,4,FALSE)</f>
        <v>-0.20699999999999999</v>
      </c>
      <c r="F147" s="1">
        <f>VLOOKUP($A147,[4]TeamRtg!$A$2:$E$366,5,FALSE)</f>
        <v>0.54300000000000004</v>
      </c>
    </row>
    <row r="148" spans="1:6" x14ac:dyDescent="0.2">
      <c r="A148" s="1" t="s">
        <v>251</v>
      </c>
      <c r="B148" s="3">
        <f ca="1">VLOOKUP(A148,[3]TeamRtg!$A$3:$G$367,7,FALSE)</f>
        <v>-0.20535043688115248</v>
      </c>
      <c r="C148" s="1">
        <f t="shared" ca="1" si="2"/>
        <v>190</v>
      </c>
      <c r="D148" s="1">
        <v>147</v>
      </c>
      <c r="E148" s="1">
        <f>VLOOKUP($A148,[4]TeamRtg!$A$2:$E$366,4,FALSE)</f>
        <v>-0.214</v>
      </c>
      <c r="F148" s="1">
        <f>VLOOKUP($A148,[4]TeamRtg!$A$2:$E$366,5,FALSE)</f>
        <v>0.53600000000000003</v>
      </c>
    </row>
    <row r="149" spans="1:6" x14ac:dyDescent="0.2">
      <c r="A149" s="1" t="s">
        <v>134</v>
      </c>
      <c r="B149" s="3">
        <f ca="1">VLOOKUP(A149,[3]TeamRtg!$A$3:$G$367,7,FALSE)</f>
        <v>7.3873566419377104E-2</v>
      </c>
      <c r="C149" s="1">
        <f t="shared" ca="1" si="2"/>
        <v>148</v>
      </c>
      <c r="D149" s="1">
        <v>148</v>
      </c>
      <c r="E149" s="1">
        <f>VLOOKUP($A149,[4]TeamRtg!$A$2:$E$366,4,FALSE)</f>
        <v>-0.219</v>
      </c>
      <c r="F149" s="1">
        <f>VLOOKUP($A149,[4]TeamRtg!$A$2:$E$366,5,FALSE)</f>
        <v>0.53100000000000003</v>
      </c>
    </row>
    <row r="150" spans="1:6" x14ac:dyDescent="0.2">
      <c r="A150" s="1" t="s">
        <v>110</v>
      </c>
      <c r="B150" s="3">
        <f ca="1">VLOOKUP(A150,[3]TeamRtg!$A$3:$G$367,7,FALSE)</f>
        <v>-0.21967931726080631</v>
      </c>
      <c r="C150" s="1">
        <f t="shared" ca="1" si="2"/>
        <v>196</v>
      </c>
      <c r="D150" s="1">
        <v>149</v>
      </c>
      <c r="E150" s="1" t="e">
        <f>VLOOKUP($A150,[4]TeamRtg!$A$2:$E$366,4,FALSE)</f>
        <v>#N/A</v>
      </c>
      <c r="F150" s="1" t="e">
        <f>VLOOKUP($A150,[4]TeamRtg!$A$2:$E$366,5,FALSE)</f>
        <v>#N/A</v>
      </c>
    </row>
    <row r="151" spans="1:6" x14ac:dyDescent="0.2">
      <c r="A151" s="1" t="s">
        <v>198</v>
      </c>
      <c r="B151" s="3">
        <f ca="1">VLOOKUP(A151,[3]TeamRtg!$A$3:$G$367,7,FALSE)</f>
        <v>6.8328087966850345E-2</v>
      </c>
      <c r="C151" s="1">
        <f t="shared" ca="1" si="2"/>
        <v>149</v>
      </c>
      <c r="D151" s="1">
        <v>150</v>
      </c>
      <c r="E151" s="1" t="e">
        <f>VLOOKUP($A151,[4]TeamRtg!$A$2:$E$366,4,FALSE)</f>
        <v>#N/A</v>
      </c>
      <c r="F151" s="1" t="e">
        <f>VLOOKUP($A151,[4]TeamRtg!$A$2:$E$366,5,FALSE)</f>
        <v>#N/A</v>
      </c>
    </row>
    <row r="152" spans="1:6" x14ac:dyDescent="0.2">
      <c r="A152" s="1" t="s">
        <v>268</v>
      </c>
      <c r="B152" s="3">
        <f ca="1">VLOOKUP(A152,[3]TeamRtg!$A$3:$G$367,7,FALSE)</f>
        <v>6.6752193425064624E-2</v>
      </c>
      <c r="C152" s="1">
        <f t="shared" ca="1" si="2"/>
        <v>150</v>
      </c>
      <c r="D152" s="1">
        <v>151</v>
      </c>
      <c r="E152" s="1" t="e">
        <f>VLOOKUP($A152,[4]TeamRtg!$A$2:$E$366,4,FALSE)</f>
        <v>#N/A</v>
      </c>
      <c r="F152" s="1" t="e">
        <f>VLOOKUP($A152,[4]TeamRtg!$A$2:$E$366,5,FALSE)</f>
        <v>#N/A</v>
      </c>
    </row>
    <row r="153" spans="1:6" x14ac:dyDescent="0.2">
      <c r="A153" s="1" t="s">
        <v>168</v>
      </c>
      <c r="B153" s="3">
        <f ca="1">VLOOKUP(A153,[3]TeamRtg!$A$3:$G$367,7,FALSE)</f>
        <v>5.1532728635559549E-2</v>
      </c>
      <c r="C153" s="1">
        <f t="shared" ca="1" si="2"/>
        <v>151</v>
      </c>
      <c r="D153" s="1">
        <v>152</v>
      </c>
      <c r="E153" s="1" t="e">
        <f>VLOOKUP($A153,[4]TeamRtg!$A$2:$E$366,4,FALSE)</f>
        <v>#N/A</v>
      </c>
      <c r="F153" s="1" t="e">
        <f>VLOOKUP($A153,[4]TeamRtg!$A$2:$E$366,5,FALSE)</f>
        <v>#N/A</v>
      </c>
    </row>
    <row r="154" spans="1:6" x14ac:dyDescent="0.2">
      <c r="A154" s="1" t="s">
        <v>143</v>
      </c>
      <c r="B154" s="3">
        <f ca="1">VLOOKUP(A154,[3]TeamRtg!$A$3:$G$367,7,FALSE)</f>
        <v>4.4267493414666001E-2</v>
      </c>
      <c r="C154" s="1">
        <f t="shared" ca="1" si="2"/>
        <v>152</v>
      </c>
      <c r="D154" s="1">
        <v>153</v>
      </c>
      <c r="E154" s="1" t="e">
        <f>VLOOKUP($A154,[4]TeamRtg!$A$2:$E$366,4,FALSE)</f>
        <v>#N/A</v>
      </c>
      <c r="F154" s="1" t="e">
        <f>VLOOKUP($A154,[4]TeamRtg!$A$2:$E$366,5,FALSE)</f>
        <v>#N/A</v>
      </c>
    </row>
    <row r="155" spans="1:6" x14ac:dyDescent="0.2">
      <c r="A155" s="1" t="s">
        <v>130</v>
      </c>
      <c r="B155" s="3">
        <f ca="1">VLOOKUP(A155,[3]TeamRtg!$A$3:$G$367,7,FALSE)</f>
        <v>3.0601907339022513E-2</v>
      </c>
      <c r="C155" s="1">
        <f t="shared" ca="1" si="2"/>
        <v>153</v>
      </c>
      <c r="D155" s="1">
        <v>154</v>
      </c>
      <c r="E155" s="1" t="e">
        <f>VLOOKUP($A155,[4]TeamRtg!$A$2:$E$366,4,FALSE)</f>
        <v>#N/A</v>
      </c>
      <c r="F155" s="1" t="e">
        <f>VLOOKUP($A155,[4]TeamRtg!$A$2:$E$366,5,FALSE)</f>
        <v>#N/A</v>
      </c>
    </row>
    <row r="156" spans="1:6" x14ac:dyDescent="0.2">
      <c r="A156" s="1" t="s">
        <v>194</v>
      </c>
      <c r="B156" s="3">
        <f ca="1">VLOOKUP(A156,[3]TeamRtg!$A$3:$G$367,7,FALSE)</f>
        <v>1.7838159972895062E-2</v>
      </c>
      <c r="C156" s="1">
        <f t="shared" ca="1" si="2"/>
        <v>154</v>
      </c>
      <c r="D156" s="1">
        <v>155</v>
      </c>
      <c r="E156" s="1" t="e">
        <f>VLOOKUP($A156,[4]TeamRtg!$A$2:$E$366,4,FALSE)</f>
        <v>#N/A</v>
      </c>
      <c r="F156" s="1" t="e">
        <f>VLOOKUP($A156,[4]TeamRtg!$A$2:$E$366,5,FALSE)</f>
        <v>#N/A</v>
      </c>
    </row>
    <row r="157" spans="1:6" x14ac:dyDescent="0.2">
      <c r="A157" s="1" t="s">
        <v>171</v>
      </c>
      <c r="B157" s="3">
        <f ca="1">VLOOKUP(A157,[3]TeamRtg!$A$3:$G$367,7,FALSE)</f>
        <v>1.694610197974597E-2</v>
      </c>
      <c r="C157" s="1">
        <f t="shared" ca="1" si="2"/>
        <v>155</v>
      </c>
      <c r="D157" s="1">
        <v>156</v>
      </c>
      <c r="E157" s="1" t="e">
        <f>VLOOKUP($A157,[4]TeamRtg!$A$2:$E$366,4,FALSE)</f>
        <v>#N/A</v>
      </c>
      <c r="F157" s="1" t="e">
        <f>VLOOKUP($A157,[4]TeamRtg!$A$2:$E$366,5,FALSE)</f>
        <v>#N/A</v>
      </c>
    </row>
    <row r="158" spans="1:6" x14ac:dyDescent="0.2">
      <c r="A158" s="1" t="s">
        <v>164</v>
      </c>
      <c r="B158" s="3">
        <f ca="1">VLOOKUP(A158,[3]TeamRtg!$A$3:$G$367,7,FALSE)</f>
        <v>1.5150541303704568E-2</v>
      </c>
      <c r="C158" s="1">
        <f t="shared" ca="1" si="2"/>
        <v>156</v>
      </c>
      <c r="D158" s="1">
        <v>157</v>
      </c>
      <c r="E158" s="1" t="e">
        <f>VLOOKUP($A158,[4]TeamRtg!$A$2:$E$366,4,FALSE)</f>
        <v>#N/A</v>
      </c>
      <c r="F158" s="1" t="e">
        <f>VLOOKUP($A158,[4]TeamRtg!$A$2:$E$366,5,FALSE)</f>
        <v>#N/A</v>
      </c>
    </row>
    <row r="159" spans="1:6" x14ac:dyDescent="0.2">
      <c r="A159" s="1" t="s">
        <v>85</v>
      </c>
      <c r="B159" s="3">
        <f ca="1">VLOOKUP(A159,[3]TeamRtg!$A$3:$G$367,7,FALSE)</f>
        <v>9.1597182810210023E-3</v>
      </c>
      <c r="C159" s="1">
        <f t="shared" ca="1" si="2"/>
        <v>157</v>
      </c>
      <c r="D159" s="1">
        <v>158</v>
      </c>
      <c r="E159" s="1" t="e">
        <f>VLOOKUP($A159,[4]TeamRtg!$A$2:$E$366,4,FALSE)</f>
        <v>#N/A</v>
      </c>
      <c r="F159" s="1" t="e">
        <f>VLOOKUP($A159,[4]TeamRtg!$A$2:$E$366,5,FALSE)</f>
        <v>#N/A</v>
      </c>
    </row>
    <row r="160" spans="1:6" x14ac:dyDescent="0.2">
      <c r="A160" s="1" t="s">
        <v>191</v>
      </c>
      <c r="B160" s="3">
        <f ca="1">VLOOKUP(A160,[3]TeamRtg!$A$3:$G$367,7,FALSE)</f>
        <v>8.118335931823803E-3</v>
      </c>
      <c r="C160" s="1">
        <f t="shared" ca="1" si="2"/>
        <v>158</v>
      </c>
      <c r="D160" s="1">
        <v>159</v>
      </c>
      <c r="E160" s="1" t="e">
        <f>VLOOKUP($A160,[4]TeamRtg!$A$2:$E$366,4,FALSE)</f>
        <v>#N/A</v>
      </c>
      <c r="F160" s="1" t="e">
        <f>VLOOKUP($A160,[4]TeamRtg!$A$2:$E$366,5,FALSE)</f>
        <v>#N/A</v>
      </c>
    </row>
    <row r="161" spans="1:6" x14ac:dyDescent="0.2">
      <c r="A161" s="1" t="s">
        <v>147</v>
      </c>
      <c r="B161" s="3">
        <f ca="1">VLOOKUP(A161,[3]TeamRtg!$A$3:$G$367,7,FALSE)</f>
        <v>6.8658732673744192E-3</v>
      </c>
      <c r="C161" s="1">
        <f t="shared" ca="1" si="2"/>
        <v>159</v>
      </c>
      <c r="D161" s="1">
        <v>160</v>
      </c>
      <c r="E161" s="1" t="e">
        <f>VLOOKUP($A161,[4]TeamRtg!$A$2:$E$366,4,FALSE)</f>
        <v>#N/A</v>
      </c>
      <c r="F161" s="1" t="e">
        <f>VLOOKUP($A161,[4]TeamRtg!$A$2:$E$366,5,FALSE)</f>
        <v>#N/A</v>
      </c>
    </row>
    <row r="162" spans="1:6" x14ac:dyDescent="0.2">
      <c r="A162" s="1" t="s">
        <v>145</v>
      </c>
      <c r="B162" s="3">
        <f ca="1">VLOOKUP(A162,[3]TeamRtg!$A$3:$G$367,7,FALSE)</f>
        <v>4.0287890477111758E-3</v>
      </c>
      <c r="C162" s="1">
        <f t="shared" ca="1" si="2"/>
        <v>160</v>
      </c>
      <c r="D162" s="1">
        <v>161</v>
      </c>
      <c r="E162" s="1" t="e">
        <f>VLOOKUP($A162,[4]TeamRtg!$A$2:$E$366,4,FALSE)</f>
        <v>#N/A</v>
      </c>
      <c r="F162" s="1" t="e">
        <f>VLOOKUP($A162,[4]TeamRtg!$A$2:$E$366,5,FALSE)</f>
        <v>#N/A</v>
      </c>
    </row>
    <row r="163" spans="1:6" x14ac:dyDescent="0.2">
      <c r="A163" s="1" t="s">
        <v>162</v>
      </c>
      <c r="B163" s="3">
        <f ca="1">VLOOKUP(A163,[3]TeamRtg!$A$3:$G$367,7,FALSE)</f>
        <v>-3.4650080741188945E-3</v>
      </c>
      <c r="C163" s="1">
        <f t="shared" ca="1" si="2"/>
        <v>161</v>
      </c>
      <c r="D163" s="1">
        <v>162</v>
      </c>
      <c r="E163" s="1" t="e">
        <f>VLOOKUP($A163,[4]TeamRtg!$A$2:$E$366,4,FALSE)</f>
        <v>#N/A</v>
      </c>
      <c r="F163" s="1" t="e">
        <f>VLOOKUP($A163,[4]TeamRtg!$A$2:$E$366,5,FALSE)</f>
        <v>#N/A</v>
      </c>
    </row>
    <row r="164" spans="1:6" x14ac:dyDescent="0.2">
      <c r="A164" s="1" t="s">
        <v>150</v>
      </c>
      <c r="B164" s="3">
        <f ca="1">VLOOKUP(A164,[3]TeamRtg!$A$3:$G$367,7,FALSE)</f>
        <v>-5.3387731155992635E-3</v>
      </c>
      <c r="C164" s="1">
        <f t="shared" ca="1" si="2"/>
        <v>162</v>
      </c>
      <c r="D164" s="1">
        <v>163</v>
      </c>
      <c r="E164" s="1" t="e">
        <f>VLOOKUP($A164,[4]TeamRtg!$A$2:$E$366,4,FALSE)</f>
        <v>#N/A</v>
      </c>
      <c r="F164" s="1" t="e">
        <f>VLOOKUP($A164,[4]TeamRtg!$A$2:$E$366,5,FALSE)</f>
        <v>#N/A</v>
      </c>
    </row>
    <row r="165" spans="1:6" x14ac:dyDescent="0.2">
      <c r="A165" s="1" t="s">
        <v>220</v>
      </c>
      <c r="B165" s="3">
        <f ca="1">VLOOKUP(A165,[3]TeamRtg!$A$3:$G$367,7,FALSE)</f>
        <v>-7.7014214671327621E-3</v>
      </c>
      <c r="C165" s="1">
        <f t="shared" ca="1" si="2"/>
        <v>163</v>
      </c>
      <c r="D165" s="1">
        <v>164</v>
      </c>
      <c r="E165" s="1" t="e">
        <f>VLOOKUP($A165,[4]TeamRtg!$A$2:$E$366,4,FALSE)</f>
        <v>#N/A</v>
      </c>
      <c r="F165" s="1" t="e">
        <f>VLOOKUP($A165,[4]TeamRtg!$A$2:$E$366,5,FALSE)</f>
        <v>#N/A</v>
      </c>
    </row>
    <row r="166" spans="1:6" x14ac:dyDescent="0.2">
      <c r="A166" s="1" t="s">
        <v>271</v>
      </c>
      <c r="B166" s="3">
        <f ca="1">VLOOKUP(A166,[3]TeamRtg!$A$3:$G$367,7,FALSE)</f>
        <v>-1.1181599819364623E-2</v>
      </c>
      <c r="C166" s="1">
        <f t="shared" ca="1" si="2"/>
        <v>164</v>
      </c>
      <c r="D166" s="1">
        <v>165</v>
      </c>
      <c r="E166" s="1" t="e">
        <f>VLOOKUP($A166,[4]TeamRtg!$A$2:$E$366,4,FALSE)</f>
        <v>#N/A</v>
      </c>
      <c r="F166" s="1" t="e">
        <f>VLOOKUP($A166,[4]TeamRtg!$A$2:$E$366,5,FALSE)</f>
        <v>#N/A</v>
      </c>
    </row>
    <row r="167" spans="1:6" x14ac:dyDescent="0.2">
      <c r="A167" s="1" t="s">
        <v>257</v>
      </c>
      <c r="B167" s="3">
        <f ca="1">VLOOKUP(A167,[3]TeamRtg!$A$3:$G$367,7,FALSE)</f>
        <v>-1.7458323151415694E-2</v>
      </c>
      <c r="C167" s="1">
        <f t="shared" ca="1" si="2"/>
        <v>165</v>
      </c>
      <c r="D167" s="1">
        <v>166</v>
      </c>
      <c r="E167" s="1" t="e">
        <f>VLOOKUP($A167,[4]TeamRtg!$A$2:$E$366,4,FALSE)</f>
        <v>#N/A</v>
      </c>
      <c r="F167" s="1" t="e">
        <f>VLOOKUP($A167,[4]TeamRtg!$A$2:$E$366,5,FALSE)</f>
        <v>#N/A</v>
      </c>
    </row>
    <row r="168" spans="1:6" x14ac:dyDescent="0.2">
      <c r="A168" s="1" t="s">
        <v>196</v>
      </c>
      <c r="B168" s="3">
        <f ca="1">VLOOKUP(A168,[3]TeamRtg!$A$3:$G$367,7,FALSE)</f>
        <v>-2.2185108522022844E-2</v>
      </c>
      <c r="C168" s="1">
        <f t="shared" ca="1" si="2"/>
        <v>166</v>
      </c>
      <c r="D168" s="1">
        <v>167</v>
      </c>
      <c r="E168" s="1" t="e">
        <f>VLOOKUP($A168,[4]TeamRtg!$A$2:$E$366,4,FALSE)</f>
        <v>#N/A</v>
      </c>
      <c r="F168" s="1" t="e">
        <f>VLOOKUP($A168,[4]TeamRtg!$A$2:$E$366,5,FALSE)</f>
        <v>#N/A</v>
      </c>
    </row>
    <row r="169" spans="1:6" x14ac:dyDescent="0.2">
      <c r="A169" s="1" t="s">
        <v>152</v>
      </c>
      <c r="B169" s="3">
        <f ca="1">VLOOKUP(A169,[3]TeamRtg!$A$3:$G$367,7,FALSE)</f>
        <v>-2.5224106291792042E-2</v>
      </c>
      <c r="C169" s="1">
        <f t="shared" ca="1" si="2"/>
        <v>168</v>
      </c>
      <c r="D169" s="1">
        <v>168</v>
      </c>
      <c r="E169" s="1" t="e">
        <f>VLOOKUP($A169,[4]TeamRtg!$A$2:$E$366,4,FALSE)</f>
        <v>#N/A</v>
      </c>
      <c r="F169" s="1" t="e">
        <f>VLOOKUP($A169,[4]TeamRtg!$A$2:$E$366,5,FALSE)</f>
        <v>#N/A</v>
      </c>
    </row>
    <row r="170" spans="1:6" x14ac:dyDescent="0.2">
      <c r="A170" s="1" t="s">
        <v>256</v>
      </c>
      <c r="B170" s="3">
        <f ca="1">VLOOKUP(A170,[3]TeamRtg!$A$3:$G$367,7,FALSE)</f>
        <v>-3.8728981302140621E-2</v>
      </c>
      <c r="C170" s="1">
        <f t="shared" ca="1" si="2"/>
        <v>169</v>
      </c>
      <c r="D170" s="1">
        <v>169</v>
      </c>
      <c r="E170" s="1" t="e">
        <f>VLOOKUP($A170,[4]TeamRtg!$A$2:$E$366,4,FALSE)</f>
        <v>#N/A</v>
      </c>
      <c r="F170" s="1" t="e">
        <f>VLOOKUP($A170,[4]TeamRtg!$A$2:$E$366,5,FALSE)</f>
        <v>#N/A</v>
      </c>
    </row>
    <row r="171" spans="1:6" x14ac:dyDescent="0.2">
      <c r="A171" s="1" t="s">
        <v>170</v>
      </c>
      <c r="B171" s="3">
        <f ca="1">VLOOKUP(A171,[3]TeamRtg!$A$3:$G$367,7,FALSE)</f>
        <v>-4.9779442236490404E-2</v>
      </c>
      <c r="C171" s="1">
        <f t="shared" ca="1" si="2"/>
        <v>171</v>
      </c>
      <c r="D171" s="1">
        <v>170</v>
      </c>
      <c r="E171" s="1" t="e">
        <f>VLOOKUP($A171,[4]TeamRtg!$A$2:$E$366,4,FALSE)</f>
        <v>#N/A</v>
      </c>
      <c r="F171" s="1" t="e">
        <f>VLOOKUP($A171,[4]TeamRtg!$A$2:$E$366,5,FALSE)</f>
        <v>#N/A</v>
      </c>
    </row>
    <row r="172" spans="1:6" x14ac:dyDescent="0.2">
      <c r="A172" s="1" t="s">
        <v>160</v>
      </c>
      <c r="B172" s="3">
        <f ca="1">VLOOKUP(A172,[3]TeamRtg!$A$3:$G$367,7,FALSE)</f>
        <v>-5.8228653804225323E-2</v>
      </c>
      <c r="C172" s="1">
        <f t="shared" ca="1" si="2"/>
        <v>172</v>
      </c>
      <c r="D172" s="1">
        <v>171</v>
      </c>
      <c r="E172" s="1" t="e">
        <f>VLOOKUP($A172,[4]TeamRtg!$A$2:$E$366,4,FALSE)</f>
        <v>#N/A</v>
      </c>
      <c r="F172" s="1" t="e">
        <f>VLOOKUP($A172,[4]TeamRtg!$A$2:$E$366,5,FALSE)</f>
        <v>#N/A</v>
      </c>
    </row>
    <row r="173" spans="1:6" x14ac:dyDescent="0.2">
      <c r="A173" s="1" t="s">
        <v>189</v>
      </c>
      <c r="B173" s="3">
        <f ca="1">VLOOKUP(A173,[3]TeamRtg!$A$3:$G$367,7,FALSE)</f>
        <v>-9.3434236246723035E-2</v>
      </c>
      <c r="C173" s="1">
        <f t="shared" ca="1" si="2"/>
        <v>174</v>
      </c>
      <c r="D173" s="1">
        <v>172</v>
      </c>
      <c r="E173" s="1" t="e">
        <f>VLOOKUP($A173,[4]TeamRtg!$A$2:$E$366,4,FALSE)</f>
        <v>#N/A</v>
      </c>
      <c r="F173" s="1" t="e">
        <f>VLOOKUP($A173,[4]TeamRtg!$A$2:$E$366,5,FALSE)</f>
        <v>#N/A</v>
      </c>
    </row>
    <row r="174" spans="1:6" x14ac:dyDescent="0.2">
      <c r="A174" s="1" t="s">
        <v>284</v>
      </c>
      <c r="B174" s="3">
        <f ca="1">VLOOKUP(A174,[3]TeamRtg!$A$3:$G$367,7,FALSE)</f>
        <v>-9.7069690040746948E-2</v>
      </c>
      <c r="C174" s="1">
        <f t="shared" ca="1" si="2"/>
        <v>175</v>
      </c>
      <c r="D174" s="1">
        <v>173</v>
      </c>
      <c r="E174" s="1" t="e">
        <f>VLOOKUP($A174,[4]TeamRtg!$A$2:$E$366,4,FALSE)</f>
        <v>#N/A</v>
      </c>
      <c r="F174" s="1" t="e">
        <f>VLOOKUP($A174,[4]TeamRtg!$A$2:$E$366,5,FALSE)</f>
        <v>#N/A</v>
      </c>
    </row>
    <row r="175" spans="1:6" x14ac:dyDescent="0.2">
      <c r="A175" s="1" t="s">
        <v>293</v>
      </c>
      <c r="B175" s="3">
        <f ca="1">VLOOKUP(A175,[3]TeamRtg!$A$3:$G$367,7,FALSE)</f>
        <v>-0.10876748804426004</v>
      </c>
      <c r="C175" s="1">
        <f t="shared" ca="1" si="2"/>
        <v>177</v>
      </c>
      <c r="D175" s="1">
        <v>174</v>
      </c>
      <c r="E175" s="1" t="e">
        <f>VLOOKUP($A175,[4]TeamRtg!$A$2:$E$366,4,FALSE)</f>
        <v>#N/A</v>
      </c>
      <c r="F175" s="1" t="e">
        <f>VLOOKUP($A175,[4]TeamRtg!$A$2:$E$366,5,FALSE)</f>
        <v>#N/A</v>
      </c>
    </row>
    <row r="176" spans="1:6" x14ac:dyDescent="0.2">
      <c r="A176" s="1" t="s">
        <v>195</v>
      </c>
      <c r="B176" s="3">
        <f ca="1">VLOOKUP(A176,[3]TeamRtg!$A$3:$G$367,7,FALSE)</f>
        <v>-0.12314106662414595</v>
      </c>
      <c r="C176" s="1">
        <f t="shared" ca="1" si="2"/>
        <v>178</v>
      </c>
      <c r="D176" s="1">
        <v>175</v>
      </c>
      <c r="E176" s="1" t="e">
        <f>VLOOKUP($A176,[4]TeamRtg!$A$2:$E$366,4,FALSE)</f>
        <v>#N/A</v>
      </c>
      <c r="F176" s="1" t="e">
        <f>VLOOKUP($A176,[4]TeamRtg!$A$2:$E$366,5,FALSE)</f>
        <v>#N/A</v>
      </c>
    </row>
    <row r="177" spans="1:6" x14ac:dyDescent="0.2">
      <c r="A177" s="1" t="s">
        <v>112</v>
      </c>
      <c r="B177" s="3">
        <f ca="1">VLOOKUP(A177,[3]TeamRtg!$A$3:$G$367,7,FALSE)</f>
        <v>-0.12689945648207887</v>
      </c>
      <c r="C177" s="1">
        <f t="shared" ca="1" si="2"/>
        <v>179</v>
      </c>
      <c r="D177" s="1">
        <v>176</v>
      </c>
      <c r="E177" s="1" t="e">
        <f>VLOOKUP($A177,[4]TeamRtg!$A$2:$E$366,4,FALSE)</f>
        <v>#N/A</v>
      </c>
      <c r="F177" s="1" t="e">
        <f>VLOOKUP($A177,[4]TeamRtg!$A$2:$E$366,5,FALSE)</f>
        <v>#N/A</v>
      </c>
    </row>
    <row r="178" spans="1:6" x14ac:dyDescent="0.2">
      <c r="A178" s="1" t="s">
        <v>138</v>
      </c>
      <c r="B178" s="3">
        <f ca="1">VLOOKUP(A178,[3]TeamRtg!$A$3:$G$367,7,FALSE)</f>
        <v>-0.12978183299915455</v>
      </c>
      <c r="C178" s="1">
        <f t="shared" ca="1" si="2"/>
        <v>180</v>
      </c>
      <c r="D178" s="1">
        <v>177</v>
      </c>
      <c r="E178" s="1" t="e">
        <f>VLOOKUP($A178,[4]TeamRtg!$A$2:$E$366,4,FALSE)</f>
        <v>#N/A</v>
      </c>
      <c r="F178" s="1" t="e">
        <f>VLOOKUP($A178,[4]TeamRtg!$A$2:$E$366,5,FALSE)</f>
        <v>#N/A</v>
      </c>
    </row>
    <row r="179" spans="1:6" x14ac:dyDescent="0.2">
      <c r="A179" s="1" t="s">
        <v>107</v>
      </c>
      <c r="B179" s="3">
        <f ca="1">VLOOKUP(A179,[3]TeamRtg!$A$3:$G$367,7,FALSE)</f>
        <v>-0.13060406489906451</v>
      </c>
      <c r="C179" s="1">
        <f t="shared" ca="1" si="2"/>
        <v>181</v>
      </c>
      <c r="D179" s="1">
        <v>178</v>
      </c>
      <c r="E179" s="1" t="e">
        <f>VLOOKUP($A179,[4]TeamRtg!$A$2:$E$366,4,FALSE)</f>
        <v>#N/A</v>
      </c>
      <c r="F179" s="1" t="e">
        <f>VLOOKUP($A179,[4]TeamRtg!$A$2:$E$366,5,FALSE)</f>
        <v>#N/A</v>
      </c>
    </row>
    <row r="180" spans="1:6" x14ac:dyDescent="0.2">
      <c r="A180" s="1" t="s">
        <v>259</v>
      </c>
      <c r="B180" s="3">
        <f ca="1">VLOOKUP(A180,[3]TeamRtg!$A$3:$G$367,7,FALSE)</f>
        <v>-0.13259405531239285</v>
      </c>
      <c r="C180" s="1">
        <f t="shared" ca="1" si="2"/>
        <v>182</v>
      </c>
      <c r="D180" s="1">
        <v>179</v>
      </c>
      <c r="E180" s="1" t="e">
        <f>VLOOKUP($A180,[4]TeamRtg!$A$2:$E$366,4,FALSE)</f>
        <v>#N/A</v>
      </c>
      <c r="F180" s="1" t="e">
        <f>VLOOKUP($A180,[4]TeamRtg!$A$2:$E$366,5,FALSE)</f>
        <v>#N/A</v>
      </c>
    </row>
    <row r="181" spans="1:6" x14ac:dyDescent="0.2">
      <c r="A181" s="1" t="s">
        <v>233</v>
      </c>
      <c r="B181" s="3">
        <f ca="1">VLOOKUP(A181,[3]TeamRtg!$A$3:$G$367,7,FALSE)</f>
        <v>-0.13876641381124363</v>
      </c>
      <c r="C181" s="1">
        <f t="shared" ca="1" si="2"/>
        <v>183</v>
      </c>
      <c r="D181" s="1">
        <v>180</v>
      </c>
      <c r="E181" s="1" t="e">
        <f>VLOOKUP($A181,[4]TeamRtg!$A$2:$E$366,4,FALSE)</f>
        <v>#N/A</v>
      </c>
      <c r="F181" s="1" t="e">
        <f>VLOOKUP($A181,[4]TeamRtg!$A$2:$E$366,5,FALSE)</f>
        <v>#N/A</v>
      </c>
    </row>
    <row r="182" spans="1:6" x14ac:dyDescent="0.2">
      <c r="A182" s="1" t="s">
        <v>286</v>
      </c>
      <c r="B182" s="3">
        <f ca="1">VLOOKUP(A182,[3]TeamRtg!$A$3:$G$367,7,FALSE)</f>
        <v>-7.3958878629071981E-2</v>
      </c>
      <c r="C182" s="1">
        <f t="shared" ca="1" si="2"/>
        <v>173</v>
      </c>
      <c r="D182" s="1">
        <v>181</v>
      </c>
      <c r="E182" s="1" t="e">
        <f>VLOOKUP($A182,[4]TeamRtg!$A$2:$E$366,4,FALSE)</f>
        <v>#N/A</v>
      </c>
      <c r="F182" s="1" t="e">
        <f>VLOOKUP($A182,[4]TeamRtg!$A$2:$E$366,5,FALSE)</f>
        <v>#N/A</v>
      </c>
    </row>
    <row r="183" spans="1:6" x14ac:dyDescent="0.2">
      <c r="A183" s="1" t="s">
        <v>190</v>
      </c>
      <c r="B183" s="3">
        <f ca="1">VLOOKUP(A183,[3]TeamRtg!$A$3:$G$367,7,FALSE)</f>
        <v>-0.14514702357011</v>
      </c>
      <c r="C183" s="1">
        <f t="shared" ca="1" si="2"/>
        <v>184</v>
      </c>
      <c r="D183" s="1">
        <v>182</v>
      </c>
      <c r="E183" s="1" t="e">
        <f>VLOOKUP($A183,[4]TeamRtg!$A$2:$E$366,4,FALSE)</f>
        <v>#N/A</v>
      </c>
      <c r="F183" s="1" t="e">
        <f>VLOOKUP($A183,[4]TeamRtg!$A$2:$E$366,5,FALSE)</f>
        <v>#N/A</v>
      </c>
    </row>
    <row r="184" spans="1:6" x14ac:dyDescent="0.2">
      <c r="A184" s="1" t="s">
        <v>139</v>
      </c>
      <c r="B184" s="3">
        <f ca="1">VLOOKUP(A184,[3]TeamRtg!$A$3:$G$367,7,FALSE)</f>
        <v>-0.15277921838375305</v>
      </c>
      <c r="C184" s="1">
        <f t="shared" ca="1" si="2"/>
        <v>185</v>
      </c>
      <c r="D184" s="1">
        <v>183</v>
      </c>
      <c r="E184" s="1" t="e">
        <f>VLOOKUP($A184,[4]TeamRtg!$A$2:$E$366,4,FALSE)</f>
        <v>#N/A</v>
      </c>
      <c r="F184" s="1" t="e">
        <f>VLOOKUP($A184,[4]TeamRtg!$A$2:$E$366,5,FALSE)</f>
        <v>#N/A</v>
      </c>
    </row>
    <row r="185" spans="1:6" x14ac:dyDescent="0.2">
      <c r="A185" s="1" t="s">
        <v>155</v>
      </c>
      <c r="B185" s="3">
        <f ca="1">VLOOKUP(A185,[3]TeamRtg!$A$3:$G$367,7,FALSE)</f>
        <v>-0.15525464767353445</v>
      </c>
      <c r="C185" s="1">
        <f t="shared" ca="1" si="2"/>
        <v>186</v>
      </c>
      <c r="D185" s="1">
        <v>184</v>
      </c>
      <c r="E185" s="1" t="e">
        <f>VLOOKUP($A185,[4]TeamRtg!$A$2:$E$366,4,FALSE)</f>
        <v>#N/A</v>
      </c>
      <c r="F185" s="1" t="e">
        <f>VLOOKUP($A185,[4]TeamRtg!$A$2:$E$366,5,FALSE)</f>
        <v>#N/A</v>
      </c>
    </row>
    <row r="186" spans="1:6" x14ac:dyDescent="0.2">
      <c r="A186" s="1" t="s">
        <v>181</v>
      </c>
      <c r="B186" s="3">
        <f ca="1">VLOOKUP(A186,[3]TeamRtg!$A$3:$G$367,7,FALSE)</f>
        <v>-0.15941062442738105</v>
      </c>
      <c r="C186" s="1">
        <f t="shared" ca="1" si="2"/>
        <v>187</v>
      </c>
      <c r="D186" s="1">
        <v>185</v>
      </c>
      <c r="E186" s="1" t="e">
        <f>VLOOKUP($A186,[4]TeamRtg!$A$2:$E$366,4,FALSE)</f>
        <v>#N/A</v>
      </c>
      <c r="F186" s="1" t="e">
        <f>VLOOKUP($A186,[4]TeamRtg!$A$2:$E$366,5,FALSE)</f>
        <v>#N/A</v>
      </c>
    </row>
    <row r="187" spans="1:6" x14ac:dyDescent="0.2">
      <c r="A187" s="1" t="s">
        <v>178</v>
      </c>
      <c r="B187" s="3">
        <f ca="1">VLOOKUP(A187,[3]TeamRtg!$A$3:$G$367,7,FALSE)</f>
        <v>-0.18610648962215101</v>
      </c>
      <c r="C187" s="1">
        <f t="shared" ca="1" si="2"/>
        <v>188</v>
      </c>
      <c r="D187" s="1">
        <v>186</v>
      </c>
      <c r="E187" s="1" t="e">
        <f>VLOOKUP($A187,[4]TeamRtg!$A$2:$E$366,4,FALSE)</f>
        <v>#N/A</v>
      </c>
      <c r="F187" s="1" t="e">
        <f>VLOOKUP($A187,[4]TeamRtg!$A$2:$E$366,5,FALSE)</f>
        <v>#N/A</v>
      </c>
    </row>
    <row r="188" spans="1:6" x14ac:dyDescent="0.2">
      <c r="A188" s="1" t="s">
        <v>58</v>
      </c>
      <c r="B188" s="3">
        <f ca="1">VLOOKUP(A188,[3]TeamRtg!$A$3:$G$367,7,FALSE)</f>
        <v>-0.18879556099906683</v>
      </c>
      <c r="C188" s="1">
        <f t="shared" ca="1" si="2"/>
        <v>189</v>
      </c>
      <c r="D188" s="1">
        <v>187</v>
      </c>
      <c r="E188" s="1" t="e">
        <f>VLOOKUP($A188,[4]TeamRtg!$A$2:$E$366,4,FALSE)</f>
        <v>#N/A</v>
      </c>
      <c r="F188" s="1" t="e">
        <f>VLOOKUP($A188,[4]TeamRtg!$A$2:$E$366,5,FALSE)</f>
        <v>#N/A</v>
      </c>
    </row>
    <row r="189" spans="1:6" x14ac:dyDescent="0.2">
      <c r="A189" s="1" t="s">
        <v>206</v>
      </c>
      <c r="B189" s="3">
        <f ca="1">VLOOKUP(A189,[3]TeamRtg!$A$3:$G$367,7,FALSE)</f>
        <v>0.16473957420404994</v>
      </c>
      <c r="C189" s="1">
        <f t="shared" ca="1" si="2"/>
        <v>140</v>
      </c>
      <c r="D189" s="1">
        <v>188</v>
      </c>
      <c r="E189" s="1" t="e">
        <f>VLOOKUP($A189,[4]TeamRtg!$A$2:$E$366,4,FALSE)</f>
        <v>#N/A</v>
      </c>
      <c r="F189" s="1" t="e">
        <f>VLOOKUP($A189,[4]TeamRtg!$A$2:$E$366,5,FALSE)</f>
        <v>#N/A</v>
      </c>
    </row>
    <row r="190" spans="1:6" x14ac:dyDescent="0.2">
      <c r="A190" s="1" t="s">
        <v>165</v>
      </c>
      <c r="B190" s="3">
        <f ca="1">VLOOKUP(A190,[3]TeamRtg!$A$3:$G$367,7,FALSE)</f>
        <v>-0.20881784266286416</v>
      </c>
      <c r="C190" s="1">
        <f t="shared" ca="1" si="2"/>
        <v>193</v>
      </c>
      <c r="D190" s="1">
        <v>189</v>
      </c>
      <c r="E190" s="1" t="e">
        <f>VLOOKUP($A190,[4]TeamRtg!$A$2:$E$366,4,FALSE)</f>
        <v>#N/A</v>
      </c>
      <c r="F190" s="1" t="e">
        <f>VLOOKUP($A190,[4]TeamRtg!$A$2:$E$366,5,FALSE)</f>
        <v>#N/A</v>
      </c>
    </row>
    <row r="191" spans="1:6" x14ac:dyDescent="0.2">
      <c r="A191" s="1" t="s">
        <v>217</v>
      </c>
      <c r="B191" s="3">
        <f ca="1">VLOOKUP(A191,[3]TeamRtg!$A$3:$G$367,7,FALSE)</f>
        <v>-0.2083872898845624</v>
      </c>
      <c r="C191" s="1">
        <f t="shared" ca="1" si="2"/>
        <v>191</v>
      </c>
      <c r="D191" s="1">
        <v>190</v>
      </c>
      <c r="E191" s="1" t="e">
        <f>VLOOKUP($A191,[4]TeamRtg!$A$2:$E$366,4,FALSE)</f>
        <v>#N/A</v>
      </c>
      <c r="F191" s="1" t="e">
        <f>VLOOKUP($A191,[4]TeamRtg!$A$2:$E$366,5,FALSE)</f>
        <v>#N/A</v>
      </c>
    </row>
    <row r="192" spans="1:6" x14ac:dyDescent="0.2">
      <c r="A192" s="1" t="s">
        <v>211</v>
      </c>
      <c r="B192" s="3">
        <f ca="1">VLOOKUP(A192,[3]TeamRtg!$A$3:$G$367,7,FALSE)</f>
        <v>-0.20855987992771044</v>
      </c>
      <c r="C192" s="1">
        <f t="shared" ca="1" si="2"/>
        <v>192</v>
      </c>
      <c r="D192" s="1">
        <v>191</v>
      </c>
      <c r="E192" s="1" t="e">
        <f>VLOOKUP($A192,[4]TeamRtg!$A$2:$E$366,4,FALSE)</f>
        <v>#N/A</v>
      </c>
      <c r="F192" s="1" t="e">
        <f>VLOOKUP($A192,[4]TeamRtg!$A$2:$E$366,5,FALSE)</f>
        <v>#N/A</v>
      </c>
    </row>
    <row r="193" spans="1:6" x14ac:dyDescent="0.2">
      <c r="A193" s="1" t="s">
        <v>240</v>
      </c>
      <c r="B193" s="3">
        <f ca="1">VLOOKUP(A193,[3]TeamRtg!$A$3:$G$367,7,FALSE)</f>
        <v>-0.21248180932346758</v>
      </c>
      <c r="C193" s="1">
        <f t="shared" ca="1" si="2"/>
        <v>194</v>
      </c>
      <c r="D193" s="1">
        <v>192</v>
      </c>
      <c r="E193" s="1" t="e">
        <f>VLOOKUP($A193,[4]TeamRtg!$A$2:$E$366,4,FALSE)</f>
        <v>#N/A</v>
      </c>
      <c r="F193" s="1" t="e">
        <f>VLOOKUP($A193,[4]TeamRtg!$A$2:$E$366,5,FALSE)</f>
        <v>#N/A</v>
      </c>
    </row>
    <row r="194" spans="1:6" x14ac:dyDescent="0.2">
      <c r="A194" s="1" t="s">
        <v>175</v>
      </c>
      <c r="B194" s="3">
        <f ca="1">VLOOKUP(A194,[3]TeamRtg!$A$3:$G$367,7,FALSE)</f>
        <v>-0.21752386778687685</v>
      </c>
      <c r="C194" s="1">
        <f t="shared" ref="C194:C257" ca="1" si="3">RANK(B194,$B$2:$B$366)</f>
        <v>195</v>
      </c>
      <c r="D194" s="1">
        <v>193</v>
      </c>
      <c r="E194" s="1" t="e">
        <f>VLOOKUP($A194,[4]TeamRtg!$A$2:$E$366,4,FALSE)</f>
        <v>#N/A</v>
      </c>
      <c r="F194" s="1" t="e">
        <f>VLOOKUP($A194,[4]TeamRtg!$A$2:$E$366,5,FALSE)</f>
        <v>#N/A</v>
      </c>
    </row>
    <row r="195" spans="1:6" x14ac:dyDescent="0.2">
      <c r="A195" s="1" t="s">
        <v>306</v>
      </c>
      <c r="B195" s="3">
        <f ca="1">VLOOKUP(A195,[3]TeamRtg!$A$3:$G$367,7,FALSE)</f>
        <v>-0.23142129164673761</v>
      </c>
      <c r="C195" s="1">
        <f t="shared" ca="1" si="3"/>
        <v>198</v>
      </c>
      <c r="D195" s="1">
        <v>194</v>
      </c>
      <c r="E195" s="1" t="e">
        <f>VLOOKUP($A195,[4]TeamRtg!$A$2:$E$366,4,FALSE)</f>
        <v>#N/A</v>
      </c>
      <c r="F195" s="1" t="e">
        <f>VLOOKUP($A195,[4]TeamRtg!$A$2:$E$366,5,FALSE)</f>
        <v>#N/A</v>
      </c>
    </row>
    <row r="196" spans="1:6" x14ac:dyDescent="0.2">
      <c r="A196" s="1" t="s">
        <v>255</v>
      </c>
      <c r="B196" s="3">
        <f ca="1">VLOOKUP(A196,[3]TeamRtg!$A$3:$G$367,7,FALSE)</f>
        <v>-0.26115464970361973</v>
      </c>
      <c r="C196" s="1">
        <f t="shared" ca="1" si="3"/>
        <v>199</v>
      </c>
      <c r="D196" s="1">
        <v>195</v>
      </c>
      <c r="E196" s="1" t="e">
        <f>VLOOKUP($A196,[4]TeamRtg!$A$2:$E$366,4,FALSE)</f>
        <v>#N/A</v>
      </c>
      <c r="F196" s="1" t="e">
        <f>VLOOKUP($A196,[4]TeamRtg!$A$2:$E$366,5,FALSE)</f>
        <v>#N/A</v>
      </c>
    </row>
    <row r="197" spans="1:6" x14ac:dyDescent="0.2">
      <c r="A197" s="1" t="s">
        <v>288</v>
      </c>
      <c r="B197" s="3">
        <f ca="1">VLOOKUP(A197,[3]TeamRtg!$A$3:$G$367,7,FALSE)</f>
        <v>-0.27048472780928523</v>
      </c>
      <c r="C197" s="1">
        <f t="shared" ca="1" si="3"/>
        <v>200</v>
      </c>
      <c r="D197" s="1">
        <v>196</v>
      </c>
      <c r="E197" s="1" t="e">
        <f>VLOOKUP($A197,[4]TeamRtg!$A$2:$E$366,4,FALSE)</f>
        <v>#N/A</v>
      </c>
      <c r="F197" s="1" t="e">
        <f>VLOOKUP($A197,[4]TeamRtg!$A$2:$E$366,5,FALSE)</f>
        <v>#N/A</v>
      </c>
    </row>
    <row r="198" spans="1:6" x14ac:dyDescent="0.2">
      <c r="A198" s="1" t="s">
        <v>204</v>
      </c>
      <c r="B198" s="3">
        <f ca="1">VLOOKUP(A198,[3]TeamRtg!$A$3:$G$367,7,FALSE)</f>
        <v>-0.27287406485637977</v>
      </c>
      <c r="C198" s="1">
        <f t="shared" ca="1" si="3"/>
        <v>201</v>
      </c>
      <c r="D198" s="1">
        <v>197</v>
      </c>
      <c r="E198" s="1" t="e">
        <f>VLOOKUP($A198,[4]TeamRtg!$A$2:$E$366,4,FALSE)</f>
        <v>#N/A</v>
      </c>
      <c r="F198" s="1" t="e">
        <f>VLOOKUP($A198,[4]TeamRtg!$A$2:$E$366,5,FALSE)</f>
        <v>#N/A</v>
      </c>
    </row>
    <row r="199" spans="1:6" x14ac:dyDescent="0.2">
      <c r="A199" s="1" t="s">
        <v>294</v>
      </c>
      <c r="B199" s="3">
        <f ca="1">VLOOKUP(A199,[3]TeamRtg!$A$3:$G$367,7,FALSE)</f>
        <v>-0.277130602346155</v>
      </c>
      <c r="C199" s="1">
        <f t="shared" ca="1" si="3"/>
        <v>202</v>
      </c>
      <c r="D199" s="1">
        <v>198</v>
      </c>
      <c r="E199" s="1" t="e">
        <f>VLOOKUP($A199,[4]TeamRtg!$A$2:$E$366,4,FALSE)</f>
        <v>#N/A</v>
      </c>
      <c r="F199" s="1" t="e">
        <f>VLOOKUP($A199,[4]TeamRtg!$A$2:$E$366,5,FALSE)</f>
        <v>#N/A</v>
      </c>
    </row>
    <row r="200" spans="1:6" x14ac:dyDescent="0.2">
      <c r="A200" s="1" t="s">
        <v>318</v>
      </c>
      <c r="B200" s="3">
        <f ca="1">VLOOKUP(A200,[3]TeamRtg!$A$3:$G$367,7,FALSE)</f>
        <v>-2.3050812164040885E-2</v>
      </c>
      <c r="C200" s="1">
        <f t="shared" ca="1" si="3"/>
        <v>167</v>
      </c>
      <c r="D200" s="1">
        <v>199</v>
      </c>
      <c r="E200" s="1" t="e">
        <f>VLOOKUP($A200,[4]TeamRtg!$A$2:$E$366,4,FALSE)</f>
        <v>#N/A</v>
      </c>
      <c r="F200" s="1" t="e">
        <f>VLOOKUP($A200,[4]TeamRtg!$A$2:$E$366,5,FALSE)</f>
        <v>#N/A</v>
      </c>
    </row>
    <row r="201" spans="1:6" x14ac:dyDescent="0.2">
      <c r="A201" s="1" t="s">
        <v>202</v>
      </c>
      <c r="B201" s="3">
        <f ca="1">VLOOKUP(A201,[3]TeamRtg!$A$3:$G$367,7,FALSE)</f>
        <v>-0.28713028676368169</v>
      </c>
      <c r="C201" s="1">
        <f t="shared" ca="1" si="3"/>
        <v>204</v>
      </c>
      <c r="D201" s="1">
        <v>200</v>
      </c>
      <c r="E201" s="1" t="e">
        <f>VLOOKUP($A201,[4]TeamRtg!$A$2:$E$366,4,FALSE)</f>
        <v>#N/A</v>
      </c>
      <c r="F201" s="1" t="e">
        <f>VLOOKUP($A201,[4]TeamRtg!$A$2:$E$366,5,FALSE)</f>
        <v>#N/A</v>
      </c>
    </row>
    <row r="202" spans="1:6" x14ac:dyDescent="0.2">
      <c r="A202" s="1" t="s">
        <v>277</v>
      </c>
      <c r="B202" s="3">
        <f ca="1">VLOOKUP(A202,[3]TeamRtg!$A$3:$G$367,7,FALSE)</f>
        <v>-0.28719416888872207</v>
      </c>
      <c r="C202" s="1">
        <f t="shared" ca="1" si="3"/>
        <v>205</v>
      </c>
      <c r="D202" s="1">
        <v>201</v>
      </c>
      <c r="E202" s="1" t="e">
        <f>VLOOKUP($A202,[4]TeamRtg!$A$2:$E$366,4,FALSE)</f>
        <v>#N/A</v>
      </c>
      <c r="F202" s="1" t="e">
        <f>VLOOKUP($A202,[4]TeamRtg!$A$2:$E$366,5,FALSE)</f>
        <v>#N/A</v>
      </c>
    </row>
    <row r="203" spans="1:6" x14ac:dyDescent="0.2">
      <c r="A203" s="1" t="s">
        <v>236</v>
      </c>
      <c r="B203" s="3">
        <f ca="1">VLOOKUP(A203,[3]TeamRtg!$A$3:$G$367,7,FALSE)</f>
        <v>-0.28884703484375768</v>
      </c>
      <c r="C203" s="1">
        <f t="shared" ca="1" si="3"/>
        <v>207</v>
      </c>
      <c r="D203" s="1">
        <v>202</v>
      </c>
      <c r="E203" s="1" t="e">
        <f>VLOOKUP($A203,[4]TeamRtg!$A$2:$E$366,4,FALSE)</f>
        <v>#N/A</v>
      </c>
      <c r="F203" s="1" t="e">
        <f>VLOOKUP($A203,[4]TeamRtg!$A$2:$E$366,5,FALSE)</f>
        <v>#N/A</v>
      </c>
    </row>
    <row r="204" spans="1:6" x14ac:dyDescent="0.2">
      <c r="A204" s="1" t="s">
        <v>111</v>
      </c>
      <c r="B204" s="3">
        <f ca="1">VLOOKUP(A204,[3]TeamRtg!$A$3:$G$367,7,FALSE)</f>
        <v>-0.29284974489352822</v>
      </c>
      <c r="C204" s="1">
        <f t="shared" ca="1" si="3"/>
        <v>208</v>
      </c>
      <c r="D204" s="1">
        <v>203</v>
      </c>
      <c r="E204" s="1" t="e">
        <f>VLOOKUP($A204,[4]TeamRtg!$A$2:$E$366,4,FALSE)</f>
        <v>#N/A</v>
      </c>
      <c r="F204" s="1" t="e">
        <f>VLOOKUP($A204,[4]TeamRtg!$A$2:$E$366,5,FALSE)</f>
        <v>#N/A</v>
      </c>
    </row>
    <row r="205" spans="1:6" x14ac:dyDescent="0.2">
      <c r="A205" s="1" t="s">
        <v>242</v>
      </c>
      <c r="B205" s="3">
        <f ca="1">VLOOKUP(A205,[3]TeamRtg!$A$3:$G$367,7,FALSE)</f>
        <v>-0.2953972292516131</v>
      </c>
      <c r="C205" s="1">
        <f t="shared" ca="1" si="3"/>
        <v>209</v>
      </c>
      <c r="D205" s="1">
        <v>204</v>
      </c>
      <c r="E205" s="1" t="e">
        <f>VLOOKUP($A205,[4]TeamRtg!$A$2:$E$366,4,FALSE)</f>
        <v>#N/A</v>
      </c>
      <c r="F205" s="1" t="e">
        <f>VLOOKUP($A205,[4]TeamRtg!$A$2:$E$366,5,FALSE)</f>
        <v>#N/A</v>
      </c>
    </row>
    <row r="206" spans="1:6" x14ac:dyDescent="0.2">
      <c r="A206" s="1" t="s">
        <v>283</v>
      </c>
      <c r="B206" s="3">
        <f ca="1">VLOOKUP(A206,[3]TeamRtg!$A$3:$G$367,7,FALSE)</f>
        <v>-0.29976788620324096</v>
      </c>
      <c r="C206" s="1">
        <f t="shared" ca="1" si="3"/>
        <v>210</v>
      </c>
      <c r="D206" s="1">
        <v>205</v>
      </c>
      <c r="E206" s="1" t="e">
        <f>VLOOKUP($A206,[4]TeamRtg!$A$2:$E$366,4,FALSE)</f>
        <v>#N/A</v>
      </c>
      <c r="F206" s="1" t="e">
        <f>VLOOKUP($A206,[4]TeamRtg!$A$2:$E$366,5,FALSE)</f>
        <v>#N/A</v>
      </c>
    </row>
    <row r="207" spans="1:6" x14ac:dyDescent="0.2">
      <c r="A207" s="1" t="s">
        <v>161</v>
      </c>
      <c r="B207" s="3">
        <f ca="1">VLOOKUP(A207,[3]TeamRtg!$A$3:$G$367,7,FALSE)</f>
        <v>-0.30615504321547871</v>
      </c>
      <c r="C207" s="1">
        <f t="shared" ca="1" si="3"/>
        <v>212</v>
      </c>
      <c r="D207" s="1">
        <v>206</v>
      </c>
      <c r="E207" s="1" t="e">
        <f>VLOOKUP($A207,[4]TeamRtg!$A$2:$E$366,4,FALSE)</f>
        <v>#N/A</v>
      </c>
      <c r="F207" s="1" t="e">
        <f>VLOOKUP($A207,[4]TeamRtg!$A$2:$E$366,5,FALSE)</f>
        <v>#N/A</v>
      </c>
    </row>
    <row r="208" spans="1:6" x14ac:dyDescent="0.2">
      <c r="A208" s="1" t="s">
        <v>309</v>
      </c>
      <c r="B208" s="3">
        <f ca="1">VLOOKUP(A208,[3]TeamRtg!$A$3:$G$367,7,FALSE)</f>
        <v>-0.30610036712617794</v>
      </c>
      <c r="C208" s="1">
        <f t="shared" ca="1" si="3"/>
        <v>211</v>
      </c>
      <c r="D208" s="1">
        <v>207</v>
      </c>
      <c r="E208" s="1" t="e">
        <f>VLOOKUP($A208,[4]TeamRtg!$A$2:$E$366,4,FALSE)</f>
        <v>#N/A</v>
      </c>
      <c r="F208" s="1" t="e">
        <f>VLOOKUP($A208,[4]TeamRtg!$A$2:$E$366,5,FALSE)</f>
        <v>#N/A</v>
      </c>
    </row>
    <row r="209" spans="1:6" x14ac:dyDescent="0.2">
      <c r="A209" s="1" t="s">
        <v>261</v>
      </c>
      <c r="B209" s="3">
        <f ca="1">VLOOKUP(A209,[3]TeamRtg!$A$3:$G$367,7,FALSE)</f>
        <v>-0.3113873757045757</v>
      </c>
      <c r="C209" s="1">
        <f t="shared" ca="1" si="3"/>
        <v>213</v>
      </c>
      <c r="D209" s="1">
        <v>208</v>
      </c>
      <c r="E209" s="1" t="e">
        <f>VLOOKUP($A209,[4]TeamRtg!$A$2:$E$366,4,FALSE)</f>
        <v>#N/A</v>
      </c>
      <c r="F209" s="1" t="e">
        <f>VLOOKUP($A209,[4]TeamRtg!$A$2:$E$366,5,FALSE)</f>
        <v>#N/A</v>
      </c>
    </row>
    <row r="210" spans="1:6" x14ac:dyDescent="0.2">
      <c r="A210" s="1" t="s">
        <v>113</v>
      </c>
      <c r="B210" s="3">
        <f ca="1">VLOOKUP(A210,[3]TeamRtg!$A$3:$G$367,7,FALSE)</f>
        <v>-0.31405718328824217</v>
      </c>
      <c r="C210" s="1">
        <f t="shared" ca="1" si="3"/>
        <v>215</v>
      </c>
      <c r="D210" s="1">
        <v>209</v>
      </c>
      <c r="E210" s="1" t="e">
        <f>VLOOKUP($A210,[4]TeamRtg!$A$2:$E$366,4,FALSE)</f>
        <v>#N/A</v>
      </c>
      <c r="F210" s="1" t="e">
        <f>VLOOKUP($A210,[4]TeamRtg!$A$2:$E$366,5,FALSE)</f>
        <v>#N/A</v>
      </c>
    </row>
    <row r="211" spans="1:6" x14ac:dyDescent="0.2">
      <c r="A211" s="1" t="s">
        <v>226</v>
      </c>
      <c r="B211" s="3">
        <f ca="1">VLOOKUP(A211,[3]TeamRtg!$A$3:$G$367,7,FALSE)</f>
        <v>-0.31294465598637794</v>
      </c>
      <c r="C211" s="1">
        <f t="shared" ca="1" si="3"/>
        <v>214</v>
      </c>
      <c r="D211" s="1">
        <v>210</v>
      </c>
      <c r="E211" s="1" t="e">
        <f>VLOOKUP($A211,[4]TeamRtg!$A$2:$E$366,4,FALSE)</f>
        <v>#N/A</v>
      </c>
      <c r="F211" s="1" t="e">
        <f>VLOOKUP($A211,[4]TeamRtg!$A$2:$E$366,5,FALSE)</f>
        <v>#N/A</v>
      </c>
    </row>
    <row r="212" spans="1:6" x14ac:dyDescent="0.2">
      <c r="A212" s="1" t="s">
        <v>311</v>
      </c>
      <c r="B212" s="3">
        <f ca="1">VLOOKUP(A212,[3]TeamRtg!$A$3:$G$367,7,FALSE)</f>
        <v>-0.32300009936428048</v>
      </c>
      <c r="C212" s="1">
        <f t="shared" ca="1" si="3"/>
        <v>216</v>
      </c>
      <c r="D212" s="1">
        <v>211</v>
      </c>
      <c r="E212" s="1" t="e">
        <f>VLOOKUP($A212,[4]TeamRtg!$A$2:$E$366,4,FALSE)</f>
        <v>#N/A</v>
      </c>
      <c r="F212" s="1" t="e">
        <f>VLOOKUP($A212,[4]TeamRtg!$A$2:$E$366,5,FALSE)</f>
        <v>#N/A</v>
      </c>
    </row>
    <row r="213" spans="1:6" x14ac:dyDescent="0.2">
      <c r="A213" s="1" t="s">
        <v>177</v>
      </c>
      <c r="B213" s="3">
        <f ca="1">VLOOKUP(A213,[3]TeamRtg!$A$3:$G$367,7,FALSE)</f>
        <v>-0.33438846062644545</v>
      </c>
      <c r="C213" s="1">
        <f t="shared" ca="1" si="3"/>
        <v>217</v>
      </c>
      <c r="D213" s="1">
        <v>212</v>
      </c>
      <c r="E213" s="1" t="e">
        <f>VLOOKUP($A213,[4]TeamRtg!$A$2:$E$366,4,FALSE)</f>
        <v>#N/A</v>
      </c>
      <c r="F213" s="1" t="e">
        <f>VLOOKUP($A213,[4]TeamRtg!$A$2:$E$366,5,FALSE)</f>
        <v>#N/A</v>
      </c>
    </row>
    <row r="214" spans="1:6" x14ac:dyDescent="0.2">
      <c r="A214" s="1" t="s">
        <v>265</v>
      </c>
      <c r="B214" s="3">
        <f ca="1">VLOOKUP(A214,[3]TeamRtg!$A$3:$G$367,7,FALSE)</f>
        <v>-0.33734272831897755</v>
      </c>
      <c r="C214" s="1">
        <f t="shared" ca="1" si="3"/>
        <v>218</v>
      </c>
      <c r="D214" s="1">
        <v>213</v>
      </c>
      <c r="E214" s="1" t="e">
        <f>VLOOKUP($A214,[4]TeamRtg!$A$2:$E$366,4,FALSE)</f>
        <v>#N/A</v>
      </c>
      <c r="F214" s="1" t="e">
        <f>VLOOKUP($A214,[4]TeamRtg!$A$2:$E$366,5,FALSE)</f>
        <v>#N/A</v>
      </c>
    </row>
    <row r="215" spans="1:6" x14ac:dyDescent="0.2">
      <c r="A215" s="1" t="s">
        <v>132</v>
      </c>
      <c r="B215" s="3">
        <f ca="1">VLOOKUP(A215,[3]TeamRtg!$A$3:$G$367,7,FALSE)</f>
        <v>-0.35342398341181014</v>
      </c>
      <c r="C215" s="1">
        <f t="shared" ca="1" si="3"/>
        <v>219</v>
      </c>
      <c r="D215" s="1">
        <v>214</v>
      </c>
      <c r="E215" s="1" t="e">
        <f>VLOOKUP($A215,[4]TeamRtg!$A$2:$E$366,4,FALSE)</f>
        <v>#N/A</v>
      </c>
      <c r="F215" s="1" t="e">
        <f>VLOOKUP($A215,[4]TeamRtg!$A$2:$E$366,5,FALSE)</f>
        <v>#N/A</v>
      </c>
    </row>
    <row r="216" spans="1:6" x14ac:dyDescent="0.2">
      <c r="A216" s="1" t="s">
        <v>208</v>
      </c>
      <c r="B216" s="3">
        <f ca="1">VLOOKUP(A216,[3]TeamRtg!$A$3:$G$367,7,FALSE)</f>
        <v>-0.36223957049057376</v>
      </c>
      <c r="C216" s="1">
        <f t="shared" ca="1" si="3"/>
        <v>221</v>
      </c>
      <c r="D216" s="1">
        <v>215</v>
      </c>
      <c r="E216" s="1" t="e">
        <f>VLOOKUP($A216,[4]TeamRtg!$A$2:$E$366,4,FALSE)</f>
        <v>#N/A</v>
      </c>
      <c r="F216" s="1" t="e">
        <f>VLOOKUP($A216,[4]TeamRtg!$A$2:$E$366,5,FALSE)</f>
        <v>#N/A</v>
      </c>
    </row>
    <row r="217" spans="1:6" x14ac:dyDescent="0.2">
      <c r="A217" s="1" t="s">
        <v>219</v>
      </c>
      <c r="B217" s="3">
        <f ca="1">VLOOKUP(A217,[3]TeamRtg!$A$3:$G$367,7,FALSE)</f>
        <v>-0.37274330893806817</v>
      </c>
      <c r="C217" s="1">
        <f t="shared" ca="1" si="3"/>
        <v>222</v>
      </c>
      <c r="D217" s="1">
        <v>216</v>
      </c>
      <c r="E217" s="1" t="e">
        <f>VLOOKUP($A217,[4]TeamRtg!$A$2:$E$366,4,FALSE)</f>
        <v>#N/A</v>
      </c>
      <c r="F217" s="1" t="e">
        <f>VLOOKUP($A217,[4]TeamRtg!$A$2:$E$366,5,FALSE)</f>
        <v>#N/A</v>
      </c>
    </row>
    <row r="218" spans="1:6" x14ac:dyDescent="0.2">
      <c r="A218" s="1" t="s">
        <v>280</v>
      </c>
      <c r="B218" s="3">
        <f ca="1">VLOOKUP(A218,[3]TeamRtg!$A$3:$G$367,7,FALSE)</f>
        <v>-0.37949869676301851</v>
      </c>
      <c r="C218" s="1">
        <f t="shared" ca="1" si="3"/>
        <v>223</v>
      </c>
      <c r="D218" s="1">
        <v>217</v>
      </c>
      <c r="E218" s="1" t="e">
        <f>VLOOKUP($A218,[4]TeamRtg!$A$2:$E$366,4,FALSE)</f>
        <v>#N/A</v>
      </c>
      <c r="F218" s="1" t="e">
        <f>VLOOKUP($A218,[4]TeamRtg!$A$2:$E$366,5,FALSE)</f>
        <v>#N/A</v>
      </c>
    </row>
    <row r="219" spans="1:6" x14ac:dyDescent="0.2">
      <c r="A219" s="1" t="s">
        <v>328</v>
      </c>
      <c r="B219" s="3">
        <f ca="1">VLOOKUP(A219,[3]TeamRtg!$A$3:$G$367,7,FALSE)</f>
        <v>-0.38076324411025458</v>
      </c>
      <c r="C219" s="1">
        <f t="shared" ca="1" si="3"/>
        <v>224</v>
      </c>
      <c r="D219" s="1">
        <v>218</v>
      </c>
      <c r="E219" s="1" t="e">
        <f>VLOOKUP($A219,[4]TeamRtg!$A$2:$E$366,4,FALSE)</f>
        <v>#N/A</v>
      </c>
      <c r="F219" s="1" t="e">
        <f>VLOOKUP($A219,[4]TeamRtg!$A$2:$E$366,5,FALSE)</f>
        <v>#N/A</v>
      </c>
    </row>
    <row r="220" spans="1:6" x14ac:dyDescent="0.2">
      <c r="A220" s="1" t="s">
        <v>249</v>
      </c>
      <c r="B220" s="3">
        <f ca="1">VLOOKUP(A220,[3]TeamRtg!$A$3:$G$367,7,FALSE)</f>
        <v>-0.38264539823395283</v>
      </c>
      <c r="C220" s="1">
        <f t="shared" ca="1" si="3"/>
        <v>225</v>
      </c>
      <c r="D220" s="1">
        <v>219</v>
      </c>
      <c r="E220" s="1" t="e">
        <f>VLOOKUP($A220,[4]TeamRtg!$A$2:$E$366,4,FALSE)</f>
        <v>#N/A</v>
      </c>
      <c r="F220" s="1" t="e">
        <f>VLOOKUP($A220,[4]TeamRtg!$A$2:$E$366,5,FALSE)</f>
        <v>#N/A</v>
      </c>
    </row>
    <row r="221" spans="1:6" x14ac:dyDescent="0.2">
      <c r="A221" s="1" t="s">
        <v>216</v>
      </c>
      <c r="B221" s="3">
        <f ca="1">VLOOKUP(A221,[3]TeamRtg!$A$3:$G$367,7,FALSE)</f>
        <v>-0.38532164468837077</v>
      </c>
      <c r="C221" s="1">
        <f t="shared" ca="1" si="3"/>
        <v>226</v>
      </c>
      <c r="D221" s="1">
        <v>220</v>
      </c>
      <c r="E221" s="1" t="e">
        <f>VLOOKUP($A221,[4]TeamRtg!$A$2:$E$366,4,FALSE)</f>
        <v>#N/A</v>
      </c>
      <c r="F221" s="1" t="e">
        <f>VLOOKUP($A221,[4]TeamRtg!$A$2:$E$366,5,FALSE)</f>
        <v>#N/A</v>
      </c>
    </row>
    <row r="222" spans="1:6" x14ac:dyDescent="0.2">
      <c r="A222" s="1" t="s">
        <v>275</v>
      </c>
      <c r="B222" s="3">
        <f ca="1">VLOOKUP(A222,[3]TeamRtg!$A$3:$G$367,7,FALSE)</f>
        <v>-0.28091797734639734</v>
      </c>
      <c r="C222" s="1">
        <f t="shared" ca="1" si="3"/>
        <v>203</v>
      </c>
      <c r="D222" s="1">
        <v>221</v>
      </c>
      <c r="E222" s="1" t="e">
        <f>VLOOKUP($A222,[4]TeamRtg!$A$2:$E$366,4,FALSE)</f>
        <v>#N/A</v>
      </c>
      <c r="F222" s="1" t="e">
        <f>VLOOKUP($A222,[4]TeamRtg!$A$2:$E$366,5,FALSE)</f>
        <v>#N/A</v>
      </c>
    </row>
    <row r="223" spans="1:6" x14ac:dyDescent="0.2">
      <c r="A223" s="1" t="s">
        <v>326</v>
      </c>
      <c r="B223" s="3">
        <f ca="1">VLOOKUP(A223,[3]TeamRtg!$A$3:$G$367,7,FALSE)</f>
        <v>-0.41453470465733794</v>
      </c>
      <c r="C223" s="1">
        <f t="shared" ca="1" si="3"/>
        <v>227</v>
      </c>
      <c r="D223" s="1">
        <v>222</v>
      </c>
      <c r="E223" s="1" t="e">
        <f>VLOOKUP($A223,[4]TeamRtg!$A$2:$E$366,4,FALSE)</f>
        <v>#N/A</v>
      </c>
      <c r="F223" s="1" t="e">
        <f>VLOOKUP($A223,[4]TeamRtg!$A$2:$E$366,5,FALSE)</f>
        <v>#N/A</v>
      </c>
    </row>
    <row r="224" spans="1:6" x14ac:dyDescent="0.2">
      <c r="A224" s="1" t="s">
        <v>317</v>
      </c>
      <c r="B224" s="3">
        <f ca="1">VLOOKUP(A224,[3]TeamRtg!$A$3:$G$367,7,FALSE)</f>
        <v>-0.36062770643811393</v>
      </c>
      <c r="C224" s="1">
        <f t="shared" ca="1" si="3"/>
        <v>220</v>
      </c>
      <c r="D224" s="1">
        <v>223</v>
      </c>
      <c r="E224" s="1" t="e">
        <f>VLOOKUP($A224,[4]TeamRtg!$A$2:$E$366,4,FALSE)</f>
        <v>#N/A</v>
      </c>
      <c r="F224" s="1" t="e">
        <f>VLOOKUP($A224,[4]TeamRtg!$A$2:$E$366,5,FALSE)</f>
        <v>#N/A</v>
      </c>
    </row>
    <row r="225" spans="1:6" x14ac:dyDescent="0.2">
      <c r="A225" s="1" t="s">
        <v>188</v>
      </c>
      <c r="B225" s="3">
        <f ca="1">VLOOKUP(A225,[3]TeamRtg!$A$3:$G$367,7,FALSE)</f>
        <v>-0.43681293210367533</v>
      </c>
      <c r="C225" s="1">
        <f t="shared" ca="1" si="3"/>
        <v>228</v>
      </c>
      <c r="D225" s="1">
        <v>224</v>
      </c>
      <c r="E225" s="1" t="e">
        <f>VLOOKUP($A225,[4]TeamRtg!$A$2:$E$366,4,FALSE)</f>
        <v>#N/A</v>
      </c>
      <c r="F225" s="1" t="e">
        <f>VLOOKUP($A225,[4]TeamRtg!$A$2:$E$366,5,FALSE)</f>
        <v>#N/A</v>
      </c>
    </row>
    <row r="226" spans="1:6" x14ac:dyDescent="0.2">
      <c r="A226" s="1" t="s">
        <v>258</v>
      </c>
      <c r="B226" s="3">
        <f ca="1">VLOOKUP(A226,[3]TeamRtg!$A$3:$G$367,7,FALSE)</f>
        <v>-0.44091316193292546</v>
      </c>
      <c r="C226" s="1">
        <f t="shared" ca="1" si="3"/>
        <v>229</v>
      </c>
      <c r="D226" s="1">
        <v>225</v>
      </c>
      <c r="E226" s="1" t="e">
        <f>VLOOKUP($A226,[4]TeamRtg!$A$2:$E$366,4,FALSE)</f>
        <v>#N/A</v>
      </c>
      <c r="F226" s="1" t="e">
        <f>VLOOKUP($A226,[4]TeamRtg!$A$2:$E$366,5,FALSE)</f>
        <v>#N/A</v>
      </c>
    </row>
    <row r="227" spans="1:6" x14ac:dyDescent="0.2">
      <c r="A227" s="1" t="s">
        <v>273</v>
      </c>
      <c r="B227" s="3">
        <f ca="1">VLOOKUP(A227,[3]TeamRtg!$A$3:$G$367,7,FALSE)</f>
        <v>-0.44509475808890264</v>
      </c>
      <c r="C227" s="1">
        <f t="shared" ca="1" si="3"/>
        <v>230</v>
      </c>
      <c r="D227" s="1">
        <v>226</v>
      </c>
      <c r="E227" s="1" t="e">
        <f>VLOOKUP($A227,[4]TeamRtg!$A$2:$E$366,4,FALSE)</f>
        <v>#N/A</v>
      </c>
      <c r="F227" s="1" t="e">
        <f>VLOOKUP($A227,[4]TeamRtg!$A$2:$E$366,5,FALSE)</f>
        <v>#N/A</v>
      </c>
    </row>
    <row r="228" spans="1:6" x14ac:dyDescent="0.2">
      <c r="A228" s="1" t="s">
        <v>213</v>
      </c>
      <c r="B228" s="3">
        <f ca="1">VLOOKUP(A228,[3]TeamRtg!$A$3:$G$367,7,FALSE)</f>
        <v>-0.44621154642791955</v>
      </c>
      <c r="C228" s="1">
        <f t="shared" ca="1" si="3"/>
        <v>231</v>
      </c>
      <c r="D228" s="1">
        <v>227</v>
      </c>
      <c r="E228" s="1" t="e">
        <f>VLOOKUP($A228,[4]TeamRtg!$A$2:$E$366,4,FALSE)</f>
        <v>#N/A</v>
      </c>
      <c r="F228" s="1" t="e">
        <f>VLOOKUP($A228,[4]TeamRtg!$A$2:$E$366,5,FALSE)</f>
        <v>#N/A</v>
      </c>
    </row>
    <row r="229" spans="1:6" x14ac:dyDescent="0.2">
      <c r="A229" s="1" t="s">
        <v>212</v>
      </c>
      <c r="B229" s="3">
        <f ca="1">VLOOKUP(A229,[3]TeamRtg!$A$3:$G$367,7,FALSE)</f>
        <v>-0.45148996959931492</v>
      </c>
      <c r="C229" s="1">
        <f t="shared" ca="1" si="3"/>
        <v>232</v>
      </c>
      <c r="D229" s="1">
        <v>228</v>
      </c>
      <c r="E229" s="1" t="e">
        <f>VLOOKUP($A229,[4]TeamRtg!$A$2:$E$366,4,FALSE)</f>
        <v>#N/A</v>
      </c>
      <c r="F229" s="1" t="e">
        <f>VLOOKUP($A229,[4]TeamRtg!$A$2:$E$366,5,FALSE)</f>
        <v>#N/A</v>
      </c>
    </row>
    <row r="230" spans="1:6" x14ac:dyDescent="0.2">
      <c r="A230" s="1" t="s">
        <v>264</v>
      </c>
      <c r="B230" s="3">
        <f ca="1">VLOOKUP(A230,[3]TeamRtg!$A$3:$G$367,7,FALSE)</f>
        <v>-0.46825243473666123</v>
      </c>
      <c r="C230" s="1">
        <f t="shared" ca="1" si="3"/>
        <v>233</v>
      </c>
      <c r="D230" s="1">
        <v>229</v>
      </c>
      <c r="E230" s="1" t="e">
        <f>VLOOKUP($A230,[4]TeamRtg!$A$2:$E$366,4,FALSE)</f>
        <v>#N/A</v>
      </c>
      <c r="F230" s="1" t="e">
        <f>VLOOKUP($A230,[4]TeamRtg!$A$2:$E$366,5,FALSE)</f>
        <v>#N/A</v>
      </c>
    </row>
    <row r="231" spans="1:6" x14ac:dyDescent="0.2">
      <c r="A231" s="1" t="s">
        <v>148</v>
      </c>
      <c r="B231" s="3">
        <f ca="1">VLOOKUP(A231,[3]TeamRtg!$A$3:$G$367,7,FALSE)</f>
        <v>-0.46983649163802982</v>
      </c>
      <c r="C231" s="1">
        <f t="shared" ca="1" si="3"/>
        <v>234</v>
      </c>
      <c r="D231" s="1">
        <v>230</v>
      </c>
      <c r="E231" s="1" t="e">
        <f>VLOOKUP($A231,[4]TeamRtg!$A$2:$E$366,4,FALSE)</f>
        <v>#N/A</v>
      </c>
      <c r="F231" s="1" t="e">
        <f>VLOOKUP($A231,[4]TeamRtg!$A$2:$E$366,5,FALSE)</f>
        <v>#N/A</v>
      </c>
    </row>
    <row r="232" spans="1:6" x14ac:dyDescent="0.2">
      <c r="A232" s="1" t="s">
        <v>267</v>
      </c>
      <c r="B232" s="3">
        <f ca="1">VLOOKUP(A232,[3]TeamRtg!$A$3:$G$367,7,FALSE)</f>
        <v>-0.4748729099373511</v>
      </c>
      <c r="C232" s="1">
        <f t="shared" ca="1" si="3"/>
        <v>236</v>
      </c>
      <c r="D232" s="1">
        <v>231</v>
      </c>
      <c r="E232" s="1" t="e">
        <f>VLOOKUP($A232,[4]TeamRtg!$A$2:$E$366,4,FALSE)</f>
        <v>#N/A</v>
      </c>
      <c r="F232" s="1" t="e">
        <f>VLOOKUP($A232,[4]TeamRtg!$A$2:$E$366,5,FALSE)</f>
        <v>#N/A</v>
      </c>
    </row>
    <row r="233" spans="1:6" x14ac:dyDescent="0.2">
      <c r="A233" s="1" t="s">
        <v>282</v>
      </c>
      <c r="B233" s="3">
        <f ca="1">VLOOKUP(A233,[3]TeamRtg!$A$3:$G$367,7,FALSE)</f>
        <v>-0.47486217850908546</v>
      </c>
      <c r="C233" s="1">
        <f t="shared" ca="1" si="3"/>
        <v>235</v>
      </c>
      <c r="D233" s="1">
        <v>232</v>
      </c>
      <c r="E233" s="1" t="e">
        <f>VLOOKUP($A233,[4]TeamRtg!$A$2:$E$366,4,FALSE)</f>
        <v>#N/A</v>
      </c>
      <c r="F233" s="1" t="e">
        <f>VLOOKUP($A233,[4]TeamRtg!$A$2:$E$366,5,FALSE)</f>
        <v>#N/A</v>
      </c>
    </row>
    <row r="234" spans="1:6" x14ac:dyDescent="0.2">
      <c r="A234" s="1" t="s">
        <v>223</v>
      </c>
      <c r="B234" s="3">
        <f ca="1">VLOOKUP(A234,[3]TeamRtg!$A$3:$G$367,7,FALSE)</f>
        <v>-0.47711859397034456</v>
      </c>
      <c r="C234" s="1">
        <f t="shared" ca="1" si="3"/>
        <v>237</v>
      </c>
      <c r="D234" s="1">
        <v>233</v>
      </c>
      <c r="E234" s="1" t="e">
        <f>VLOOKUP($A234,[4]TeamRtg!$A$2:$E$366,4,FALSE)</f>
        <v>#N/A</v>
      </c>
      <c r="F234" s="1" t="e">
        <f>VLOOKUP($A234,[4]TeamRtg!$A$2:$E$366,5,FALSE)</f>
        <v>#N/A</v>
      </c>
    </row>
    <row r="235" spans="1:6" x14ac:dyDescent="0.2">
      <c r="A235" s="1" t="s">
        <v>342</v>
      </c>
      <c r="B235" s="3">
        <f ca="1">VLOOKUP(A235,[3]TeamRtg!$A$3:$G$367,7,FALSE)</f>
        <v>-0.48470567665000375</v>
      </c>
      <c r="C235" s="1">
        <f t="shared" ca="1" si="3"/>
        <v>238</v>
      </c>
      <c r="D235" s="1">
        <v>234</v>
      </c>
      <c r="E235" s="1" t="e">
        <f>VLOOKUP($A235,[4]TeamRtg!$A$2:$E$366,4,FALSE)</f>
        <v>#N/A</v>
      </c>
      <c r="F235" s="1" t="e">
        <f>VLOOKUP($A235,[4]TeamRtg!$A$2:$E$366,5,FALSE)</f>
        <v>#N/A</v>
      </c>
    </row>
    <row r="236" spans="1:6" x14ac:dyDescent="0.2">
      <c r="A236" s="1" t="s">
        <v>238</v>
      </c>
      <c r="B236" s="3">
        <f ca="1">VLOOKUP(A236,[3]TeamRtg!$A$3:$G$367,7,FALSE)</f>
        <v>-0.49269216288058454</v>
      </c>
      <c r="C236" s="1">
        <f t="shared" ca="1" si="3"/>
        <v>239</v>
      </c>
      <c r="D236" s="1">
        <v>235</v>
      </c>
      <c r="E236" s="1" t="e">
        <f>VLOOKUP($A236,[4]TeamRtg!$A$2:$E$366,4,FALSE)</f>
        <v>#N/A</v>
      </c>
      <c r="F236" s="1" t="e">
        <f>VLOOKUP($A236,[4]TeamRtg!$A$2:$E$366,5,FALSE)</f>
        <v>#N/A</v>
      </c>
    </row>
    <row r="237" spans="1:6" x14ac:dyDescent="0.2">
      <c r="A237" s="1" t="s">
        <v>292</v>
      </c>
      <c r="B237" s="3">
        <f ca="1">VLOOKUP(A237,[3]TeamRtg!$A$3:$G$367,7,FALSE)</f>
        <v>-0.49447843086606014</v>
      </c>
      <c r="C237" s="1">
        <f t="shared" ca="1" si="3"/>
        <v>240</v>
      </c>
      <c r="D237" s="1">
        <v>236</v>
      </c>
      <c r="E237" s="1" t="e">
        <f>VLOOKUP($A237,[4]TeamRtg!$A$2:$E$366,4,FALSE)</f>
        <v>#N/A</v>
      </c>
      <c r="F237" s="1" t="e">
        <f>VLOOKUP($A237,[4]TeamRtg!$A$2:$E$366,5,FALSE)</f>
        <v>#N/A</v>
      </c>
    </row>
    <row r="238" spans="1:6" x14ac:dyDescent="0.2">
      <c r="A238" s="1" t="s">
        <v>187</v>
      </c>
      <c r="B238" s="3">
        <f ca="1">VLOOKUP(A238,[3]TeamRtg!$A$3:$G$367,7,FALSE)</f>
        <v>-0.50131273712077018</v>
      </c>
      <c r="C238" s="1">
        <f t="shared" ca="1" si="3"/>
        <v>241</v>
      </c>
      <c r="D238" s="1">
        <v>237</v>
      </c>
      <c r="E238" s="1" t="e">
        <f>VLOOKUP($A238,[4]TeamRtg!$A$2:$E$366,4,FALSE)</f>
        <v>#N/A</v>
      </c>
      <c r="F238" s="1" t="e">
        <f>VLOOKUP($A238,[4]TeamRtg!$A$2:$E$366,5,FALSE)</f>
        <v>#N/A</v>
      </c>
    </row>
    <row r="239" spans="1:6" x14ac:dyDescent="0.2">
      <c r="A239" s="1" t="s">
        <v>106</v>
      </c>
      <c r="B239" s="3">
        <f ca="1">VLOOKUP(A239,[3]TeamRtg!$A$3:$G$367,7,FALSE)</f>
        <v>-0.5097450388303737</v>
      </c>
      <c r="C239" s="1">
        <f t="shared" ca="1" si="3"/>
        <v>242</v>
      </c>
      <c r="D239" s="1">
        <v>238</v>
      </c>
      <c r="E239" s="1" t="e">
        <f>VLOOKUP($A239,[4]TeamRtg!$A$2:$E$366,4,FALSE)</f>
        <v>#N/A</v>
      </c>
      <c r="F239" s="1" t="e">
        <f>VLOOKUP($A239,[4]TeamRtg!$A$2:$E$366,5,FALSE)</f>
        <v>#N/A</v>
      </c>
    </row>
    <row r="240" spans="1:6" x14ac:dyDescent="0.2">
      <c r="A240" s="1" t="s">
        <v>179</v>
      </c>
      <c r="B240" s="3">
        <f ca="1">VLOOKUP(A240,[3]TeamRtg!$A$3:$G$367,7,FALSE)</f>
        <v>-0.51382241739775114</v>
      </c>
      <c r="C240" s="1">
        <f t="shared" ca="1" si="3"/>
        <v>243</v>
      </c>
      <c r="D240" s="1">
        <v>239</v>
      </c>
      <c r="E240" s="1" t="e">
        <f>VLOOKUP($A240,[4]TeamRtg!$A$2:$E$366,4,FALSE)</f>
        <v>#N/A</v>
      </c>
      <c r="F240" s="1" t="e">
        <f>VLOOKUP($A240,[4]TeamRtg!$A$2:$E$366,5,FALSE)</f>
        <v>#N/A</v>
      </c>
    </row>
    <row r="241" spans="1:6" x14ac:dyDescent="0.2">
      <c r="A241" s="1" t="s">
        <v>203</v>
      </c>
      <c r="B241" s="3">
        <f ca="1">VLOOKUP(A241,[3]TeamRtg!$A$3:$G$367,7,FALSE)</f>
        <v>-0.51392024293354754</v>
      </c>
      <c r="C241" s="1">
        <f t="shared" ca="1" si="3"/>
        <v>244</v>
      </c>
      <c r="D241" s="1">
        <v>240</v>
      </c>
      <c r="E241" s="1" t="e">
        <f>VLOOKUP($A241,[4]TeamRtg!$A$2:$E$366,4,FALSE)</f>
        <v>#N/A</v>
      </c>
      <c r="F241" s="1" t="e">
        <f>VLOOKUP($A241,[4]TeamRtg!$A$2:$E$366,5,FALSE)</f>
        <v>#N/A</v>
      </c>
    </row>
    <row r="242" spans="1:6" x14ac:dyDescent="0.2">
      <c r="A242" s="1" t="s">
        <v>241</v>
      </c>
      <c r="B242" s="3">
        <f ca="1">VLOOKUP(A242,[3]TeamRtg!$A$3:$G$367,7,FALSE)</f>
        <v>-0.52114473970925335</v>
      </c>
      <c r="C242" s="1">
        <f t="shared" ca="1" si="3"/>
        <v>245</v>
      </c>
      <c r="D242" s="1">
        <v>241</v>
      </c>
      <c r="E242" s="1" t="e">
        <f>VLOOKUP($A242,[4]TeamRtg!$A$2:$E$366,4,FALSE)</f>
        <v>#N/A</v>
      </c>
      <c r="F242" s="1" t="e">
        <f>VLOOKUP($A242,[4]TeamRtg!$A$2:$E$366,5,FALSE)</f>
        <v>#N/A</v>
      </c>
    </row>
    <row r="243" spans="1:6" x14ac:dyDescent="0.2">
      <c r="A243" s="1" t="s">
        <v>303</v>
      </c>
      <c r="B243" s="3">
        <f ca="1">VLOOKUP(A243,[3]TeamRtg!$A$3:$G$367,7,FALSE)</f>
        <v>-0.52173706521390084</v>
      </c>
      <c r="C243" s="1">
        <f t="shared" ca="1" si="3"/>
        <v>246</v>
      </c>
      <c r="D243" s="1">
        <v>242</v>
      </c>
      <c r="E243" s="1" t="e">
        <f>VLOOKUP($A243,[4]TeamRtg!$A$2:$E$366,4,FALSE)</f>
        <v>#N/A</v>
      </c>
      <c r="F243" s="1" t="e">
        <f>VLOOKUP($A243,[4]TeamRtg!$A$2:$E$366,5,FALSE)</f>
        <v>#N/A</v>
      </c>
    </row>
    <row r="244" spans="1:6" x14ac:dyDescent="0.2">
      <c r="A244" s="1" t="s">
        <v>186</v>
      </c>
      <c r="B244" s="3">
        <f ca="1">VLOOKUP(A244,[3]TeamRtg!$A$3:$G$367,7,FALSE)</f>
        <v>-4.4976517020065401E-2</v>
      </c>
      <c r="C244" s="1">
        <f t="shared" ca="1" si="3"/>
        <v>170</v>
      </c>
      <c r="D244" s="1">
        <v>243</v>
      </c>
      <c r="E244" s="1" t="e">
        <f>VLOOKUP($A244,[4]TeamRtg!$A$2:$E$366,4,FALSE)</f>
        <v>#N/A</v>
      </c>
      <c r="F244" s="1" t="e">
        <f>VLOOKUP($A244,[4]TeamRtg!$A$2:$E$366,5,FALSE)</f>
        <v>#N/A</v>
      </c>
    </row>
    <row r="245" spans="1:6" x14ac:dyDescent="0.2">
      <c r="A245" s="1" t="s">
        <v>136</v>
      </c>
      <c r="B245" s="3">
        <f ca="1">VLOOKUP(A245,[3]TeamRtg!$A$3:$G$367,7,FALSE)</f>
        <v>-0.52607493425381269</v>
      </c>
      <c r="C245" s="1">
        <f t="shared" ca="1" si="3"/>
        <v>247</v>
      </c>
      <c r="D245" s="1">
        <v>244</v>
      </c>
      <c r="E245" s="1" t="e">
        <f>VLOOKUP($A245,[4]TeamRtg!$A$2:$E$366,4,FALSE)</f>
        <v>#N/A</v>
      </c>
      <c r="F245" s="1" t="e">
        <f>VLOOKUP($A245,[4]TeamRtg!$A$2:$E$366,5,FALSE)</f>
        <v>#N/A</v>
      </c>
    </row>
    <row r="246" spans="1:6" x14ac:dyDescent="0.2">
      <c r="A246" s="1" t="s">
        <v>169</v>
      </c>
      <c r="B246" s="3">
        <f ca="1">VLOOKUP(A246,[3]TeamRtg!$A$3:$G$367,7,FALSE)</f>
        <v>-0.53498571353986057</v>
      </c>
      <c r="C246" s="1">
        <f t="shared" ca="1" si="3"/>
        <v>248</v>
      </c>
      <c r="D246" s="1">
        <v>245</v>
      </c>
      <c r="E246" s="1" t="e">
        <f>VLOOKUP($A246,[4]TeamRtg!$A$2:$E$366,4,FALSE)</f>
        <v>#N/A</v>
      </c>
      <c r="F246" s="1" t="e">
        <f>VLOOKUP($A246,[4]TeamRtg!$A$2:$E$366,5,FALSE)</f>
        <v>#N/A</v>
      </c>
    </row>
    <row r="247" spans="1:6" x14ac:dyDescent="0.2">
      <c r="A247" s="1" t="s">
        <v>173</v>
      </c>
      <c r="B247" s="3">
        <f ca="1">VLOOKUP(A247,[3]TeamRtg!$A$3:$G$367,7,FALSE)</f>
        <v>-0.53820211442821586</v>
      </c>
      <c r="C247" s="1">
        <f t="shared" ca="1" si="3"/>
        <v>249</v>
      </c>
      <c r="D247" s="1">
        <v>246</v>
      </c>
      <c r="E247" s="1" t="e">
        <f>VLOOKUP($A247,[4]TeamRtg!$A$2:$E$366,4,FALSE)</f>
        <v>#N/A</v>
      </c>
      <c r="F247" s="1" t="e">
        <f>VLOOKUP($A247,[4]TeamRtg!$A$2:$E$366,5,FALSE)</f>
        <v>#N/A</v>
      </c>
    </row>
    <row r="248" spans="1:6" x14ac:dyDescent="0.2">
      <c r="A248" s="1" t="s">
        <v>174</v>
      </c>
      <c r="B248" s="3">
        <f ca="1">VLOOKUP(A248,[3]TeamRtg!$A$3:$G$367,7,FALSE)</f>
        <v>-0.53912436368134575</v>
      </c>
      <c r="C248" s="1">
        <f t="shared" ca="1" si="3"/>
        <v>250</v>
      </c>
      <c r="D248" s="1">
        <v>247</v>
      </c>
      <c r="E248" s="1" t="e">
        <f>VLOOKUP($A248,[4]TeamRtg!$A$2:$E$366,4,FALSE)</f>
        <v>#N/A</v>
      </c>
      <c r="F248" s="1" t="e">
        <f>VLOOKUP($A248,[4]TeamRtg!$A$2:$E$366,5,FALSE)</f>
        <v>#N/A</v>
      </c>
    </row>
    <row r="249" spans="1:6" x14ac:dyDescent="0.2">
      <c r="A249" s="1" t="s">
        <v>235</v>
      </c>
      <c r="B249" s="3">
        <f ca="1">VLOOKUP(A249,[3]TeamRtg!$A$3:$G$367,7,FALSE)</f>
        <v>-0.1085687289769921</v>
      </c>
      <c r="C249" s="1">
        <f t="shared" ca="1" si="3"/>
        <v>176</v>
      </c>
      <c r="D249" s="1">
        <v>248</v>
      </c>
      <c r="E249" s="1" t="e">
        <f>VLOOKUP($A249,[4]TeamRtg!$A$2:$E$366,4,FALSE)</f>
        <v>#N/A</v>
      </c>
      <c r="F249" s="1" t="e">
        <f>VLOOKUP($A249,[4]TeamRtg!$A$2:$E$366,5,FALSE)</f>
        <v>#N/A</v>
      </c>
    </row>
    <row r="250" spans="1:6" x14ac:dyDescent="0.2">
      <c r="A250" s="1" t="s">
        <v>253</v>
      </c>
      <c r="B250" s="3">
        <f ca="1">VLOOKUP(A250,[3]TeamRtg!$A$3:$G$367,7,FALSE)</f>
        <v>-0.55152174496947048</v>
      </c>
      <c r="C250" s="1">
        <f t="shared" ca="1" si="3"/>
        <v>251</v>
      </c>
      <c r="D250" s="1">
        <v>249</v>
      </c>
      <c r="E250" s="1" t="e">
        <f>VLOOKUP($A250,[4]TeamRtg!$A$2:$E$366,4,FALSE)</f>
        <v>#N/A</v>
      </c>
      <c r="F250" s="1" t="e">
        <f>VLOOKUP($A250,[4]TeamRtg!$A$2:$E$366,5,FALSE)</f>
        <v>#N/A</v>
      </c>
    </row>
    <row r="251" spans="1:6" x14ac:dyDescent="0.2">
      <c r="A251" s="1" t="s">
        <v>244</v>
      </c>
      <c r="B251" s="3">
        <f ca="1">VLOOKUP(A251,[3]TeamRtg!$A$3:$G$367,7,FALSE)</f>
        <v>-0.55167886761453266</v>
      </c>
      <c r="C251" s="1">
        <f t="shared" ca="1" si="3"/>
        <v>252</v>
      </c>
      <c r="D251" s="1">
        <v>250</v>
      </c>
      <c r="E251" s="1" t="e">
        <f>VLOOKUP($A251,[4]TeamRtg!$A$2:$E$366,4,FALSE)</f>
        <v>#N/A</v>
      </c>
      <c r="F251" s="1" t="e">
        <f>VLOOKUP($A251,[4]TeamRtg!$A$2:$E$366,5,FALSE)</f>
        <v>#N/A</v>
      </c>
    </row>
    <row r="252" spans="1:6" x14ac:dyDescent="0.2">
      <c r="A252" s="1" t="s">
        <v>308</v>
      </c>
      <c r="B252" s="3">
        <f ca="1">VLOOKUP(A252,[3]TeamRtg!$A$3:$G$367,7,FALSE)</f>
        <v>-0.55310045265116115</v>
      </c>
      <c r="C252" s="1">
        <f t="shared" ca="1" si="3"/>
        <v>253</v>
      </c>
      <c r="D252" s="1">
        <v>251</v>
      </c>
      <c r="E252" s="1" t="e">
        <f>VLOOKUP($A252,[4]TeamRtg!$A$2:$E$366,4,FALSE)</f>
        <v>#N/A</v>
      </c>
      <c r="F252" s="1" t="e">
        <f>VLOOKUP($A252,[4]TeamRtg!$A$2:$E$366,5,FALSE)</f>
        <v>#N/A</v>
      </c>
    </row>
    <row r="253" spans="1:6" x14ac:dyDescent="0.2">
      <c r="A253" s="1" t="s">
        <v>218</v>
      </c>
      <c r="B253" s="3">
        <f ca="1">VLOOKUP(A253,[3]TeamRtg!$A$3:$G$367,7,FALSE)</f>
        <v>-0.56786101460396343</v>
      </c>
      <c r="C253" s="1">
        <f t="shared" ca="1" si="3"/>
        <v>255</v>
      </c>
      <c r="D253" s="1">
        <v>252</v>
      </c>
      <c r="E253" s="1" t="e">
        <f>VLOOKUP($A253,[4]TeamRtg!$A$2:$E$366,4,FALSE)</f>
        <v>#N/A</v>
      </c>
      <c r="F253" s="1" t="e">
        <f>VLOOKUP($A253,[4]TeamRtg!$A$2:$E$366,5,FALSE)</f>
        <v>#N/A</v>
      </c>
    </row>
    <row r="254" spans="1:6" x14ac:dyDescent="0.2">
      <c r="A254" s="1" t="s">
        <v>313</v>
      </c>
      <c r="B254" s="3">
        <f ca="1">VLOOKUP(A254,[3]TeamRtg!$A$3:$G$367,7,FALSE)</f>
        <v>-0.58126176924366246</v>
      </c>
      <c r="C254" s="1">
        <f t="shared" ca="1" si="3"/>
        <v>256</v>
      </c>
      <c r="D254" s="1">
        <v>253</v>
      </c>
      <c r="E254" s="1" t="e">
        <f>VLOOKUP($A254,[4]TeamRtg!$A$2:$E$366,4,FALSE)</f>
        <v>#N/A</v>
      </c>
      <c r="F254" s="1" t="e">
        <f>VLOOKUP($A254,[4]TeamRtg!$A$2:$E$366,5,FALSE)</f>
        <v>#N/A</v>
      </c>
    </row>
    <row r="255" spans="1:6" x14ac:dyDescent="0.2">
      <c r="A255" s="1" t="s">
        <v>289</v>
      </c>
      <c r="B255" s="3">
        <f ca="1">VLOOKUP(A255,[3]TeamRtg!$A$3:$G$367,7,FALSE)</f>
        <v>-0.59213436529405983</v>
      </c>
      <c r="C255" s="1">
        <f t="shared" ca="1" si="3"/>
        <v>257</v>
      </c>
      <c r="D255" s="1">
        <v>254</v>
      </c>
      <c r="E255" s="1" t="e">
        <f>VLOOKUP($A255,[4]TeamRtg!$A$2:$E$366,4,FALSE)</f>
        <v>#N/A</v>
      </c>
      <c r="F255" s="1" t="e">
        <f>VLOOKUP($A255,[4]TeamRtg!$A$2:$E$366,5,FALSE)</f>
        <v>#N/A</v>
      </c>
    </row>
    <row r="256" spans="1:6" x14ac:dyDescent="0.2">
      <c r="A256" s="1" t="s">
        <v>133</v>
      </c>
      <c r="B256" s="3">
        <f ca="1">VLOOKUP(A256,[3]TeamRtg!$A$3:$G$367,7,FALSE)</f>
        <v>-0.59731550265193045</v>
      </c>
      <c r="C256" s="1">
        <f t="shared" ca="1" si="3"/>
        <v>258</v>
      </c>
      <c r="D256" s="1">
        <v>255</v>
      </c>
      <c r="E256" s="1" t="e">
        <f>VLOOKUP($A256,[4]TeamRtg!$A$2:$E$366,4,FALSE)</f>
        <v>#N/A</v>
      </c>
      <c r="F256" s="1" t="e">
        <f>VLOOKUP($A256,[4]TeamRtg!$A$2:$E$366,5,FALSE)</f>
        <v>#N/A</v>
      </c>
    </row>
    <row r="257" spans="1:6" x14ac:dyDescent="0.2">
      <c r="A257" s="1" t="s">
        <v>272</v>
      </c>
      <c r="B257" s="3">
        <f ca="1">VLOOKUP(A257,[3]TeamRtg!$A$3:$G$367,7,FALSE)</f>
        <v>-0.59925768840648697</v>
      </c>
      <c r="C257" s="1">
        <f t="shared" ca="1" si="3"/>
        <v>259</v>
      </c>
      <c r="D257" s="1">
        <v>256</v>
      </c>
      <c r="E257" s="1" t="e">
        <f>VLOOKUP($A257,[4]TeamRtg!$A$2:$E$366,4,FALSE)</f>
        <v>#N/A</v>
      </c>
      <c r="F257" s="1" t="e">
        <f>VLOOKUP($A257,[4]TeamRtg!$A$2:$E$366,5,FALSE)</f>
        <v>#N/A</v>
      </c>
    </row>
    <row r="258" spans="1:6" x14ac:dyDescent="0.2">
      <c r="A258" s="1" t="s">
        <v>209</v>
      </c>
      <c r="B258" s="3">
        <f ca="1">VLOOKUP(A258,[3]TeamRtg!$A$3:$G$367,7,FALSE)</f>
        <v>-0.6030691142998803</v>
      </c>
      <c r="C258" s="1">
        <f t="shared" ref="C258:C321" ca="1" si="4">RANK(B258,$B$2:$B$366)</f>
        <v>260</v>
      </c>
      <c r="D258" s="1">
        <v>257</v>
      </c>
      <c r="E258" s="1" t="e">
        <f>VLOOKUP($A258,[4]TeamRtg!$A$2:$E$366,4,FALSE)</f>
        <v>#N/A</v>
      </c>
      <c r="F258" s="1" t="e">
        <f>VLOOKUP($A258,[4]TeamRtg!$A$2:$E$366,5,FALSE)</f>
        <v>#N/A</v>
      </c>
    </row>
    <row r="259" spans="1:6" x14ac:dyDescent="0.2">
      <c r="A259" s="1" t="s">
        <v>172</v>
      </c>
      <c r="B259" s="3">
        <f ca="1">VLOOKUP(A259,[3]TeamRtg!$A$3:$G$367,7,FALSE)</f>
        <v>-0.60827770601612252</v>
      </c>
      <c r="C259" s="1">
        <f t="shared" ca="1" si="4"/>
        <v>261</v>
      </c>
      <c r="D259" s="1">
        <v>258</v>
      </c>
      <c r="E259" s="1" t="e">
        <f>VLOOKUP($A259,[4]TeamRtg!$A$2:$E$366,4,FALSE)</f>
        <v>#N/A</v>
      </c>
      <c r="F259" s="1" t="e">
        <f>VLOOKUP($A259,[4]TeamRtg!$A$2:$E$366,5,FALSE)</f>
        <v>#N/A</v>
      </c>
    </row>
    <row r="260" spans="1:6" x14ac:dyDescent="0.2">
      <c r="A260" s="1" t="s">
        <v>144</v>
      </c>
      <c r="B260" s="3">
        <f ca="1">VLOOKUP(A260,[3]TeamRtg!$A$3:$G$367,7,FALSE)</f>
        <v>-0.63256166025417326</v>
      </c>
      <c r="C260" s="1">
        <f t="shared" ca="1" si="4"/>
        <v>263</v>
      </c>
      <c r="D260" s="1">
        <v>259</v>
      </c>
      <c r="E260" s="1" t="e">
        <f>VLOOKUP($A260,[4]TeamRtg!$A$2:$E$366,4,FALSE)</f>
        <v>#N/A</v>
      </c>
      <c r="F260" s="1" t="e">
        <f>VLOOKUP($A260,[4]TeamRtg!$A$2:$E$366,5,FALSE)</f>
        <v>#N/A</v>
      </c>
    </row>
    <row r="261" spans="1:6" x14ac:dyDescent="0.2">
      <c r="A261" s="1" t="s">
        <v>341</v>
      </c>
      <c r="B261" s="3">
        <f ca="1">VLOOKUP(A261,[3]TeamRtg!$A$3:$G$367,7,FALSE)</f>
        <v>-0.63217999885139198</v>
      </c>
      <c r="C261" s="1">
        <f t="shared" ca="1" si="4"/>
        <v>262</v>
      </c>
      <c r="D261" s="1">
        <v>260</v>
      </c>
      <c r="E261" s="1" t="e">
        <f>VLOOKUP($A261,[4]TeamRtg!$A$2:$E$366,4,FALSE)</f>
        <v>#N/A</v>
      </c>
      <c r="F261" s="1" t="e">
        <f>VLOOKUP($A261,[4]TeamRtg!$A$2:$E$366,5,FALSE)</f>
        <v>#N/A</v>
      </c>
    </row>
    <row r="262" spans="1:6" x14ac:dyDescent="0.2">
      <c r="A262" s="1" t="s">
        <v>262</v>
      </c>
      <c r="B262" s="3">
        <f ca="1">VLOOKUP(A262,[3]TeamRtg!$A$3:$G$367,7,FALSE)</f>
        <v>-0.64442718980578995</v>
      </c>
      <c r="C262" s="1">
        <f t="shared" ca="1" si="4"/>
        <v>264</v>
      </c>
      <c r="D262" s="1">
        <v>261</v>
      </c>
      <c r="E262" s="1" t="e">
        <f>VLOOKUP($A262,[4]TeamRtg!$A$2:$E$366,4,FALSE)</f>
        <v>#N/A</v>
      </c>
      <c r="F262" s="1" t="e">
        <f>VLOOKUP($A262,[4]TeamRtg!$A$2:$E$366,5,FALSE)</f>
        <v>#N/A</v>
      </c>
    </row>
    <row r="263" spans="1:6" x14ac:dyDescent="0.2">
      <c r="A263" s="1" t="s">
        <v>231</v>
      </c>
      <c r="B263" s="3">
        <f ca="1">VLOOKUP(A263,[3]TeamRtg!$A$3:$G$367,7,FALSE)</f>
        <v>-0.64734424940237723</v>
      </c>
      <c r="C263" s="1">
        <f t="shared" ca="1" si="4"/>
        <v>265</v>
      </c>
      <c r="D263" s="1">
        <v>262</v>
      </c>
      <c r="E263" s="1" t="e">
        <f>VLOOKUP($A263,[4]TeamRtg!$A$2:$E$366,4,FALSE)</f>
        <v>#N/A</v>
      </c>
      <c r="F263" s="1" t="e">
        <f>VLOOKUP($A263,[4]TeamRtg!$A$2:$E$366,5,FALSE)</f>
        <v>#N/A</v>
      </c>
    </row>
    <row r="264" spans="1:6" x14ac:dyDescent="0.2">
      <c r="A264" s="1" t="s">
        <v>232</v>
      </c>
      <c r="B264" s="3">
        <f ca="1">VLOOKUP(A264,[3]TeamRtg!$A$3:$G$367,7,FALSE)</f>
        <v>-0.64799662735786701</v>
      </c>
      <c r="C264" s="1">
        <f t="shared" ca="1" si="4"/>
        <v>266</v>
      </c>
      <c r="D264" s="1">
        <v>263</v>
      </c>
      <c r="E264" s="1" t="e">
        <f>VLOOKUP($A264,[4]TeamRtg!$A$2:$E$366,4,FALSE)</f>
        <v>#N/A</v>
      </c>
      <c r="F264" s="1" t="e">
        <f>VLOOKUP($A264,[4]TeamRtg!$A$2:$E$366,5,FALSE)</f>
        <v>#N/A</v>
      </c>
    </row>
    <row r="265" spans="1:6" x14ac:dyDescent="0.2">
      <c r="A265" s="1" t="s">
        <v>314</v>
      </c>
      <c r="B265" s="3">
        <f ca="1">VLOOKUP(A265,[3]TeamRtg!$A$3:$G$367,7,FALSE)</f>
        <v>-0.67721748171200946</v>
      </c>
      <c r="C265" s="1">
        <f t="shared" ca="1" si="4"/>
        <v>267</v>
      </c>
      <c r="D265" s="1">
        <v>264</v>
      </c>
      <c r="E265" s="1" t="e">
        <f>VLOOKUP($A265,[4]TeamRtg!$A$2:$E$366,4,FALSE)</f>
        <v>#N/A</v>
      </c>
      <c r="F265" s="1" t="e">
        <f>VLOOKUP($A265,[4]TeamRtg!$A$2:$E$366,5,FALSE)</f>
        <v>#N/A</v>
      </c>
    </row>
    <row r="266" spans="1:6" x14ac:dyDescent="0.2">
      <c r="A266" s="1" t="s">
        <v>320</v>
      </c>
      <c r="B266" s="3">
        <f ca="1">VLOOKUP(A266,[3]TeamRtg!$A$3:$G$367,7,FALSE)</f>
        <v>-0.6816302091926415</v>
      </c>
      <c r="C266" s="1">
        <f t="shared" ca="1" si="4"/>
        <v>268</v>
      </c>
      <c r="D266" s="1">
        <v>265</v>
      </c>
      <c r="E266" s="1" t="e">
        <f>VLOOKUP($A266,[4]TeamRtg!$A$2:$E$366,4,FALSE)</f>
        <v>#N/A</v>
      </c>
      <c r="F266" s="1" t="e">
        <f>VLOOKUP($A266,[4]TeamRtg!$A$2:$E$366,5,FALSE)</f>
        <v>#N/A</v>
      </c>
    </row>
    <row r="267" spans="1:6" x14ac:dyDescent="0.2">
      <c r="A267" s="1" t="s">
        <v>243</v>
      </c>
      <c r="B267" s="3">
        <f ca="1">VLOOKUP(A267,[3]TeamRtg!$A$3:$G$367,7,FALSE)</f>
        <v>-0.69207678152116336</v>
      </c>
      <c r="C267" s="1">
        <f t="shared" ca="1" si="4"/>
        <v>269</v>
      </c>
      <c r="D267" s="1">
        <v>266</v>
      </c>
      <c r="E267" s="1" t="e">
        <f>VLOOKUP($A267,[4]TeamRtg!$A$2:$E$366,4,FALSE)</f>
        <v>#N/A</v>
      </c>
      <c r="F267" s="1" t="e">
        <f>VLOOKUP($A267,[4]TeamRtg!$A$2:$E$366,5,FALSE)</f>
        <v>#N/A</v>
      </c>
    </row>
    <row r="268" spans="1:6" x14ac:dyDescent="0.2">
      <c r="A268" s="1" t="s">
        <v>246</v>
      </c>
      <c r="B268" s="3">
        <f ca="1">VLOOKUP(A268,[3]TeamRtg!$A$3:$G$367,7,FALSE)</f>
        <v>-0.69226925965916275</v>
      </c>
      <c r="C268" s="1">
        <f t="shared" ca="1" si="4"/>
        <v>270</v>
      </c>
      <c r="D268" s="1">
        <v>267</v>
      </c>
      <c r="E268" s="1" t="e">
        <f>VLOOKUP($A268,[4]TeamRtg!$A$2:$E$366,4,FALSE)</f>
        <v>#N/A</v>
      </c>
      <c r="F268" s="1" t="e">
        <f>VLOOKUP($A268,[4]TeamRtg!$A$2:$E$366,5,FALSE)</f>
        <v>#N/A</v>
      </c>
    </row>
    <row r="269" spans="1:6" x14ac:dyDescent="0.2">
      <c r="A269" s="1" t="s">
        <v>298</v>
      </c>
      <c r="B269" s="3">
        <f ca="1">VLOOKUP(A269,[3]TeamRtg!$A$3:$G$367,7,FALSE)</f>
        <v>-0.70197995874207697</v>
      </c>
      <c r="C269" s="1">
        <f t="shared" ca="1" si="4"/>
        <v>271</v>
      </c>
      <c r="D269" s="1">
        <v>268</v>
      </c>
      <c r="E269" s="1" t="e">
        <f>VLOOKUP($A269,[4]TeamRtg!$A$2:$E$366,4,FALSE)</f>
        <v>#N/A</v>
      </c>
      <c r="F269" s="1" t="e">
        <f>VLOOKUP($A269,[4]TeamRtg!$A$2:$E$366,5,FALSE)</f>
        <v>#N/A</v>
      </c>
    </row>
    <row r="270" spans="1:6" x14ac:dyDescent="0.2">
      <c r="A270" s="1" t="s">
        <v>278</v>
      </c>
      <c r="B270" s="3">
        <f ca="1">VLOOKUP(A270,[3]TeamRtg!$A$3:$G$367,7,FALSE)</f>
        <v>-0.56698570405085158</v>
      </c>
      <c r="C270" s="1">
        <f t="shared" ca="1" si="4"/>
        <v>254</v>
      </c>
      <c r="D270" s="1">
        <v>269</v>
      </c>
      <c r="E270" s="1" t="e">
        <f>VLOOKUP($A270,[4]TeamRtg!$A$2:$E$366,4,FALSE)</f>
        <v>#N/A</v>
      </c>
      <c r="F270" s="1" t="e">
        <f>VLOOKUP($A270,[4]TeamRtg!$A$2:$E$366,5,FALSE)</f>
        <v>#N/A</v>
      </c>
    </row>
    <row r="271" spans="1:6" x14ac:dyDescent="0.2">
      <c r="A271" s="1" t="s">
        <v>201</v>
      </c>
      <c r="B271" s="3">
        <f ca="1">VLOOKUP(A271,[3]TeamRtg!$A$3:$G$367,7,FALSE)</f>
        <v>-0.71503911686334576</v>
      </c>
      <c r="C271" s="1">
        <f t="shared" ca="1" si="4"/>
        <v>272</v>
      </c>
      <c r="D271" s="1">
        <v>270</v>
      </c>
      <c r="E271" s="1" t="e">
        <f>VLOOKUP($A271,[4]TeamRtg!$A$2:$E$366,4,FALSE)</f>
        <v>#N/A</v>
      </c>
      <c r="F271" s="1" t="e">
        <f>VLOOKUP($A271,[4]TeamRtg!$A$2:$E$366,5,FALSE)</f>
        <v>#N/A</v>
      </c>
    </row>
    <row r="272" spans="1:6" x14ac:dyDescent="0.2">
      <c r="A272" s="1" t="s">
        <v>214</v>
      </c>
      <c r="B272" s="3">
        <f ca="1">VLOOKUP(A272,[3]TeamRtg!$A$3:$G$367,7,FALSE)</f>
        <v>-0.71845019821448575</v>
      </c>
      <c r="C272" s="1">
        <f t="shared" ca="1" si="4"/>
        <v>274</v>
      </c>
      <c r="D272" s="1">
        <v>271</v>
      </c>
      <c r="E272" s="1" t="e">
        <f>VLOOKUP($A272,[4]TeamRtg!$A$2:$E$366,4,FALSE)</f>
        <v>#N/A</v>
      </c>
      <c r="F272" s="1" t="e">
        <f>VLOOKUP($A272,[4]TeamRtg!$A$2:$E$366,5,FALSE)</f>
        <v>#N/A</v>
      </c>
    </row>
    <row r="273" spans="1:6" x14ac:dyDescent="0.2">
      <c r="A273" s="1" t="s">
        <v>304</v>
      </c>
      <c r="B273" s="3">
        <f ca="1">VLOOKUP(A273,[3]TeamRtg!$A$3:$G$367,7,FALSE)</f>
        <v>-0.71744000899359894</v>
      </c>
      <c r="C273" s="1">
        <f t="shared" ca="1" si="4"/>
        <v>273</v>
      </c>
      <c r="D273" s="1">
        <v>272</v>
      </c>
      <c r="E273" s="1" t="e">
        <f>VLOOKUP($A273,[4]TeamRtg!$A$2:$E$366,4,FALSE)</f>
        <v>#N/A</v>
      </c>
      <c r="F273" s="1" t="e">
        <f>VLOOKUP($A273,[4]TeamRtg!$A$2:$E$366,5,FALSE)</f>
        <v>#N/A</v>
      </c>
    </row>
    <row r="274" spans="1:6" x14ac:dyDescent="0.2">
      <c r="A274" s="1" t="s">
        <v>279</v>
      </c>
      <c r="B274" s="3">
        <f ca="1">VLOOKUP(A274,[3]TeamRtg!$A$3:$G$367,7,FALSE)</f>
        <v>-0.72518607049273531</v>
      </c>
      <c r="C274" s="1">
        <f t="shared" ca="1" si="4"/>
        <v>276</v>
      </c>
      <c r="D274" s="1">
        <v>273</v>
      </c>
      <c r="E274" s="1" t="e">
        <f>VLOOKUP($A274,[4]TeamRtg!$A$2:$E$366,4,FALSE)</f>
        <v>#N/A</v>
      </c>
      <c r="F274" s="1" t="e">
        <f>VLOOKUP($A274,[4]TeamRtg!$A$2:$E$366,5,FALSE)</f>
        <v>#N/A</v>
      </c>
    </row>
    <row r="275" spans="1:6" x14ac:dyDescent="0.2">
      <c r="A275" s="1" t="s">
        <v>234</v>
      </c>
      <c r="B275" s="3">
        <f ca="1">VLOOKUP(A275,[3]TeamRtg!$A$3:$G$367,7,FALSE)</f>
        <v>-0.72735142902903771</v>
      </c>
      <c r="C275" s="1">
        <f t="shared" ca="1" si="4"/>
        <v>277</v>
      </c>
      <c r="D275" s="1">
        <v>274</v>
      </c>
      <c r="E275" s="1" t="e">
        <f>VLOOKUP($A275,[4]TeamRtg!$A$2:$E$366,4,FALSE)</f>
        <v>#N/A</v>
      </c>
      <c r="F275" s="1" t="e">
        <f>VLOOKUP($A275,[4]TeamRtg!$A$2:$E$366,5,FALSE)</f>
        <v>#N/A</v>
      </c>
    </row>
    <row r="276" spans="1:6" x14ac:dyDescent="0.2">
      <c r="A276" s="1" t="s">
        <v>163</v>
      </c>
      <c r="B276" s="3">
        <f ca="1">VLOOKUP(A276,[3]TeamRtg!$A$3:$G$367,7,FALSE)</f>
        <v>-0.73440040523161076</v>
      </c>
      <c r="C276" s="1">
        <f t="shared" ca="1" si="4"/>
        <v>278</v>
      </c>
      <c r="D276" s="1">
        <v>275</v>
      </c>
      <c r="E276" s="1" t="e">
        <f>VLOOKUP($A276,[4]TeamRtg!$A$2:$E$366,4,FALSE)</f>
        <v>#N/A</v>
      </c>
      <c r="F276" s="1" t="e">
        <f>VLOOKUP($A276,[4]TeamRtg!$A$2:$E$366,5,FALSE)</f>
        <v>#N/A</v>
      </c>
    </row>
    <row r="277" spans="1:6" x14ac:dyDescent="0.2">
      <c r="A277" s="1" t="s">
        <v>327</v>
      </c>
      <c r="B277" s="3">
        <f ca="1">VLOOKUP(A277,[3]TeamRtg!$A$3:$G$367,7,FALSE)</f>
        <v>-0.73730761837210324</v>
      </c>
      <c r="C277" s="1">
        <f t="shared" ca="1" si="4"/>
        <v>279</v>
      </c>
      <c r="D277" s="1">
        <v>276</v>
      </c>
      <c r="E277" s="1" t="e">
        <f>VLOOKUP($A277,[4]TeamRtg!$A$2:$E$366,4,FALSE)</f>
        <v>#N/A</v>
      </c>
      <c r="F277" s="1" t="e">
        <f>VLOOKUP($A277,[4]TeamRtg!$A$2:$E$366,5,FALSE)</f>
        <v>#N/A</v>
      </c>
    </row>
    <row r="278" spans="1:6" x14ac:dyDescent="0.2">
      <c r="A278" s="1" t="s">
        <v>182</v>
      </c>
      <c r="B278" s="3">
        <f ca="1">VLOOKUP(A278,[3]TeamRtg!$A$3:$G$367,7,FALSE)</f>
        <v>-0.7473956577276657</v>
      </c>
      <c r="C278" s="1">
        <f t="shared" ca="1" si="4"/>
        <v>281</v>
      </c>
      <c r="D278" s="1">
        <v>277</v>
      </c>
      <c r="E278" s="1" t="e">
        <f>VLOOKUP($A278,[4]TeamRtg!$A$2:$E$366,4,FALSE)</f>
        <v>#N/A</v>
      </c>
      <c r="F278" s="1" t="e">
        <f>VLOOKUP($A278,[4]TeamRtg!$A$2:$E$366,5,FALSE)</f>
        <v>#N/A</v>
      </c>
    </row>
    <row r="279" spans="1:6" x14ac:dyDescent="0.2">
      <c r="A279" s="1" t="s">
        <v>215</v>
      </c>
      <c r="B279" s="3">
        <f ca="1">VLOOKUP(A279,[3]TeamRtg!$A$3:$G$367,7,FALSE)</f>
        <v>-0.7520811805794404</v>
      </c>
      <c r="C279" s="1">
        <f t="shared" ca="1" si="4"/>
        <v>283</v>
      </c>
      <c r="D279" s="1">
        <v>278</v>
      </c>
      <c r="E279" s="1" t="e">
        <f>VLOOKUP($A279,[4]TeamRtg!$A$2:$E$366,4,FALSE)</f>
        <v>#N/A</v>
      </c>
      <c r="F279" s="1" t="e">
        <f>VLOOKUP($A279,[4]TeamRtg!$A$2:$E$366,5,FALSE)</f>
        <v>#N/A</v>
      </c>
    </row>
    <row r="280" spans="1:6" x14ac:dyDescent="0.2">
      <c r="A280" s="1" t="s">
        <v>315</v>
      </c>
      <c r="B280" s="3">
        <f ca="1">VLOOKUP(A280,[3]TeamRtg!$A$3:$G$367,7,FALSE)</f>
        <v>-0.75193386557329411</v>
      </c>
      <c r="C280" s="1">
        <f t="shared" ca="1" si="4"/>
        <v>282</v>
      </c>
      <c r="D280" s="1">
        <v>279</v>
      </c>
      <c r="E280" s="1" t="e">
        <f>VLOOKUP($A280,[4]TeamRtg!$A$2:$E$366,4,FALSE)</f>
        <v>#N/A</v>
      </c>
      <c r="F280" s="1" t="e">
        <f>VLOOKUP($A280,[4]TeamRtg!$A$2:$E$366,5,FALSE)</f>
        <v>#N/A</v>
      </c>
    </row>
    <row r="281" spans="1:6" x14ac:dyDescent="0.2">
      <c r="A281" s="1" t="s">
        <v>237</v>
      </c>
      <c r="B281" s="3">
        <f ca="1">VLOOKUP(A281,[3]TeamRtg!$A$3:$G$367,7,FALSE)</f>
        <v>-0.7764008604518543</v>
      </c>
      <c r="C281" s="1">
        <f t="shared" ca="1" si="4"/>
        <v>284</v>
      </c>
      <c r="D281" s="1">
        <v>280</v>
      </c>
      <c r="E281" s="1" t="e">
        <f>VLOOKUP($A281,[4]TeamRtg!$A$2:$E$366,4,FALSE)</f>
        <v>#N/A</v>
      </c>
      <c r="F281" s="1" t="e">
        <f>VLOOKUP($A281,[4]TeamRtg!$A$2:$E$366,5,FALSE)</f>
        <v>#N/A</v>
      </c>
    </row>
    <row r="282" spans="1:6" x14ac:dyDescent="0.2">
      <c r="A282" s="1" t="s">
        <v>120</v>
      </c>
      <c r="B282" s="3">
        <f ca="1">VLOOKUP(A282,[3]TeamRtg!$A$3:$G$367,7,FALSE)</f>
        <v>-0.78309560080866569</v>
      </c>
      <c r="C282" s="1">
        <f t="shared" ca="1" si="4"/>
        <v>286</v>
      </c>
      <c r="D282" s="1">
        <v>281</v>
      </c>
      <c r="E282" s="1" t="e">
        <f>VLOOKUP($A282,[4]TeamRtg!$A$2:$E$366,4,FALSE)</f>
        <v>#N/A</v>
      </c>
      <c r="F282" s="1" t="e">
        <f>VLOOKUP($A282,[4]TeamRtg!$A$2:$E$366,5,FALSE)</f>
        <v>#N/A</v>
      </c>
    </row>
    <row r="283" spans="1:6" x14ac:dyDescent="0.2">
      <c r="A283" s="1" t="s">
        <v>299</v>
      </c>
      <c r="B283" s="3">
        <f ca="1">VLOOKUP(A283,[3]TeamRtg!$A$3:$G$367,7,FALSE)</f>
        <v>-0.78244055338169449</v>
      </c>
      <c r="C283" s="1">
        <f t="shared" ca="1" si="4"/>
        <v>285</v>
      </c>
      <c r="D283" s="1">
        <v>282</v>
      </c>
      <c r="E283" s="1" t="e">
        <f>VLOOKUP($A283,[4]TeamRtg!$A$2:$E$366,4,FALSE)</f>
        <v>#N/A</v>
      </c>
      <c r="F283" s="1" t="e">
        <f>VLOOKUP($A283,[4]TeamRtg!$A$2:$E$366,5,FALSE)</f>
        <v>#N/A</v>
      </c>
    </row>
    <row r="284" spans="1:6" x14ac:dyDescent="0.2">
      <c r="A284" s="1" t="s">
        <v>300</v>
      </c>
      <c r="B284" s="3">
        <f ca="1">VLOOKUP(A284,[3]TeamRtg!$A$3:$G$367,7,FALSE)</f>
        <v>-0.78419317390690846</v>
      </c>
      <c r="C284" s="1">
        <f t="shared" ca="1" si="4"/>
        <v>288</v>
      </c>
      <c r="D284" s="1">
        <v>283</v>
      </c>
      <c r="E284" s="1" t="e">
        <f>VLOOKUP($A284,[4]TeamRtg!$A$2:$E$366,4,FALSE)</f>
        <v>#N/A</v>
      </c>
      <c r="F284" s="1" t="e">
        <f>VLOOKUP($A284,[4]TeamRtg!$A$2:$E$366,5,FALSE)</f>
        <v>#N/A</v>
      </c>
    </row>
    <row r="285" spans="1:6" x14ac:dyDescent="0.2">
      <c r="A285" s="1" t="s">
        <v>296</v>
      </c>
      <c r="B285" s="3">
        <f ca="1">VLOOKUP(A285,[3]TeamRtg!$A$3:$G$367,7,FALSE)</f>
        <v>-0.78514805616207173</v>
      </c>
      <c r="C285" s="1">
        <f t="shared" ca="1" si="4"/>
        <v>289</v>
      </c>
      <c r="D285" s="1">
        <v>284</v>
      </c>
      <c r="E285" s="1" t="e">
        <f>VLOOKUP($A285,[4]TeamRtg!$A$2:$E$366,4,FALSE)</f>
        <v>#N/A</v>
      </c>
      <c r="F285" s="1" t="e">
        <f>VLOOKUP($A285,[4]TeamRtg!$A$2:$E$366,5,FALSE)</f>
        <v>#N/A</v>
      </c>
    </row>
    <row r="286" spans="1:6" x14ac:dyDescent="0.2">
      <c r="A286" s="1" t="s">
        <v>222</v>
      </c>
      <c r="B286" s="3">
        <f ca="1">VLOOKUP(A286,[3]TeamRtg!$A$3:$G$367,7,FALSE)</f>
        <v>-0.79637782215195208</v>
      </c>
      <c r="C286" s="1">
        <f t="shared" ca="1" si="4"/>
        <v>290</v>
      </c>
      <c r="D286" s="1">
        <v>285</v>
      </c>
      <c r="E286" s="1" t="e">
        <f>VLOOKUP($A286,[4]TeamRtg!$A$2:$E$366,4,FALSE)</f>
        <v>#N/A</v>
      </c>
      <c r="F286" s="1" t="e">
        <f>VLOOKUP($A286,[4]TeamRtg!$A$2:$E$366,5,FALSE)</f>
        <v>#N/A</v>
      </c>
    </row>
    <row r="287" spans="1:6" x14ac:dyDescent="0.2">
      <c r="A287" s="1" t="s">
        <v>321</v>
      </c>
      <c r="B287" s="3">
        <f ca="1">VLOOKUP(A287,[3]TeamRtg!$A$3:$G$367,7,FALSE)</f>
        <v>-0.22460326617188664</v>
      </c>
      <c r="C287" s="1">
        <f t="shared" ca="1" si="4"/>
        <v>197</v>
      </c>
      <c r="D287" s="1">
        <v>286</v>
      </c>
      <c r="E287" s="1" t="e">
        <f>VLOOKUP($A287,[4]TeamRtg!$A$2:$E$366,4,FALSE)</f>
        <v>#N/A</v>
      </c>
      <c r="F287" s="1" t="e">
        <f>VLOOKUP($A287,[4]TeamRtg!$A$2:$E$366,5,FALSE)</f>
        <v>#N/A</v>
      </c>
    </row>
    <row r="288" spans="1:6" x14ac:dyDescent="0.2">
      <c r="A288" s="1" t="s">
        <v>121</v>
      </c>
      <c r="B288" s="3">
        <f ca="1">VLOOKUP(A288,[3]TeamRtg!$A$3:$G$367,7,FALSE)</f>
        <v>-0.81641838970098757</v>
      </c>
      <c r="C288" s="1">
        <f t="shared" ca="1" si="4"/>
        <v>291</v>
      </c>
      <c r="D288" s="1">
        <v>287</v>
      </c>
      <c r="E288" s="1" t="e">
        <f>VLOOKUP($A288,[4]TeamRtg!$A$2:$E$366,4,FALSE)</f>
        <v>#N/A</v>
      </c>
      <c r="F288" s="1" t="e">
        <f>VLOOKUP($A288,[4]TeamRtg!$A$2:$E$366,5,FALSE)</f>
        <v>#N/A</v>
      </c>
    </row>
    <row r="289" spans="1:6" x14ac:dyDescent="0.2">
      <c r="A289" s="1" t="s">
        <v>230</v>
      </c>
      <c r="B289" s="3">
        <f ca="1">VLOOKUP(A289,[3]TeamRtg!$A$3:$G$367,7,FALSE)</f>
        <v>-0.82309753300108912</v>
      </c>
      <c r="C289" s="1">
        <f t="shared" ca="1" si="4"/>
        <v>292</v>
      </c>
      <c r="D289" s="1">
        <v>288</v>
      </c>
      <c r="E289" s="1" t="e">
        <f>VLOOKUP($A289,[4]TeamRtg!$A$2:$E$366,4,FALSE)</f>
        <v>#N/A</v>
      </c>
      <c r="F289" s="1" t="e">
        <f>VLOOKUP($A289,[4]TeamRtg!$A$2:$E$366,5,FALSE)</f>
        <v>#N/A</v>
      </c>
    </row>
    <row r="290" spans="1:6" x14ac:dyDescent="0.2">
      <c r="A290" s="1" t="s">
        <v>205</v>
      </c>
      <c r="B290" s="3">
        <f ca="1">VLOOKUP(A290,[3]TeamRtg!$A$3:$G$367,7,FALSE)</f>
        <v>-0.74214791282679415</v>
      </c>
      <c r="C290" s="1">
        <f t="shared" ca="1" si="4"/>
        <v>280</v>
      </c>
      <c r="D290" s="1">
        <v>289</v>
      </c>
      <c r="E290" s="1" t="e">
        <f>VLOOKUP($A290,[4]TeamRtg!$A$2:$E$366,4,FALSE)</f>
        <v>#N/A</v>
      </c>
      <c r="F290" s="1" t="e">
        <f>VLOOKUP($A290,[4]TeamRtg!$A$2:$E$366,5,FALSE)</f>
        <v>#N/A</v>
      </c>
    </row>
    <row r="291" spans="1:6" x14ac:dyDescent="0.2">
      <c r="A291" s="1" t="s">
        <v>266</v>
      </c>
      <c r="B291" s="3">
        <f ca="1">VLOOKUP(A291,[3]TeamRtg!$A$3:$G$367,7,FALSE)</f>
        <v>-0.84018607384540211</v>
      </c>
      <c r="C291" s="1">
        <f t="shared" ca="1" si="4"/>
        <v>293</v>
      </c>
      <c r="D291" s="1">
        <v>290</v>
      </c>
      <c r="E291" s="1" t="e">
        <f>VLOOKUP($A291,[4]TeamRtg!$A$2:$E$366,4,FALSE)</f>
        <v>#N/A</v>
      </c>
      <c r="F291" s="1" t="e">
        <f>VLOOKUP($A291,[4]TeamRtg!$A$2:$E$366,5,FALSE)</f>
        <v>#N/A</v>
      </c>
    </row>
    <row r="292" spans="1:6" x14ac:dyDescent="0.2">
      <c r="A292" s="1" t="s">
        <v>312</v>
      </c>
      <c r="B292" s="3">
        <f ca="1">VLOOKUP(A292,[3]TeamRtg!$A$3:$G$367,7,FALSE)</f>
        <v>-0.84461481040517428</v>
      </c>
      <c r="C292" s="1">
        <f t="shared" ca="1" si="4"/>
        <v>294</v>
      </c>
      <c r="D292" s="1">
        <v>291</v>
      </c>
      <c r="E292" s="1" t="e">
        <f>VLOOKUP($A292,[4]TeamRtg!$A$2:$E$366,4,FALSE)</f>
        <v>#N/A</v>
      </c>
      <c r="F292" s="1" t="e">
        <f>VLOOKUP($A292,[4]TeamRtg!$A$2:$E$366,5,FALSE)</f>
        <v>#N/A</v>
      </c>
    </row>
    <row r="293" spans="1:6" x14ac:dyDescent="0.2">
      <c r="A293" s="1" t="s">
        <v>344</v>
      </c>
      <c r="B293" s="3">
        <f ca="1">VLOOKUP(A293,[3]TeamRtg!$A$3:$G$367,7,FALSE)</f>
        <v>-0.84552057011013559</v>
      </c>
      <c r="C293" s="1">
        <f t="shared" ca="1" si="4"/>
        <v>295</v>
      </c>
      <c r="D293" s="1">
        <v>292</v>
      </c>
      <c r="E293" s="1" t="e">
        <f>VLOOKUP($A293,[4]TeamRtg!$A$2:$E$366,4,FALSE)</f>
        <v>#N/A</v>
      </c>
      <c r="F293" s="1" t="e">
        <f>VLOOKUP($A293,[4]TeamRtg!$A$2:$E$366,5,FALSE)</f>
        <v>#N/A</v>
      </c>
    </row>
    <row r="294" spans="1:6" x14ac:dyDescent="0.2">
      <c r="A294" s="1" t="s">
        <v>225</v>
      </c>
      <c r="B294" s="3">
        <f ca="1">VLOOKUP(A294,[3]TeamRtg!$A$3:$G$367,7,FALSE)</f>
        <v>-0.28745881721020811</v>
      </c>
      <c r="C294" s="1">
        <f t="shared" ca="1" si="4"/>
        <v>206</v>
      </c>
      <c r="D294" s="1">
        <v>293</v>
      </c>
      <c r="E294" s="1" t="e">
        <f>VLOOKUP($A294,[4]TeamRtg!$A$2:$E$366,4,FALSE)</f>
        <v>#N/A</v>
      </c>
      <c r="F294" s="1" t="e">
        <f>VLOOKUP($A294,[4]TeamRtg!$A$2:$E$366,5,FALSE)</f>
        <v>#N/A</v>
      </c>
    </row>
    <row r="295" spans="1:6" x14ac:dyDescent="0.2">
      <c r="A295" s="1" t="s">
        <v>350</v>
      </c>
      <c r="B295" s="3">
        <f ca="1">VLOOKUP(A295,[3]TeamRtg!$A$3:$G$367,7,FALSE)</f>
        <v>-0.85656936012201035</v>
      </c>
      <c r="C295" s="1">
        <f t="shared" ca="1" si="4"/>
        <v>296</v>
      </c>
      <c r="D295" s="1">
        <v>294</v>
      </c>
      <c r="E295" s="1" t="e">
        <f>VLOOKUP($A295,[4]TeamRtg!$A$2:$E$366,4,FALSE)</f>
        <v>#N/A</v>
      </c>
      <c r="F295" s="1" t="e">
        <f>VLOOKUP($A295,[4]TeamRtg!$A$2:$E$366,5,FALSE)</f>
        <v>#N/A</v>
      </c>
    </row>
    <row r="296" spans="1:6" x14ac:dyDescent="0.2">
      <c r="A296" s="1" t="s">
        <v>199</v>
      </c>
      <c r="B296" s="3">
        <f ca="1">VLOOKUP(A296,[3]TeamRtg!$A$3:$G$367,7,FALSE)</f>
        <v>-0.87832202041818919</v>
      </c>
      <c r="C296" s="1">
        <f t="shared" ca="1" si="4"/>
        <v>298</v>
      </c>
      <c r="D296" s="1">
        <v>295</v>
      </c>
      <c r="E296" s="1" t="e">
        <f>VLOOKUP($A296,[4]TeamRtg!$A$2:$E$366,4,FALSE)</f>
        <v>#N/A</v>
      </c>
      <c r="F296" s="1" t="e">
        <f>VLOOKUP($A296,[4]TeamRtg!$A$2:$E$366,5,FALSE)</f>
        <v>#N/A</v>
      </c>
    </row>
    <row r="297" spans="1:6" x14ac:dyDescent="0.2">
      <c r="A297" s="1" t="s">
        <v>269</v>
      </c>
      <c r="B297" s="3">
        <f ca="1">VLOOKUP(A297,[3]TeamRtg!$A$3:$G$367,7,FALSE)</f>
        <v>-0.87755638146120207</v>
      </c>
      <c r="C297" s="1">
        <f t="shared" ca="1" si="4"/>
        <v>297</v>
      </c>
      <c r="D297" s="1">
        <v>296</v>
      </c>
      <c r="E297" s="1" t="e">
        <f>VLOOKUP($A297,[4]TeamRtg!$A$2:$E$366,4,FALSE)</f>
        <v>#N/A</v>
      </c>
      <c r="F297" s="1" t="e">
        <f>VLOOKUP($A297,[4]TeamRtg!$A$2:$E$366,5,FALSE)</f>
        <v>#N/A</v>
      </c>
    </row>
    <row r="298" spans="1:6" x14ac:dyDescent="0.2">
      <c r="A298" s="1" t="s">
        <v>338</v>
      </c>
      <c r="B298" s="3">
        <f ca="1">VLOOKUP(A298,[3]TeamRtg!$A$3:$G$367,7,FALSE)</f>
        <v>-0.88202189098114436</v>
      </c>
      <c r="C298" s="1">
        <f t="shared" ca="1" si="4"/>
        <v>299</v>
      </c>
      <c r="D298" s="1">
        <v>297</v>
      </c>
      <c r="E298" s="1" t="e">
        <f>VLOOKUP($A298,[4]TeamRtg!$A$2:$E$366,4,FALSE)</f>
        <v>#N/A</v>
      </c>
      <c r="F298" s="1" t="e">
        <f>VLOOKUP($A298,[4]TeamRtg!$A$2:$E$366,5,FALSE)</f>
        <v>#N/A</v>
      </c>
    </row>
    <row r="299" spans="1:6" x14ac:dyDescent="0.2">
      <c r="A299" s="1" t="s">
        <v>229</v>
      </c>
      <c r="B299" s="3">
        <f ca="1">VLOOKUP(A299,[3]TeamRtg!$A$3:$G$367,7,FALSE)</f>
        <v>-0.78400294715301444</v>
      </c>
      <c r="C299" s="1">
        <f t="shared" ca="1" si="4"/>
        <v>287</v>
      </c>
      <c r="D299" s="1">
        <v>298</v>
      </c>
      <c r="E299" s="1" t="e">
        <f>VLOOKUP($A299,[4]TeamRtg!$A$2:$E$366,4,FALSE)</f>
        <v>#N/A</v>
      </c>
      <c r="F299" s="1" t="e">
        <f>VLOOKUP($A299,[4]TeamRtg!$A$2:$E$366,5,FALSE)</f>
        <v>#N/A</v>
      </c>
    </row>
    <row r="300" spans="1:6" x14ac:dyDescent="0.2">
      <c r="A300" s="1" t="s">
        <v>227</v>
      </c>
      <c r="B300" s="3">
        <f ca="1">VLOOKUP(A300,[3]TeamRtg!$A$3:$G$367,7,FALSE)</f>
        <v>-0.90743697383697042</v>
      </c>
      <c r="C300" s="1">
        <f t="shared" ca="1" si="4"/>
        <v>301</v>
      </c>
      <c r="D300" s="1">
        <v>299</v>
      </c>
      <c r="E300" s="1" t="e">
        <f>VLOOKUP($A300,[4]TeamRtg!$A$2:$E$366,4,FALSE)</f>
        <v>#N/A</v>
      </c>
      <c r="F300" s="1" t="e">
        <f>VLOOKUP($A300,[4]TeamRtg!$A$2:$E$366,5,FALSE)</f>
        <v>#N/A</v>
      </c>
    </row>
    <row r="301" spans="1:6" x14ac:dyDescent="0.2">
      <c r="A301" s="1" t="s">
        <v>334</v>
      </c>
      <c r="B301" s="3">
        <f ca="1">VLOOKUP(A301,[3]TeamRtg!$A$3:$G$367,7,FALSE)</f>
        <v>-0.90659346604166746</v>
      </c>
      <c r="C301" s="1">
        <f t="shared" ca="1" si="4"/>
        <v>300</v>
      </c>
      <c r="D301" s="1">
        <v>300</v>
      </c>
      <c r="E301" s="1" t="e">
        <f>VLOOKUP($A301,[4]TeamRtg!$A$2:$E$366,4,FALSE)</f>
        <v>#N/A</v>
      </c>
      <c r="F301" s="1" t="e">
        <f>VLOOKUP($A301,[4]TeamRtg!$A$2:$E$366,5,FALSE)</f>
        <v>#N/A</v>
      </c>
    </row>
    <row r="302" spans="1:6" x14ac:dyDescent="0.2">
      <c r="A302" s="1" t="s">
        <v>158</v>
      </c>
      <c r="B302" s="3">
        <f ca="1">VLOOKUP(A302,[3]TeamRtg!$A$3:$G$367,7,FALSE)</f>
        <v>-0.90927924264315652</v>
      </c>
      <c r="C302" s="1">
        <f t="shared" ca="1" si="4"/>
        <v>302</v>
      </c>
      <c r="D302" s="1">
        <v>301</v>
      </c>
      <c r="E302" s="1" t="e">
        <f>VLOOKUP($A302,[4]TeamRtg!$A$2:$E$366,4,FALSE)</f>
        <v>#N/A</v>
      </c>
      <c r="F302" s="1" t="e">
        <f>VLOOKUP($A302,[4]TeamRtg!$A$2:$E$366,5,FALSE)</f>
        <v>#N/A</v>
      </c>
    </row>
    <row r="303" spans="1:6" x14ac:dyDescent="0.2">
      <c r="A303" s="1" t="s">
        <v>250</v>
      </c>
      <c r="B303" s="3">
        <f ca="1">VLOOKUP(A303,[3]TeamRtg!$A$3:$G$367,7,FALSE)</f>
        <v>-0.91262583319451518</v>
      </c>
      <c r="C303" s="1">
        <f t="shared" ca="1" si="4"/>
        <v>303</v>
      </c>
      <c r="D303" s="1">
        <v>302</v>
      </c>
      <c r="E303" s="1" t="e">
        <f>VLOOKUP($A303,[4]TeamRtg!$A$2:$E$366,4,FALSE)</f>
        <v>#N/A</v>
      </c>
      <c r="F303" s="1" t="e">
        <f>VLOOKUP($A303,[4]TeamRtg!$A$2:$E$366,5,FALSE)</f>
        <v>#N/A</v>
      </c>
    </row>
    <row r="304" spans="1:6" x14ac:dyDescent="0.2">
      <c r="A304" s="1" t="s">
        <v>301</v>
      </c>
      <c r="B304" s="3">
        <f ca="1">VLOOKUP(A304,[3]TeamRtg!$A$3:$G$367,7,FALSE)</f>
        <v>-0.93194295951412842</v>
      </c>
      <c r="C304" s="1">
        <f t="shared" ca="1" si="4"/>
        <v>304</v>
      </c>
      <c r="D304" s="1">
        <v>303</v>
      </c>
      <c r="E304" s="1" t="e">
        <f>VLOOKUP($A304,[4]TeamRtg!$A$2:$E$366,4,FALSE)</f>
        <v>#N/A</v>
      </c>
      <c r="F304" s="1" t="e">
        <f>VLOOKUP($A304,[4]TeamRtg!$A$2:$E$366,5,FALSE)</f>
        <v>#N/A</v>
      </c>
    </row>
    <row r="305" spans="1:6" x14ac:dyDescent="0.2">
      <c r="A305" s="1" t="s">
        <v>295</v>
      </c>
      <c r="B305" s="3">
        <f ca="1">VLOOKUP(A305,[3]TeamRtg!$A$3:$G$367,7,FALSE)</f>
        <v>-0.94234649968245987</v>
      </c>
      <c r="C305" s="1">
        <f t="shared" ca="1" si="4"/>
        <v>305</v>
      </c>
      <c r="D305" s="1">
        <v>304</v>
      </c>
      <c r="E305" s="1" t="e">
        <f>VLOOKUP($A305,[4]TeamRtg!$A$2:$E$366,4,FALSE)</f>
        <v>#N/A</v>
      </c>
      <c r="F305" s="1" t="e">
        <f>VLOOKUP($A305,[4]TeamRtg!$A$2:$E$366,5,FALSE)</f>
        <v>#N/A</v>
      </c>
    </row>
    <row r="306" spans="1:6" x14ac:dyDescent="0.2">
      <c r="A306" s="1" t="s">
        <v>260</v>
      </c>
      <c r="B306" s="3">
        <f ca="1">VLOOKUP(A306,[3]TeamRtg!$A$3:$G$367,7,FALSE)</f>
        <v>-0.95013583220494058</v>
      </c>
      <c r="C306" s="1">
        <f t="shared" ca="1" si="4"/>
        <v>306</v>
      </c>
      <c r="D306" s="1">
        <v>305</v>
      </c>
      <c r="E306" s="1" t="e">
        <f>VLOOKUP($A306,[4]TeamRtg!$A$2:$E$366,4,FALSE)</f>
        <v>#N/A</v>
      </c>
      <c r="F306" s="1" t="e">
        <f>VLOOKUP($A306,[4]TeamRtg!$A$2:$E$366,5,FALSE)</f>
        <v>#N/A</v>
      </c>
    </row>
    <row r="307" spans="1:6" x14ac:dyDescent="0.2">
      <c r="A307" s="1" t="s">
        <v>307</v>
      </c>
      <c r="B307" s="3">
        <f ca="1">VLOOKUP(A307,[3]TeamRtg!$A$3:$G$367,7,FALSE)</f>
        <v>-0.97055252704146477</v>
      </c>
      <c r="C307" s="1">
        <f t="shared" ca="1" si="4"/>
        <v>307</v>
      </c>
      <c r="D307" s="1">
        <v>306</v>
      </c>
      <c r="E307" s="1" t="e">
        <f>VLOOKUP($A307,[4]TeamRtg!$A$2:$E$366,4,FALSE)</f>
        <v>#N/A</v>
      </c>
      <c r="F307" s="1" t="e">
        <f>VLOOKUP($A307,[4]TeamRtg!$A$2:$E$366,5,FALSE)</f>
        <v>#N/A</v>
      </c>
    </row>
    <row r="308" spans="1:6" x14ac:dyDescent="0.2">
      <c r="A308" s="1" t="s">
        <v>310</v>
      </c>
      <c r="B308" s="3">
        <f ca="1">VLOOKUP(A308,[3]TeamRtg!$A$3:$G$367,7,FALSE)</f>
        <v>-0.97239014778391508</v>
      </c>
      <c r="C308" s="1">
        <f t="shared" ca="1" si="4"/>
        <v>309</v>
      </c>
      <c r="D308" s="1">
        <v>307</v>
      </c>
      <c r="E308" s="1" t="e">
        <f>VLOOKUP($A308,[4]TeamRtg!$A$2:$E$366,4,FALSE)</f>
        <v>#N/A</v>
      </c>
      <c r="F308" s="1" t="e">
        <f>VLOOKUP($A308,[4]TeamRtg!$A$2:$E$366,5,FALSE)</f>
        <v>#N/A</v>
      </c>
    </row>
    <row r="309" spans="1:6" x14ac:dyDescent="0.2">
      <c r="A309" s="1" t="s">
        <v>329</v>
      </c>
      <c r="B309" s="3">
        <f ca="1">VLOOKUP(A309,[3]TeamRtg!$A$3:$G$367,7,FALSE)</f>
        <v>-0.97210829160315659</v>
      </c>
      <c r="C309" s="1">
        <f t="shared" ca="1" si="4"/>
        <v>308</v>
      </c>
      <c r="D309" s="1">
        <v>308</v>
      </c>
      <c r="E309" s="1" t="e">
        <f>VLOOKUP($A309,[4]TeamRtg!$A$2:$E$366,4,FALSE)</f>
        <v>#N/A</v>
      </c>
      <c r="F309" s="1" t="e">
        <f>VLOOKUP($A309,[4]TeamRtg!$A$2:$E$366,5,FALSE)</f>
        <v>#N/A</v>
      </c>
    </row>
    <row r="310" spans="1:6" x14ac:dyDescent="0.2">
      <c r="A310" s="1" t="s">
        <v>157</v>
      </c>
      <c r="B310" s="3">
        <f ca="1">VLOOKUP(A310,[3]TeamRtg!$A$3:$G$367,7,FALSE)</f>
        <v>-0.9770669269153891</v>
      </c>
      <c r="C310" s="1">
        <f t="shared" ca="1" si="4"/>
        <v>310</v>
      </c>
      <c r="D310" s="1">
        <v>309</v>
      </c>
      <c r="E310" s="1" t="e">
        <f>VLOOKUP($A310,[4]TeamRtg!$A$2:$E$366,4,FALSE)</f>
        <v>#N/A</v>
      </c>
      <c r="F310" s="1" t="e">
        <f>VLOOKUP($A310,[4]TeamRtg!$A$2:$E$366,5,FALSE)</f>
        <v>#N/A</v>
      </c>
    </row>
    <row r="311" spans="1:6" x14ac:dyDescent="0.2">
      <c r="A311" s="1" t="s">
        <v>146</v>
      </c>
      <c r="B311" s="3">
        <f ca="1">VLOOKUP(A311,[3]TeamRtg!$A$3:$G$367,7,FALSE)</f>
        <v>-0.98489115147006867</v>
      </c>
      <c r="C311" s="1">
        <f t="shared" ca="1" si="4"/>
        <v>311</v>
      </c>
      <c r="D311" s="1">
        <v>310</v>
      </c>
      <c r="E311" s="1" t="e">
        <f>VLOOKUP($A311,[4]TeamRtg!$A$2:$E$366,4,FALSE)</f>
        <v>#N/A</v>
      </c>
      <c r="F311" s="1" t="e">
        <f>VLOOKUP($A311,[4]TeamRtg!$A$2:$E$366,5,FALSE)</f>
        <v>#N/A</v>
      </c>
    </row>
    <row r="312" spans="1:6" x14ac:dyDescent="0.2">
      <c r="A312" s="1" t="s">
        <v>323</v>
      </c>
      <c r="B312" s="3">
        <f ca="1">VLOOKUP(A312,[3]TeamRtg!$A$3:$G$367,7,FALSE)</f>
        <v>-1.0026790176473788</v>
      </c>
      <c r="C312" s="1">
        <f t="shared" ca="1" si="4"/>
        <v>312</v>
      </c>
      <c r="D312" s="1">
        <v>311</v>
      </c>
      <c r="E312" s="1" t="e">
        <f>VLOOKUP($A312,[4]TeamRtg!$A$2:$E$366,4,FALSE)</f>
        <v>#N/A</v>
      </c>
      <c r="F312" s="1" t="e">
        <f>VLOOKUP($A312,[4]TeamRtg!$A$2:$E$366,5,FALSE)</f>
        <v>#N/A</v>
      </c>
    </row>
    <row r="313" spans="1:6" x14ac:dyDescent="0.2">
      <c r="A313" s="1" t="s">
        <v>345</v>
      </c>
      <c r="B313" s="3">
        <f ca="1">VLOOKUP(A313,[3]TeamRtg!$A$3:$G$367,7,FALSE)</f>
        <v>-0.72447401346963836</v>
      </c>
      <c r="C313" s="1">
        <f t="shared" ca="1" si="4"/>
        <v>275</v>
      </c>
      <c r="D313" s="1">
        <v>312</v>
      </c>
      <c r="E313" s="1" t="e">
        <f>VLOOKUP($A313,[4]TeamRtg!$A$2:$E$366,4,FALSE)</f>
        <v>#N/A</v>
      </c>
      <c r="F313" s="1" t="e">
        <f>VLOOKUP($A313,[4]TeamRtg!$A$2:$E$366,5,FALSE)</f>
        <v>#N/A</v>
      </c>
    </row>
    <row r="314" spans="1:6" x14ac:dyDescent="0.2">
      <c r="A314" s="1" t="s">
        <v>363</v>
      </c>
      <c r="B314" s="3">
        <f ca="1">VLOOKUP(A314,[3]TeamRtg!$A$3:$G$367,7,FALSE)</f>
        <v>-1.020272423780761</v>
      </c>
      <c r="C314" s="1">
        <f t="shared" ca="1" si="4"/>
        <v>313</v>
      </c>
      <c r="D314" s="1">
        <v>313</v>
      </c>
      <c r="E314" s="1" t="e">
        <f>VLOOKUP($A314,[4]TeamRtg!$A$2:$E$366,4,FALSE)</f>
        <v>#N/A</v>
      </c>
      <c r="F314" s="1" t="e">
        <f>VLOOKUP($A314,[4]TeamRtg!$A$2:$E$366,5,FALSE)</f>
        <v>#N/A</v>
      </c>
    </row>
    <row r="315" spans="1:6" x14ac:dyDescent="0.2">
      <c r="A315" s="1" t="s">
        <v>270</v>
      </c>
      <c r="B315" s="3">
        <f ca="1">VLOOKUP(A315,[3]TeamRtg!$A$3:$G$367,7,FALSE)</f>
        <v>-1.0264067261153083</v>
      </c>
      <c r="C315" s="1">
        <f t="shared" ca="1" si="4"/>
        <v>314</v>
      </c>
      <c r="D315" s="1">
        <v>314</v>
      </c>
      <c r="E315" s="1" t="e">
        <f>VLOOKUP($A315,[4]TeamRtg!$A$2:$E$366,4,FALSE)</f>
        <v>#N/A</v>
      </c>
      <c r="F315" s="1" t="e">
        <f>VLOOKUP($A315,[4]TeamRtg!$A$2:$E$366,5,FALSE)</f>
        <v>#N/A</v>
      </c>
    </row>
    <row r="316" spans="1:6" x14ac:dyDescent="0.2">
      <c r="A316" s="1" t="s">
        <v>351</v>
      </c>
      <c r="B316" s="3">
        <f ca="1">VLOOKUP(A316,[3]TeamRtg!$A$3:$G$367,7,FALSE)</f>
        <v>-1.0301553179405445</v>
      </c>
      <c r="C316" s="1">
        <f t="shared" ca="1" si="4"/>
        <v>315</v>
      </c>
      <c r="D316" s="1">
        <v>315</v>
      </c>
      <c r="E316" s="1" t="e">
        <f>VLOOKUP($A316,[4]TeamRtg!$A$2:$E$366,4,FALSE)</f>
        <v>#N/A</v>
      </c>
      <c r="F316" s="1" t="e">
        <f>VLOOKUP($A316,[4]TeamRtg!$A$2:$E$366,5,FALSE)</f>
        <v>#N/A</v>
      </c>
    </row>
    <row r="317" spans="1:6" x14ac:dyDescent="0.2">
      <c r="A317" s="1" t="s">
        <v>325</v>
      </c>
      <c r="B317" s="3">
        <f ca="1">VLOOKUP(A317,[3]TeamRtg!$A$3:$G$367,7,FALSE)</f>
        <v>-1.0318352454691875</v>
      </c>
      <c r="C317" s="1">
        <f t="shared" ca="1" si="4"/>
        <v>316</v>
      </c>
      <c r="D317" s="1">
        <v>316</v>
      </c>
      <c r="E317" s="1" t="e">
        <f>VLOOKUP($A317,[4]TeamRtg!$A$2:$E$366,4,FALSE)</f>
        <v>#N/A</v>
      </c>
      <c r="F317" s="1" t="e">
        <f>VLOOKUP($A317,[4]TeamRtg!$A$2:$E$366,5,FALSE)</f>
        <v>#N/A</v>
      </c>
    </row>
    <row r="318" spans="1:6" x14ac:dyDescent="0.2">
      <c r="A318" s="1" t="s">
        <v>239</v>
      </c>
      <c r="B318" s="3">
        <f ca="1">VLOOKUP(A318,[3]TeamRtg!$A$3:$G$367,7,FALSE)</f>
        <v>-1.0460739424821306</v>
      </c>
      <c r="C318" s="1">
        <f t="shared" ca="1" si="4"/>
        <v>317</v>
      </c>
      <c r="D318" s="1">
        <v>317</v>
      </c>
      <c r="E318" s="1" t="e">
        <f>VLOOKUP($A318,[4]TeamRtg!$A$2:$E$366,4,FALSE)</f>
        <v>#N/A</v>
      </c>
      <c r="F318" s="1" t="e">
        <f>VLOOKUP($A318,[4]TeamRtg!$A$2:$E$366,5,FALSE)</f>
        <v>#N/A</v>
      </c>
    </row>
    <row r="319" spans="1:6" x14ac:dyDescent="0.2">
      <c r="A319" s="1" t="s">
        <v>200</v>
      </c>
      <c r="B319" s="3">
        <f ca="1">VLOOKUP(A319,[3]TeamRtg!$A$3:$G$367,7,FALSE)</f>
        <v>-1.076126369409778</v>
      </c>
      <c r="C319" s="1">
        <f t="shared" ca="1" si="4"/>
        <v>319</v>
      </c>
      <c r="D319" s="1">
        <v>318</v>
      </c>
      <c r="E319" s="1" t="e">
        <f>VLOOKUP($A319,[4]TeamRtg!$A$2:$E$366,4,FALSE)</f>
        <v>#N/A</v>
      </c>
      <c r="F319" s="1" t="e">
        <f>VLOOKUP($A319,[4]TeamRtg!$A$2:$E$366,5,FALSE)</f>
        <v>#N/A</v>
      </c>
    </row>
    <row r="320" spans="1:6" x14ac:dyDescent="0.2">
      <c r="A320" s="1" t="s">
        <v>352</v>
      </c>
      <c r="B320" s="3">
        <f ca="1">VLOOKUP(A320,[3]TeamRtg!$A$3:$G$367,7,FALSE)</f>
        <v>-1.0757859913154639</v>
      </c>
      <c r="C320" s="1">
        <f t="shared" ca="1" si="4"/>
        <v>318</v>
      </c>
      <c r="D320" s="1">
        <v>319</v>
      </c>
      <c r="E320" s="1" t="e">
        <f>VLOOKUP($A320,[4]TeamRtg!$A$2:$E$366,4,FALSE)</f>
        <v>#N/A</v>
      </c>
      <c r="F320" s="1" t="e">
        <f>VLOOKUP($A320,[4]TeamRtg!$A$2:$E$366,5,FALSE)</f>
        <v>#N/A</v>
      </c>
    </row>
    <row r="321" spans="1:6" x14ac:dyDescent="0.2">
      <c r="A321" s="1" t="s">
        <v>247</v>
      </c>
      <c r="B321" s="3">
        <f ca="1">VLOOKUP(A321,[3]TeamRtg!$A$3:$G$367,7,FALSE)</f>
        <v>-1.0996171468257876</v>
      </c>
      <c r="C321" s="1">
        <f t="shared" ca="1" si="4"/>
        <v>321</v>
      </c>
      <c r="D321" s="1">
        <v>320</v>
      </c>
      <c r="E321" s="1" t="e">
        <f>VLOOKUP($A321,[4]TeamRtg!$A$2:$E$366,4,FALSE)</f>
        <v>#N/A</v>
      </c>
      <c r="F321" s="1" t="e">
        <f>VLOOKUP($A321,[4]TeamRtg!$A$2:$E$366,5,FALSE)</f>
        <v>#N/A</v>
      </c>
    </row>
    <row r="322" spans="1:6" x14ac:dyDescent="0.2">
      <c r="A322" s="1" t="s">
        <v>337</v>
      </c>
      <c r="B322" s="3">
        <f ca="1">VLOOKUP(A322,[3]TeamRtg!$A$3:$G$367,7,FALSE)</f>
        <v>-1.0982107270331825</v>
      </c>
      <c r="C322" s="1">
        <f t="shared" ref="C322:C366" ca="1" si="5">RANK(B322,$B$2:$B$366)</f>
        <v>320</v>
      </c>
      <c r="D322" s="1">
        <v>321</v>
      </c>
      <c r="E322" s="1" t="e">
        <f>VLOOKUP($A322,[4]TeamRtg!$A$2:$E$366,4,FALSE)</f>
        <v>#N/A</v>
      </c>
      <c r="F322" s="1" t="e">
        <f>VLOOKUP($A322,[4]TeamRtg!$A$2:$E$366,5,FALSE)</f>
        <v>#N/A</v>
      </c>
    </row>
    <row r="323" spans="1:6" x14ac:dyDescent="0.2">
      <c r="A323" s="1" t="s">
        <v>347</v>
      </c>
      <c r="B323" s="3">
        <f ca="1">VLOOKUP(A323,[3]TeamRtg!$A$3:$G$367,7,FALSE)</f>
        <v>-1.1081123827452963</v>
      </c>
      <c r="C323" s="1">
        <f t="shared" ca="1" si="5"/>
        <v>322</v>
      </c>
      <c r="D323" s="1">
        <v>322</v>
      </c>
      <c r="E323" s="1" t="e">
        <f>VLOOKUP($A323,[4]TeamRtg!$A$2:$E$366,4,FALSE)</f>
        <v>#N/A</v>
      </c>
      <c r="F323" s="1" t="e">
        <f>VLOOKUP($A323,[4]TeamRtg!$A$2:$E$366,5,FALSE)</f>
        <v>#N/A</v>
      </c>
    </row>
    <row r="324" spans="1:6" x14ac:dyDescent="0.2">
      <c r="A324" s="1" t="s">
        <v>263</v>
      </c>
      <c r="B324" s="3">
        <f ca="1">VLOOKUP(A324,[3]TeamRtg!$A$3:$G$367,7,FALSE)</f>
        <v>-1.1354168160801714</v>
      </c>
      <c r="C324" s="1">
        <f t="shared" ca="1" si="5"/>
        <v>323</v>
      </c>
      <c r="D324" s="1">
        <v>323</v>
      </c>
      <c r="E324" s="1" t="e">
        <f>VLOOKUP($A324,[4]TeamRtg!$A$2:$E$366,4,FALSE)</f>
        <v>#N/A</v>
      </c>
      <c r="F324" s="1" t="e">
        <f>VLOOKUP($A324,[4]TeamRtg!$A$2:$E$366,5,FALSE)</f>
        <v>#N/A</v>
      </c>
    </row>
    <row r="325" spans="1:6" x14ac:dyDescent="0.2">
      <c r="A325" s="1" t="s">
        <v>285</v>
      </c>
      <c r="B325" s="3">
        <f ca="1">VLOOKUP(A325,[3]TeamRtg!$A$3:$G$367,7,FALSE)</f>
        <v>-1.1418207392346214</v>
      </c>
      <c r="C325" s="1">
        <f t="shared" ca="1" si="5"/>
        <v>325</v>
      </c>
      <c r="D325" s="1">
        <v>324</v>
      </c>
      <c r="E325" s="1" t="e">
        <f>VLOOKUP($A325,[4]TeamRtg!$A$2:$E$366,4,FALSE)</f>
        <v>#N/A</v>
      </c>
      <c r="F325" s="1" t="e">
        <f>VLOOKUP($A325,[4]TeamRtg!$A$2:$E$366,5,FALSE)</f>
        <v>#N/A</v>
      </c>
    </row>
    <row r="326" spans="1:6" x14ac:dyDescent="0.2">
      <c r="A326" s="1" t="s">
        <v>357</v>
      </c>
      <c r="B326" s="3">
        <f ca="1">VLOOKUP(A326,[3]TeamRtg!$A$3:$G$367,7,FALSE)</f>
        <v>-1.1408854679372713</v>
      </c>
      <c r="C326" s="1">
        <f t="shared" ca="1" si="5"/>
        <v>324</v>
      </c>
      <c r="D326" s="1">
        <v>325</v>
      </c>
      <c r="E326" s="1" t="e">
        <f>VLOOKUP($A326,[4]TeamRtg!$A$2:$E$366,4,FALSE)</f>
        <v>#N/A</v>
      </c>
      <c r="F326" s="1" t="e">
        <f>VLOOKUP($A326,[4]TeamRtg!$A$2:$E$366,5,FALSE)</f>
        <v>#N/A</v>
      </c>
    </row>
    <row r="327" spans="1:6" x14ac:dyDescent="0.2">
      <c r="A327" s="1" t="s">
        <v>281</v>
      </c>
      <c r="B327" s="3">
        <f ca="1">VLOOKUP(A327,[3]TeamRtg!$A$3:$G$367,7,FALSE)</f>
        <v>-1.1579550577841744</v>
      </c>
      <c r="C327" s="1">
        <f t="shared" ca="1" si="5"/>
        <v>326</v>
      </c>
      <c r="D327" s="1">
        <v>326</v>
      </c>
      <c r="E327" s="1" t="e">
        <f>VLOOKUP($A327,[4]TeamRtg!$A$2:$E$366,4,FALSE)</f>
        <v>#N/A</v>
      </c>
      <c r="F327" s="1" t="e">
        <f>VLOOKUP($A327,[4]TeamRtg!$A$2:$E$366,5,FALSE)</f>
        <v>#N/A</v>
      </c>
    </row>
    <row r="328" spans="1:6" x14ac:dyDescent="0.2">
      <c r="A328" s="1" t="s">
        <v>358</v>
      </c>
      <c r="B328" s="3">
        <f ca="1">VLOOKUP(A328,[3]TeamRtg!$A$3:$G$367,7,FALSE)</f>
        <v>-1.1685414871328679</v>
      </c>
      <c r="C328" s="1">
        <f t="shared" ca="1" si="5"/>
        <v>327</v>
      </c>
      <c r="D328" s="1">
        <v>327</v>
      </c>
      <c r="E328" s="1" t="e">
        <f>VLOOKUP($A328,[4]TeamRtg!$A$2:$E$366,4,FALSE)</f>
        <v>#N/A</v>
      </c>
      <c r="F328" s="1" t="e">
        <f>VLOOKUP($A328,[4]TeamRtg!$A$2:$E$366,5,FALSE)</f>
        <v>#N/A</v>
      </c>
    </row>
    <row r="329" spans="1:6" x14ac:dyDescent="0.2">
      <c r="A329" s="1" t="s">
        <v>290</v>
      </c>
      <c r="B329" s="3">
        <f ca="1">VLOOKUP(A329,[3]TeamRtg!$A$3:$G$367,7,FALSE)</f>
        <v>-1.1889152672168213</v>
      </c>
      <c r="C329" s="1">
        <f t="shared" ca="1" si="5"/>
        <v>328</v>
      </c>
      <c r="D329" s="1">
        <v>328</v>
      </c>
      <c r="E329" s="1" t="e">
        <f>VLOOKUP($A329,[4]TeamRtg!$A$2:$E$366,4,FALSE)</f>
        <v>#N/A</v>
      </c>
      <c r="F329" s="1" t="e">
        <f>VLOOKUP($A329,[4]TeamRtg!$A$2:$E$366,5,FALSE)</f>
        <v>#N/A</v>
      </c>
    </row>
    <row r="330" spans="1:6" x14ac:dyDescent="0.2">
      <c r="A330" s="1" t="s">
        <v>362</v>
      </c>
      <c r="B330" s="3">
        <f ca="1">VLOOKUP(A330,[3]TeamRtg!$A$3:$G$367,7,FALSE)</f>
        <v>-1.1997562466461531</v>
      </c>
      <c r="C330" s="1">
        <f t="shared" ca="1" si="5"/>
        <v>329</v>
      </c>
      <c r="D330" s="1">
        <v>329</v>
      </c>
      <c r="E330" s="1" t="e">
        <f>VLOOKUP($A330,[4]TeamRtg!$A$2:$E$366,4,FALSE)</f>
        <v>#N/A</v>
      </c>
      <c r="F330" s="1" t="e">
        <f>VLOOKUP($A330,[4]TeamRtg!$A$2:$E$366,5,FALSE)</f>
        <v>#N/A</v>
      </c>
    </row>
    <row r="331" spans="1:6" x14ac:dyDescent="0.2">
      <c r="A331" s="1" t="s">
        <v>343</v>
      </c>
      <c r="B331" s="3">
        <f ca="1">VLOOKUP(A331,[3]TeamRtg!$A$3:$G$367,7,FALSE)</f>
        <v>-1.2012005090077775</v>
      </c>
      <c r="C331" s="1">
        <f t="shared" ca="1" si="5"/>
        <v>330</v>
      </c>
      <c r="D331" s="1">
        <v>330</v>
      </c>
      <c r="E331" s="1" t="e">
        <f>VLOOKUP($A331,[4]TeamRtg!$A$2:$E$366,4,FALSE)</f>
        <v>#N/A</v>
      </c>
      <c r="F331" s="1" t="e">
        <f>VLOOKUP($A331,[4]TeamRtg!$A$2:$E$366,5,FALSE)</f>
        <v>#N/A</v>
      </c>
    </row>
    <row r="332" spans="1:6" x14ac:dyDescent="0.2">
      <c r="A332" s="1" t="s">
        <v>339</v>
      </c>
      <c r="B332" s="3">
        <f ca="1">VLOOKUP(A332,[3]TeamRtg!$A$3:$G$367,7,FALSE)</f>
        <v>-1.2227631646180164</v>
      </c>
      <c r="C332" s="1">
        <f t="shared" ca="1" si="5"/>
        <v>331</v>
      </c>
      <c r="D332" s="1">
        <v>331</v>
      </c>
      <c r="E332" s="1" t="e">
        <f>VLOOKUP($A332,[4]TeamRtg!$A$2:$E$366,4,FALSE)</f>
        <v>#N/A</v>
      </c>
      <c r="F332" s="1" t="e">
        <f>VLOOKUP($A332,[4]TeamRtg!$A$2:$E$366,5,FALSE)</f>
        <v>#N/A</v>
      </c>
    </row>
    <row r="333" spans="1:6" x14ac:dyDescent="0.2">
      <c r="A333" s="1" t="s">
        <v>346</v>
      </c>
      <c r="B333" s="3">
        <f ca="1">VLOOKUP(A333,[3]TeamRtg!$A$3:$G$367,7,FALSE)</f>
        <v>-1.2259423584063021</v>
      </c>
      <c r="C333" s="1">
        <f t="shared" ca="1" si="5"/>
        <v>332</v>
      </c>
      <c r="D333" s="1">
        <v>332</v>
      </c>
      <c r="E333" s="1" t="e">
        <f>VLOOKUP($A333,[4]TeamRtg!$A$2:$E$366,4,FALSE)</f>
        <v>#N/A</v>
      </c>
      <c r="F333" s="1" t="e">
        <f>VLOOKUP($A333,[4]TeamRtg!$A$2:$E$366,5,FALSE)</f>
        <v>#N/A</v>
      </c>
    </row>
    <row r="334" spans="1:6" x14ac:dyDescent="0.2">
      <c r="A334" s="1" t="s">
        <v>276</v>
      </c>
      <c r="B334" s="3">
        <f ca="1">VLOOKUP(A334,[3]TeamRtg!$A$3:$G$367,7,FALSE)</f>
        <v>-1.2386882622794204</v>
      </c>
      <c r="C334" s="1">
        <f t="shared" ca="1" si="5"/>
        <v>333</v>
      </c>
      <c r="D334" s="1">
        <v>333</v>
      </c>
      <c r="E334" s="1" t="e">
        <f>VLOOKUP($A334,[4]TeamRtg!$A$2:$E$366,4,FALSE)</f>
        <v>#N/A</v>
      </c>
      <c r="F334" s="1" t="e">
        <f>VLOOKUP($A334,[4]TeamRtg!$A$2:$E$366,5,FALSE)</f>
        <v>#N/A</v>
      </c>
    </row>
    <row r="335" spans="1:6" x14ac:dyDescent="0.2">
      <c r="A335" s="1" t="s">
        <v>183</v>
      </c>
      <c r="B335" s="3">
        <f ca="1">VLOOKUP(A335,[3]TeamRtg!$A$3:$G$367,7,FALSE)</f>
        <v>-1.2495994932569803</v>
      </c>
      <c r="C335" s="1">
        <f t="shared" ca="1" si="5"/>
        <v>334</v>
      </c>
      <c r="D335" s="1">
        <v>334</v>
      </c>
      <c r="E335" s="1" t="e">
        <f>VLOOKUP($A335,[4]TeamRtg!$A$2:$E$366,4,FALSE)</f>
        <v>#N/A</v>
      </c>
      <c r="F335" s="1" t="e">
        <f>VLOOKUP($A335,[4]TeamRtg!$A$2:$E$366,5,FALSE)</f>
        <v>#N/A</v>
      </c>
    </row>
    <row r="336" spans="1:6" x14ac:dyDescent="0.2">
      <c r="A336" s="1" t="s">
        <v>360</v>
      </c>
      <c r="B336" s="3">
        <f ca="1">VLOOKUP(A336,[3]TeamRtg!$A$3:$G$367,7,FALSE)</f>
        <v>-1.250370340380925</v>
      </c>
      <c r="C336" s="1">
        <f t="shared" ca="1" si="5"/>
        <v>335</v>
      </c>
      <c r="D336" s="1">
        <v>335</v>
      </c>
      <c r="E336" s="1" t="e">
        <f>VLOOKUP($A336,[4]TeamRtg!$A$2:$E$366,4,FALSE)</f>
        <v>#N/A</v>
      </c>
      <c r="F336" s="1" t="e">
        <f>VLOOKUP($A336,[4]TeamRtg!$A$2:$E$366,5,FALSE)</f>
        <v>#N/A</v>
      </c>
    </row>
    <row r="337" spans="1:6" x14ac:dyDescent="0.2">
      <c r="A337" s="1" t="s">
        <v>319</v>
      </c>
      <c r="B337" s="3">
        <f ca="1">VLOOKUP(A337,[3]TeamRtg!$A$3:$G$367,7,FALSE)</f>
        <v>-1.2552451821785602</v>
      </c>
      <c r="C337" s="1">
        <f t="shared" ca="1" si="5"/>
        <v>336</v>
      </c>
      <c r="D337" s="1">
        <v>336</v>
      </c>
      <c r="E337" s="1" t="e">
        <f>VLOOKUP($A337,[4]TeamRtg!$A$2:$E$366,4,FALSE)</f>
        <v>#N/A</v>
      </c>
      <c r="F337" s="1" t="e">
        <f>VLOOKUP($A337,[4]TeamRtg!$A$2:$E$366,5,FALSE)</f>
        <v>#N/A</v>
      </c>
    </row>
    <row r="338" spans="1:6" x14ac:dyDescent="0.2">
      <c r="A338" s="1" t="s">
        <v>291</v>
      </c>
      <c r="B338" s="3">
        <f ca="1">VLOOKUP(A338,[3]TeamRtg!$A$3:$G$367,7,FALSE)</f>
        <v>-1.2620726606030832</v>
      </c>
      <c r="C338" s="1">
        <f t="shared" ca="1" si="5"/>
        <v>337</v>
      </c>
      <c r="D338" s="1">
        <v>337</v>
      </c>
      <c r="E338" s="1" t="e">
        <f>VLOOKUP($A338,[4]TeamRtg!$A$2:$E$366,4,FALSE)</f>
        <v>#N/A</v>
      </c>
      <c r="F338" s="1" t="e">
        <f>VLOOKUP($A338,[4]TeamRtg!$A$2:$E$366,5,FALSE)</f>
        <v>#N/A</v>
      </c>
    </row>
    <row r="339" spans="1:6" x14ac:dyDescent="0.2">
      <c r="A339" s="1" t="s">
        <v>248</v>
      </c>
      <c r="B339" s="3">
        <f ca="1">VLOOKUP(A339,[3]TeamRtg!$A$3:$G$367,7,FALSE)</f>
        <v>-1.283666710223093</v>
      </c>
      <c r="C339" s="1">
        <f t="shared" ca="1" si="5"/>
        <v>338</v>
      </c>
      <c r="D339" s="1">
        <v>338</v>
      </c>
      <c r="E339" s="1" t="e">
        <f>VLOOKUP($A339,[4]TeamRtg!$A$2:$E$366,4,FALSE)</f>
        <v>#N/A</v>
      </c>
      <c r="F339" s="1" t="e">
        <f>VLOOKUP($A339,[4]TeamRtg!$A$2:$E$366,5,FALSE)</f>
        <v>#N/A</v>
      </c>
    </row>
    <row r="340" spans="1:6" x14ac:dyDescent="0.2">
      <c r="A340" s="1" t="s">
        <v>180</v>
      </c>
      <c r="B340" s="3">
        <f ca="1">VLOOKUP(A340,[3]TeamRtg!$A$3:$G$367,7,FALSE)</f>
        <v>-1.3069322235209384</v>
      </c>
      <c r="C340" s="1">
        <f t="shared" ca="1" si="5"/>
        <v>340</v>
      </c>
      <c r="D340" s="1">
        <v>339</v>
      </c>
      <c r="E340" s="1" t="e">
        <f>VLOOKUP($A340,[4]TeamRtg!$A$2:$E$366,4,FALSE)</f>
        <v>#N/A</v>
      </c>
      <c r="F340" s="1" t="e">
        <f>VLOOKUP($A340,[4]TeamRtg!$A$2:$E$366,5,FALSE)</f>
        <v>#N/A</v>
      </c>
    </row>
    <row r="341" spans="1:6" x14ac:dyDescent="0.2">
      <c r="A341" s="1" t="s">
        <v>331</v>
      </c>
      <c r="B341" s="3">
        <f ca="1">VLOOKUP(A341,[3]TeamRtg!$A$3:$G$367,7,FALSE)</f>
        <v>-1.3059557252585672</v>
      </c>
      <c r="C341" s="1">
        <f t="shared" ca="1" si="5"/>
        <v>339</v>
      </c>
      <c r="D341" s="1">
        <v>340</v>
      </c>
      <c r="E341" s="1" t="e">
        <f>VLOOKUP($A341,[4]TeamRtg!$A$2:$E$366,4,FALSE)</f>
        <v>#N/A</v>
      </c>
      <c r="F341" s="1" t="e">
        <f>VLOOKUP($A341,[4]TeamRtg!$A$2:$E$366,5,FALSE)</f>
        <v>#N/A</v>
      </c>
    </row>
    <row r="342" spans="1:6" x14ac:dyDescent="0.2">
      <c r="A342" s="1" t="s">
        <v>305</v>
      </c>
      <c r="B342" s="3">
        <f ca="1">VLOOKUP(A342,[3]TeamRtg!$A$3:$G$367,7,FALSE)</f>
        <v>-1.3336593599326132</v>
      </c>
      <c r="C342" s="1">
        <f t="shared" ca="1" si="5"/>
        <v>341</v>
      </c>
      <c r="D342" s="1">
        <v>341</v>
      </c>
      <c r="E342" s="1" t="e">
        <f>VLOOKUP($A342,[4]TeamRtg!$A$2:$E$366,4,FALSE)</f>
        <v>#N/A</v>
      </c>
      <c r="F342" s="1" t="e">
        <f>VLOOKUP($A342,[4]TeamRtg!$A$2:$E$366,5,FALSE)</f>
        <v>#N/A</v>
      </c>
    </row>
    <row r="343" spans="1:6" x14ac:dyDescent="0.2">
      <c r="A343" s="1" t="s">
        <v>324</v>
      </c>
      <c r="B343" s="3">
        <f ca="1">VLOOKUP(A343,[3]TeamRtg!$A$3:$G$367,7,FALSE)</f>
        <v>-1.3492152535357118</v>
      </c>
      <c r="C343" s="1">
        <f t="shared" ca="1" si="5"/>
        <v>342</v>
      </c>
      <c r="D343" s="1">
        <v>342</v>
      </c>
      <c r="E343" s="1" t="e">
        <f>VLOOKUP($A343,[4]TeamRtg!$A$2:$E$366,4,FALSE)</f>
        <v>#N/A</v>
      </c>
      <c r="F343" s="1" t="e">
        <f>VLOOKUP($A343,[4]TeamRtg!$A$2:$E$366,5,FALSE)</f>
        <v>#N/A</v>
      </c>
    </row>
    <row r="344" spans="1:6" x14ac:dyDescent="0.2">
      <c r="A344" s="1" t="s">
        <v>297</v>
      </c>
      <c r="B344" s="3">
        <f ca="1">VLOOKUP(A344,[3]TeamRtg!$A$3:$G$367,7,FALSE)</f>
        <v>-1.3921086668046314</v>
      </c>
      <c r="C344" s="1">
        <f t="shared" ca="1" si="5"/>
        <v>344</v>
      </c>
      <c r="D344" s="1">
        <v>343</v>
      </c>
      <c r="E344" s="1" t="e">
        <f>VLOOKUP($A344,[4]TeamRtg!$A$2:$E$366,4,FALSE)</f>
        <v>#N/A</v>
      </c>
      <c r="F344" s="1" t="e">
        <f>VLOOKUP($A344,[4]TeamRtg!$A$2:$E$366,5,FALSE)</f>
        <v>#N/A</v>
      </c>
    </row>
    <row r="345" spans="1:6" x14ac:dyDescent="0.2">
      <c r="A345" s="1" t="s">
        <v>355</v>
      </c>
      <c r="B345" s="3">
        <f ca="1">VLOOKUP(A345,[3]TeamRtg!$A$3:$G$367,7,FALSE)</f>
        <v>-1.3919465701723743</v>
      </c>
      <c r="C345" s="1">
        <f t="shared" ca="1" si="5"/>
        <v>343</v>
      </c>
      <c r="D345" s="1">
        <v>344</v>
      </c>
      <c r="E345" s="1" t="e">
        <f>VLOOKUP($A345,[4]TeamRtg!$A$2:$E$366,4,FALSE)</f>
        <v>#N/A</v>
      </c>
      <c r="F345" s="1" t="e">
        <f>VLOOKUP($A345,[4]TeamRtg!$A$2:$E$366,5,FALSE)</f>
        <v>#N/A</v>
      </c>
    </row>
    <row r="346" spans="1:6" x14ac:dyDescent="0.2">
      <c r="A346" s="1" t="s">
        <v>167</v>
      </c>
      <c r="B346" s="3">
        <f ca="1">VLOOKUP(A346,[3]TeamRtg!$A$3:$G$367,7,FALSE)</f>
        <v>-1.4409871268632717</v>
      </c>
      <c r="C346" s="1">
        <f t="shared" ca="1" si="5"/>
        <v>345</v>
      </c>
      <c r="D346" s="1">
        <v>345</v>
      </c>
      <c r="E346" s="1" t="e">
        <f>VLOOKUP($A346,[4]TeamRtg!$A$2:$E$366,4,FALSE)</f>
        <v>#N/A</v>
      </c>
      <c r="F346" s="1" t="e">
        <f>VLOOKUP($A346,[4]TeamRtg!$A$2:$E$366,5,FALSE)</f>
        <v>#N/A</v>
      </c>
    </row>
    <row r="347" spans="1:6" x14ac:dyDescent="0.2">
      <c r="A347" s="1" t="s">
        <v>330</v>
      </c>
      <c r="B347" s="3">
        <f ca="1">VLOOKUP(A347,[3]TeamRtg!$A$3:$G$367,7,FALSE)</f>
        <v>-1.4515584801411192</v>
      </c>
      <c r="C347" s="1">
        <f t="shared" ca="1" si="5"/>
        <v>346</v>
      </c>
      <c r="D347" s="1">
        <v>346</v>
      </c>
      <c r="E347" s="1" t="e">
        <f>VLOOKUP($A347,[4]TeamRtg!$A$2:$E$366,4,FALSE)</f>
        <v>#N/A</v>
      </c>
      <c r="F347" s="1" t="e">
        <f>VLOOKUP($A347,[4]TeamRtg!$A$2:$E$366,5,FALSE)</f>
        <v>#N/A</v>
      </c>
    </row>
    <row r="348" spans="1:6" x14ac:dyDescent="0.2">
      <c r="A348" s="1" t="s">
        <v>359</v>
      </c>
      <c r="B348" s="3">
        <f ca="1">VLOOKUP(A348,[3]TeamRtg!$A$3:$G$367,7,FALSE)</f>
        <v>-1.4525335533873398</v>
      </c>
      <c r="C348" s="1">
        <f t="shared" ca="1" si="5"/>
        <v>347</v>
      </c>
      <c r="D348" s="1">
        <v>347</v>
      </c>
      <c r="E348" s="1" t="e">
        <f>VLOOKUP($A348,[4]TeamRtg!$A$2:$E$366,4,FALSE)</f>
        <v>#N/A</v>
      </c>
      <c r="F348" s="1" t="e">
        <f>VLOOKUP($A348,[4]TeamRtg!$A$2:$E$366,5,FALSE)</f>
        <v>#N/A</v>
      </c>
    </row>
    <row r="349" spans="1:6" x14ac:dyDescent="0.2">
      <c r="A349" s="1" t="s">
        <v>361</v>
      </c>
      <c r="B349" s="3">
        <f ca="1">VLOOKUP(A349,[3]TeamRtg!$A$3:$G$367,7,FALSE)</f>
        <v>-1.4740049928213639</v>
      </c>
      <c r="C349" s="1">
        <f t="shared" ca="1" si="5"/>
        <v>348</v>
      </c>
      <c r="D349" s="1">
        <v>348</v>
      </c>
      <c r="E349" s="1" t="e">
        <f>VLOOKUP($A349,[4]TeamRtg!$A$2:$E$366,4,FALSE)</f>
        <v>#N/A</v>
      </c>
      <c r="F349" s="1" t="e">
        <f>VLOOKUP($A349,[4]TeamRtg!$A$2:$E$366,5,FALSE)</f>
        <v>#N/A</v>
      </c>
    </row>
    <row r="350" spans="1:6" x14ac:dyDescent="0.2">
      <c r="A350" s="1" t="s">
        <v>348</v>
      </c>
      <c r="B350" s="3">
        <f ca="1">VLOOKUP(A350,[3]TeamRtg!$A$3:$G$367,7,FALSE)</f>
        <v>-1.5046522470459798</v>
      </c>
      <c r="C350" s="1">
        <f t="shared" ca="1" si="5"/>
        <v>349</v>
      </c>
      <c r="D350" s="1">
        <v>349</v>
      </c>
      <c r="E350" s="1" t="e">
        <f>VLOOKUP($A350,[4]TeamRtg!$A$2:$E$366,4,FALSE)</f>
        <v>#N/A</v>
      </c>
      <c r="F350" s="1" t="e">
        <f>VLOOKUP($A350,[4]TeamRtg!$A$2:$E$366,5,FALSE)</f>
        <v>#N/A</v>
      </c>
    </row>
    <row r="351" spans="1:6" x14ac:dyDescent="0.2">
      <c r="A351" s="1" t="s">
        <v>302</v>
      </c>
      <c r="B351" s="3">
        <f ca="1">VLOOKUP(A351,[3]TeamRtg!$A$3:$G$367,7,FALSE)</f>
        <v>-1.5411324066038108</v>
      </c>
      <c r="C351" s="1">
        <f t="shared" ca="1" si="5"/>
        <v>350</v>
      </c>
      <c r="D351" s="1">
        <v>350</v>
      </c>
      <c r="E351" s="1" t="e">
        <f>VLOOKUP($A351,[4]TeamRtg!$A$2:$E$366,4,FALSE)</f>
        <v>#N/A</v>
      </c>
      <c r="F351" s="1" t="e">
        <f>VLOOKUP($A351,[4]TeamRtg!$A$2:$E$366,5,FALSE)</f>
        <v>#N/A</v>
      </c>
    </row>
    <row r="352" spans="1:6" x14ac:dyDescent="0.2">
      <c r="A352" s="1" t="s">
        <v>333</v>
      </c>
      <c r="B352" s="3">
        <f ca="1">VLOOKUP(A352,[3]TeamRtg!$A$3:$G$367,7,FALSE)</f>
        <v>-1.5764519258284844</v>
      </c>
      <c r="C352" s="1">
        <f t="shared" ca="1" si="5"/>
        <v>351</v>
      </c>
      <c r="D352" s="1">
        <v>351</v>
      </c>
      <c r="E352" s="1" t="e">
        <f>VLOOKUP($A352,[4]TeamRtg!$A$2:$E$366,4,FALSE)</f>
        <v>#N/A</v>
      </c>
      <c r="F352" s="1" t="e">
        <f>VLOOKUP($A352,[4]TeamRtg!$A$2:$E$366,5,FALSE)</f>
        <v>#N/A</v>
      </c>
    </row>
    <row r="353" spans="1:6" x14ac:dyDescent="0.2">
      <c r="A353" s="1" t="s">
        <v>356</v>
      </c>
      <c r="B353" s="3">
        <f ca="1">VLOOKUP(A353,[3]TeamRtg!$A$3:$G$367,7,FALSE)</f>
        <v>-1.5796261508619673</v>
      </c>
      <c r="C353" s="1">
        <f t="shared" ca="1" si="5"/>
        <v>352</v>
      </c>
      <c r="D353" s="1">
        <v>352</v>
      </c>
      <c r="E353" s="1" t="e">
        <f>VLOOKUP($A353,[4]TeamRtg!$A$2:$E$366,4,FALSE)</f>
        <v>#N/A</v>
      </c>
      <c r="F353" s="1" t="e">
        <f>VLOOKUP($A353,[4]TeamRtg!$A$2:$E$366,5,FALSE)</f>
        <v>#N/A</v>
      </c>
    </row>
    <row r="354" spans="1:6" x14ac:dyDescent="0.2">
      <c r="A354" s="1" t="s">
        <v>322</v>
      </c>
      <c r="B354" s="3">
        <f ca="1">VLOOKUP(A354,[3]TeamRtg!$A$3:$G$367,7,FALSE)</f>
        <v>-1.6000273032193608</v>
      </c>
      <c r="C354" s="1">
        <f t="shared" ca="1" si="5"/>
        <v>353</v>
      </c>
      <c r="D354" s="1">
        <v>353</v>
      </c>
      <c r="E354" s="1" t="e">
        <f>VLOOKUP($A354,[4]TeamRtg!$A$2:$E$366,4,FALSE)</f>
        <v>#N/A</v>
      </c>
      <c r="F354" s="1" t="e">
        <f>VLOOKUP($A354,[4]TeamRtg!$A$2:$E$366,5,FALSE)</f>
        <v>#N/A</v>
      </c>
    </row>
    <row r="355" spans="1:6" x14ac:dyDescent="0.2">
      <c r="A355" s="1" t="s">
        <v>254</v>
      </c>
      <c r="B355" s="3">
        <f ca="1">VLOOKUP(A355,[3]TeamRtg!$A$3:$G$367,7,FALSE)</f>
        <v>-1.665316376115844</v>
      </c>
      <c r="C355" s="1">
        <f t="shared" ca="1" si="5"/>
        <v>354</v>
      </c>
      <c r="D355" s="1">
        <v>354</v>
      </c>
      <c r="E355" s="1" t="e">
        <f>VLOOKUP($A355,[4]TeamRtg!$A$2:$E$366,4,FALSE)</f>
        <v>#N/A</v>
      </c>
      <c r="F355" s="1" t="e">
        <f>VLOOKUP($A355,[4]TeamRtg!$A$2:$E$366,5,FALSE)</f>
        <v>#N/A</v>
      </c>
    </row>
    <row r="356" spans="1:6" x14ac:dyDescent="0.2">
      <c r="A356" s="1" t="s">
        <v>332</v>
      </c>
      <c r="B356" s="3">
        <f ca="1">VLOOKUP(A356,[3]TeamRtg!$A$3:$G$367,7,FALSE)</f>
        <v>-1.687594892852496</v>
      </c>
      <c r="C356" s="1">
        <f t="shared" ca="1" si="5"/>
        <v>355</v>
      </c>
      <c r="D356" s="1">
        <v>355</v>
      </c>
      <c r="E356" s="1" t="e">
        <f>VLOOKUP($A356,[4]TeamRtg!$A$2:$E$366,4,FALSE)</f>
        <v>#N/A</v>
      </c>
      <c r="F356" s="1" t="e">
        <f>VLOOKUP($A356,[4]TeamRtg!$A$2:$E$366,5,FALSE)</f>
        <v>#N/A</v>
      </c>
    </row>
    <row r="357" spans="1:6" x14ac:dyDescent="0.2">
      <c r="A357" s="1" t="s">
        <v>335</v>
      </c>
      <c r="B357" s="3">
        <f ca="1">VLOOKUP(A357,[3]TeamRtg!$A$3:$G$367,7,FALSE)</f>
        <v>-1.6906239233053346</v>
      </c>
      <c r="C357" s="1">
        <f t="shared" ca="1" si="5"/>
        <v>356</v>
      </c>
      <c r="D357" s="1">
        <v>356</v>
      </c>
      <c r="E357" s="1" t="e">
        <f>VLOOKUP($A357,[4]TeamRtg!$A$2:$E$366,4,FALSE)</f>
        <v>#N/A</v>
      </c>
      <c r="F357" s="1" t="e">
        <f>VLOOKUP($A357,[4]TeamRtg!$A$2:$E$366,5,FALSE)</f>
        <v>#N/A</v>
      </c>
    </row>
    <row r="358" spans="1:6" x14ac:dyDescent="0.2">
      <c r="A358" s="1" t="s">
        <v>353</v>
      </c>
      <c r="B358" s="3">
        <f ca="1">VLOOKUP(A358,[3]TeamRtg!$A$3:$G$367,7,FALSE)</f>
        <v>-1.7086306202559705</v>
      </c>
      <c r="C358" s="1">
        <f t="shared" ca="1" si="5"/>
        <v>357</v>
      </c>
      <c r="D358" s="1">
        <v>357</v>
      </c>
      <c r="E358" s="1" t="e">
        <f>VLOOKUP($A358,[4]TeamRtg!$A$2:$E$366,4,FALSE)</f>
        <v>#N/A</v>
      </c>
      <c r="F358" s="1" t="e">
        <f>VLOOKUP($A358,[4]TeamRtg!$A$2:$E$366,5,FALSE)</f>
        <v>#N/A</v>
      </c>
    </row>
    <row r="359" spans="1:6" x14ac:dyDescent="0.2">
      <c r="A359" s="1" t="s">
        <v>316</v>
      </c>
      <c r="B359" s="3">
        <f ca="1">VLOOKUP(A359,[3]TeamRtg!$A$3:$G$367,7,FALSE)</f>
        <v>-1.7455847126090807</v>
      </c>
      <c r="C359" s="1">
        <f t="shared" ca="1" si="5"/>
        <v>358</v>
      </c>
      <c r="D359" s="1">
        <v>358</v>
      </c>
      <c r="E359" s="1" t="e">
        <f>VLOOKUP($A359,[4]TeamRtg!$A$2:$E$366,4,FALSE)</f>
        <v>#N/A</v>
      </c>
      <c r="F359" s="1" t="e">
        <f>VLOOKUP($A359,[4]TeamRtg!$A$2:$E$366,5,FALSE)</f>
        <v>#N/A</v>
      </c>
    </row>
    <row r="360" spans="1:6" x14ac:dyDescent="0.2">
      <c r="A360" s="1" t="s">
        <v>176</v>
      </c>
      <c r="B360" s="3">
        <f ca="1">VLOOKUP(A360,[3]TeamRtg!$A$3:$G$367,7,FALSE)</f>
        <v>-1.7522267572851453</v>
      </c>
      <c r="C360" s="1">
        <f t="shared" ca="1" si="5"/>
        <v>359</v>
      </c>
      <c r="D360" s="1">
        <v>359</v>
      </c>
      <c r="E360" s="1" t="e">
        <f>VLOOKUP($A360,[4]TeamRtg!$A$2:$E$366,4,FALSE)</f>
        <v>#N/A</v>
      </c>
      <c r="F360" s="1" t="e">
        <f>VLOOKUP($A360,[4]TeamRtg!$A$2:$E$366,5,FALSE)</f>
        <v>#N/A</v>
      </c>
    </row>
    <row r="361" spans="1:6" x14ac:dyDescent="0.2">
      <c r="A361" s="1" t="s">
        <v>354</v>
      </c>
      <c r="B361" s="3">
        <f ca="1">VLOOKUP(A361,[3]TeamRtg!$A$3:$G$367,7,FALSE)</f>
        <v>-1.7523204412502413</v>
      </c>
      <c r="C361" s="1">
        <f t="shared" ca="1" si="5"/>
        <v>360</v>
      </c>
      <c r="D361" s="1">
        <v>360</v>
      </c>
      <c r="E361" s="1" t="e">
        <f>VLOOKUP($A361,[4]TeamRtg!$A$2:$E$366,4,FALSE)</f>
        <v>#N/A</v>
      </c>
      <c r="F361" s="1" t="e">
        <f>VLOOKUP($A361,[4]TeamRtg!$A$2:$E$366,5,FALSE)</f>
        <v>#N/A</v>
      </c>
    </row>
    <row r="362" spans="1:6" x14ac:dyDescent="0.2">
      <c r="A362" s="1" t="s">
        <v>336</v>
      </c>
      <c r="B362" s="3">
        <f ca="1">VLOOKUP(A362,[3]TeamRtg!$A$3:$G$367,7,FALSE)</f>
        <v>-1.8742918499561849</v>
      </c>
      <c r="C362" s="1">
        <f t="shared" ca="1" si="5"/>
        <v>361</v>
      </c>
      <c r="D362" s="1">
        <v>361</v>
      </c>
      <c r="E362" s="1" t="e">
        <f>VLOOKUP($A362,[4]TeamRtg!$A$2:$E$366,4,FALSE)</f>
        <v>#N/A</v>
      </c>
      <c r="F362" s="1" t="e">
        <f>VLOOKUP($A362,[4]TeamRtg!$A$2:$E$366,5,FALSE)</f>
        <v>#N/A</v>
      </c>
    </row>
    <row r="363" spans="1:6" x14ac:dyDescent="0.2">
      <c r="A363" s="1" t="s">
        <v>364</v>
      </c>
      <c r="B363" s="3">
        <f ca="1">VLOOKUP(A363,[3]TeamRtg!$A$3:$G$367,7,FALSE)</f>
        <v>-1.8959288264553571</v>
      </c>
      <c r="C363" s="1">
        <f t="shared" ca="1" si="5"/>
        <v>362</v>
      </c>
      <c r="D363" s="1">
        <v>362</v>
      </c>
      <c r="E363" s="1" t="e">
        <f>VLOOKUP($A363,[4]TeamRtg!$A$2:$E$366,4,FALSE)</f>
        <v>#N/A</v>
      </c>
      <c r="F363" s="1" t="e">
        <f>VLOOKUP($A363,[4]TeamRtg!$A$2:$E$366,5,FALSE)</f>
        <v>#N/A</v>
      </c>
    </row>
    <row r="364" spans="1:6" x14ac:dyDescent="0.2">
      <c r="A364" s="1" t="s">
        <v>340</v>
      </c>
      <c r="B364" s="3">
        <f ca="1">VLOOKUP(A364,[3]TeamRtg!$A$3:$G$367,7,FALSE)</f>
        <v>-2.0329519093798316</v>
      </c>
      <c r="C364" s="1">
        <f t="shared" ca="1" si="5"/>
        <v>363</v>
      </c>
      <c r="D364" s="1">
        <v>363</v>
      </c>
      <c r="E364" s="1" t="e">
        <f>VLOOKUP($A364,[4]TeamRtg!$A$2:$E$366,4,FALSE)</f>
        <v>#N/A</v>
      </c>
      <c r="F364" s="1" t="e">
        <f>VLOOKUP($A364,[4]TeamRtg!$A$2:$E$366,5,FALSE)</f>
        <v>#N/A</v>
      </c>
    </row>
    <row r="365" spans="1:6" x14ac:dyDescent="0.2">
      <c r="A365" s="1" t="s">
        <v>349</v>
      </c>
      <c r="B365" s="3">
        <f ca="1">VLOOKUP(A365,[3]TeamRtg!$A$3:$G$367,7,FALSE)</f>
        <v>-2.0994914331684216</v>
      </c>
      <c r="C365" s="1">
        <f t="shared" ca="1" si="5"/>
        <v>364</v>
      </c>
      <c r="D365" s="1">
        <v>364</v>
      </c>
      <c r="E365" s="1" t="e">
        <f>VLOOKUP($A365,[4]TeamRtg!$A$2:$E$366,4,FALSE)</f>
        <v>#N/A</v>
      </c>
      <c r="F365" s="1" t="e">
        <f>VLOOKUP($A365,[4]TeamRtg!$A$2:$E$366,5,FALSE)</f>
        <v>#N/A</v>
      </c>
    </row>
    <row r="366" spans="1:6" x14ac:dyDescent="0.2">
      <c r="A366" s="1" t="s">
        <v>483</v>
      </c>
      <c r="B366" s="3">
        <f ca="1">VLOOKUP(A366,[3]TeamRtg!$A$3:$G$367,7,FALSE)</f>
        <v>-2.4741497171748237</v>
      </c>
      <c r="C366" s="1">
        <f t="shared" ca="1" si="5"/>
        <v>365</v>
      </c>
      <c r="D366" s="1">
        <v>365</v>
      </c>
      <c r="E366" s="1" t="e">
        <f>VLOOKUP($A366,[4]TeamRtg!$A$2:$E$366,4,FALSE)</f>
        <v>#N/A</v>
      </c>
      <c r="F366" s="1" t="e">
        <f>VLOOKUP($A366,[4]TeamRtg!$A$2:$E$366,5,FALSE)</f>
        <v>#N/A</v>
      </c>
    </row>
  </sheetData>
  <autoFilter ref="A1:F1" xr:uid="{FA51BAEE-C2FE-D343-91CD-53A70DA99145}">
    <sortState xmlns:xlrd2="http://schemas.microsoft.com/office/spreadsheetml/2017/richdata2" ref="A2:F366">
      <sortCondition descending="1" ref="B1:B36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08B5-8FE0-E24B-BF36-9D8165A8259C}">
  <dimension ref="A1:J65"/>
  <sheetViews>
    <sheetView workbookViewId="0">
      <selection activeCell="F16" sqref="F16"/>
    </sheetView>
  </sheetViews>
  <sheetFormatPr baseColWidth="10" defaultColWidth="8.83203125" defaultRowHeight="16" x14ac:dyDescent="0.2"/>
  <sheetData>
    <row r="1" spans="1:10" x14ac:dyDescent="0.2">
      <c r="A1" s="4" t="s">
        <v>0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380</v>
      </c>
      <c r="J1" s="4" t="s">
        <v>366</v>
      </c>
    </row>
    <row r="2" spans="1:10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0.52110000000000001</v>
      </c>
      <c r="G2">
        <v>0.32505000000000001</v>
      </c>
      <c r="H2" t="s">
        <v>382</v>
      </c>
      <c r="I2">
        <v>1</v>
      </c>
      <c r="J2">
        <v>23.698276332727119</v>
      </c>
    </row>
    <row r="3" spans="1:10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0.47889999999999999</v>
      </c>
      <c r="G3">
        <v>0.28754999999999997</v>
      </c>
      <c r="H3" t="s">
        <v>381</v>
      </c>
      <c r="I3">
        <v>1</v>
      </c>
      <c r="J3">
        <v>23.168628302235671</v>
      </c>
    </row>
    <row r="4" spans="1:10" x14ac:dyDescent="0.2">
      <c r="A4" t="s">
        <v>13</v>
      </c>
      <c r="B4">
        <v>1</v>
      </c>
      <c r="C4">
        <v>1</v>
      </c>
      <c r="D4">
        <v>1</v>
      </c>
      <c r="E4">
        <v>1</v>
      </c>
      <c r="F4">
        <v>0.58645000000000003</v>
      </c>
      <c r="G4">
        <v>0.21340000000000001</v>
      </c>
      <c r="H4" t="s">
        <v>384</v>
      </c>
      <c r="I4">
        <v>3</v>
      </c>
      <c r="J4">
        <v>18.836157720404749</v>
      </c>
    </row>
    <row r="5" spans="1:10" x14ac:dyDescent="0.2">
      <c r="A5" t="s">
        <v>385</v>
      </c>
      <c r="B5">
        <v>1</v>
      </c>
      <c r="C5">
        <v>1</v>
      </c>
      <c r="D5">
        <v>1</v>
      </c>
      <c r="E5">
        <v>1</v>
      </c>
      <c r="F5">
        <v>0.41354999999999997</v>
      </c>
      <c r="G5">
        <v>0.17399999999999993</v>
      </c>
      <c r="H5" t="s">
        <v>383</v>
      </c>
      <c r="I5">
        <v>2</v>
      </c>
      <c r="J5">
        <v>18.116591097400342</v>
      </c>
    </row>
    <row r="6" spans="1:10" x14ac:dyDescent="0.2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381</v>
      </c>
      <c r="I6">
        <v>12</v>
      </c>
      <c r="J6">
        <v>10.607575381157361</v>
      </c>
    </row>
    <row r="7" spans="1:10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381</v>
      </c>
      <c r="I7">
        <v>4</v>
      </c>
      <c r="J7">
        <v>19.656169100501039</v>
      </c>
    </row>
    <row r="8" spans="1:10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382</v>
      </c>
      <c r="I8">
        <v>4</v>
      </c>
      <c r="J8">
        <v>19.912380875616751</v>
      </c>
    </row>
    <row r="9" spans="1:10" x14ac:dyDescent="0.2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382</v>
      </c>
      <c r="I9">
        <v>6</v>
      </c>
      <c r="J9">
        <v>16.968495718532171</v>
      </c>
    </row>
    <row r="10" spans="1:10" x14ac:dyDescent="0.2">
      <c r="A10" t="s">
        <v>132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383</v>
      </c>
      <c r="I10">
        <v>13</v>
      </c>
      <c r="J10">
        <v>4.7044196436570411</v>
      </c>
    </row>
    <row r="11" spans="1:10" x14ac:dyDescent="0.2">
      <c r="A1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384</v>
      </c>
      <c r="I11">
        <v>8</v>
      </c>
      <c r="J11">
        <v>11.029310509440901</v>
      </c>
    </row>
    <row r="12" spans="1:10" x14ac:dyDescent="0.2">
      <c r="A12" t="s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383</v>
      </c>
      <c r="I12">
        <v>1</v>
      </c>
      <c r="J12">
        <v>23.057528028184478</v>
      </c>
    </row>
    <row r="13" spans="1:10" x14ac:dyDescent="0.2">
      <c r="A13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384</v>
      </c>
      <c r="I13">
        <v>1</v>
      </c>
      <c r="J13">
        <v>22.660012020194909</v>
      </c>
    </row>
    <row r="14" spans="1:10" x14ac:dyDescent="0.2">
      <c r="A14" t="s">
        <v>206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383</v>
      </c>
      <c r="I14">
        <v>15</v>
      </c>
      <c r="J14">
        <v>0.21312405184055919</v>
      </c>
    </row>
    <row r="15" spans="1:10" x14ac:dyDescent="0.2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381</v>
      </c>
      <c r="I15">
        <v>8</v>
      </c>
      <c r="J15">
        <v>14.1383998729836</v>
      </c>
    </row>
    <row r="16" spans="1:10" x14ac:dyDescent="0.2">
      <c r="A16" t="s">
        <v>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382</v>
      </c>
      <c r="I16">
        <v>3</v>
      </c>
      <c r="J16">
        <v>20.97083468579552</v>
      </c>
    </row>
    <row r="17" spans="1:10" x14ac:dyDescent="0.2">
      <c r="A17" t="s">
        <v>154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382</v>
      </c>
      <c r="I17">
        <v>13</v>
      </c>
      <c r="J17">
        <v>2.6083148574060759</v>
      </c>
    </row>
    <row r="18" spans="1:10" x14ac:dyDescent="0.2">
      <c r="A18" t="s">
        <v>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382</v>
      </c>
      <c r="I18">
        <v>12</v>
      </c>
      <c r="J18">
        <v>9.7941357758882948</v>
      </c>
    </row>
    <row r="19" spans="1:10" x14ac:dyDescent="0.2">
      <c r="A19" t="s">
        <v>182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381</v>
      </c>
      <c r="I19">
        <v>13</v>
      </c>
      <c r="J19">
        <v>2.1310612455384579</v>
      </c>
    </row>
    <row r="20" spans="1:10" x14ac:dyDescent="0.2">
      <c r="A20" t="s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384</v>
      </c>
      <c r="I20">
        <v>2</v>
      </c>
      <c r="J20">
        <v>20.908506008479328</v>
      </c>
    </row>
    <row r="21" spans="1:10" x14ac:dyDescent="0.2">
      <c r="A21" t="s">
        <v>293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381</v>
      </c>
      <c r="I21">
        <v>16</v>
      </c>
      <c r="J21">
        <v>-7.2185591209035449</v>
      </c>
    </row>
    <row r="22" spans="1:10" x14ac:dyDescent="0.2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384</v>
      </c>
      <c r="I22">
        <v>15</v>
      </c>
      <c r="J22">
        <v>3.942693201935243</v>
      </c>
    </row>
    <row r="23" spans="1:10" x14ac:dyDescent="0.2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384</v>
      </c>
      <c r="I23">
        <v>9</v>
      </c>
      <c r="J23">
        <v>15.53395662020711</v>
      </c>
    </row>
    <row r="24" spans="1:10" x14ac:dyDescent="0.2">
      <c r="A24" t="s">
        <v>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381</v>
      </c>
      <c r="I24">
        <v>2</v>
      </c>
      <c r="J24">
        <v>20.65655264831895</v>
      </c>
    </row>
    <row r="25" spans="1:10" x14ac:dyDescent="0.2">
      <c r="A25" t="s">
        <v>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383</v>
      </c>
      <c r="I25">
        <v>4</v>
      </c>
      <c r="J25">
        <v>16.816980413993029</v>
      </c>
    </row>
    <row r="26" spans="1:10" x14ac:dyDescent="0.2">
      <c r="A26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382</v>
      </c>
      <c r="I26">
        <v>14</v>
      </c>
      <c r="J26">
        <v>6.970747918389864</v>
      </c>
    </row>
    <row r="27" spans="1:10" x14ac:dyDescent="0.2">
      <c r="A27" t="s">
        <v>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381</v>
      </c>
      <c r="I27">
        <v>7</v>
      </c>
      <c r="J27">
        <v>18.061704750271812</v>
      </c>
    </row>
    <row r="28" spans="1:10" x14ac:dyDescent="0.2">
      <c r="A28" t="s">
        <v>275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382</v>
      </c>
      <c r="I28">
        <v>16</v>
      </c>
      <c r="J28">
        <v>-5.3135212359347586</v>
      </c>
    </row>
    <row r="29" spans="1:10" x14ac:dyDescent="0.2">
      <c r="A29" t="s">
        <v>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383</v>
      </c>
      <c r="I29">
        <v>6</v>
      </c>
      <c r="J29">
        <v>16.63084451378386</v>
      </c>
    </row>
    <row r="30" spans="1:10" x14ac:dyDescent="0.2">
      <c r="A30" t="s">
        <v>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384</v>
      </c>
      <c r="I30">
        <v>12</v>
      </c>
      <c r="J30">
        <v>7.3588143041314016</v>
      </c>
    </row>
    <row r="31" spans="1:10" x14ac:dyDescent="0.2">
      <c r="A31" t="s">
        <v>53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382</v>
      </c>
      <c r="I31">
        <v>7</v>
      </c>
      <c r="J31">
        <v>12.241609973382021</v>
      </c>
    </row>
    <row r="32" spans="1:10" x14ac:dyDescent="0.2">
      <c r="A32" t="s">
        <v>78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381</v>
      </c>
      <c r="I32">
        <v>11</v>
      </c>
      <c r="J32">
        <v>7.7373456911862846</v>
      </c>
    </row>
    <row r="33" spans="1:10" x14ac:dyDescent="0.2">
      <c r="A33" t="s">
        <v>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383</v>
      </c>
      <c r="I33">
        <v>3</v>
      </c>
      <c r="J33">
        <v>19.99120546697802</v>
      </c>
    </row>
    <row r="34" spans="1:10" x14ac:dyDescent="0.2">
      <c r="A34" t="s">
        <v>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382</v>
      </c>
      <c r="I34">
        <v>10</v>
      </c>
      <c r="J34">
        <v>11.96195079214662</v>
      </c>
    </row>
    <row r="35" spans="1:10" x14ac:dyDescent="0.2">
      <c r="A35" t="s">
        <v>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384</v>
      </c>
      <c r="I35">
        <v>4</v>
      </c>
      <c r="J35">
        <v>15.83213015954283</v>
      </c>
    </row>
    <row r="36" spans="1:10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384</v>
      </c>
      <c r="I36">
        <v>6</v>
      </c>
      <c r="J36">
        <v>13.97752668447534</v>
      </c>
    </row>
    <row r="37" spans="1:10" x14ac:dyDescent="0.2">
      <c r="A37" t="s">
        <v>138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383</v>
      </c>
      <c r="I37">
        <v>14</v>
      </c>
      <c r="J37">
        <v>3.8798755560939222</v>
      </c>
    </row>
    <row r="38" spans="1:10" x14ac:dyDescent="0.2">
      <c r="A38" t="s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383</v>
      </c>
      <c r="I38">
        <v>12</v>
      </c>
      <c r="J38">
        <v>9.0872035902891817</v>
      </c>
    </row>
    <row r="39" spans="1:10" x14ac:dyDescent="0.2">
      <c r="A39" t="s">
        <v>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383</v>
      </c>
      <c r="I39">
        <v>8</v>
      </c>
      <c r="J39">
        <v>14.73771853734006</v>
      </c>
    </row>
    <row r="40" spans="1:10" x14ac:dyDescent="0.2">
      <c r="A40" t="s">
        <v>221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384</v>
      </c>
      <c r="I40">
        <v>14</v>
      </c>
      <c r="J40">
        <v>-0.36300712066444207</v>
      </c>
    </row>
    <row r="41" spans="1:10" x14ac:dyDescent="0.2">
      <c r="A41" t="s">
        <v>319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384</v>
      </c>
      <c r="I41">
        <v>16</v>
      </c>
      <c r="J41">
        <v>-11.44814822660846</v>
      </c>
    </row>
    <row r="42" spans="1:10" x14ac:dyDescent="0.2">
      <c r="A42" t="s">
        <v>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382</v>
      </c>
      <c r="I42">
        <v>2</v>
      </c>
      <c r="J42">
        <v>20.95234284206305</v>
      </c>
    </row>
    <row r="43" spans="1:10" x14ac:dyDescent="0.2">
      <c r="A43" t="s">
        <v>235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382</v>
      </c>
      <c r="I43">
        <v>15</v>
      </c>
      <c r="J43">
        <v>-2.423138952361608</v>
      </c>
    </row>
    <row r="44" spans="1:10" x14ac:dyDescent="0.2">
      <c r="A44" t="s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381</v>
      </c>
      <c r="I44">
        <v>9</v>
      </c>
      <c r="J44">
        <v>12.90381283391684</v>
      </c>
    </row>
    <row r="45" spans="1:10" x14ac:dyDescent="0.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384</v>
      </c>
      <c r="I45">
        <v>7</v>
      </c>
      <c r="J45">
        <v>15.029836879013709</v>
      </c>
    </row>
    <row r="46" spans="1:10" x14ac:dyDescent="0.2">
      <c r="A46" t="s">
        <v>27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381</v>
      </c>
      <c r="I46">
        <v>10</v>
      </c>
      <c r="J46">
        <v>15.748134392962729</v>
      </c>
    </row>
    <row r="47" spans="1:10" x14ac:dyDescent="0.2">
      <c r="A47" t="s">
        <v>316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383</v>
      </c>
      <c r="I47">
        <v>16</v>
      </c>
      <c r="J47">
        <v>-9.5097540407855199</v>
      </c>
    </row>
    <row r="48" spans="1:10" x14ac:dyDescent="0.2">
      <c r="A48" t="s">
        <v>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383</v>
      </c>
      <c r="I48">
        <v>11</v>
      </c>
      <c r="J48">
        <v>10.63039633378199</v>
      </c>
    </row>
    <row r="49" spans="1:10" x14ac:dyDescent="0.2">
      <c r="A49" t="s">
        <v>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383</v>
      </c>
      <c r="I49">
        <v>5</v>
      </c>
      <c r="J49">
        <v>15.127354829706849</v>
      </c>
    </row>
    <row r="50" spans="1:10" x14ac:dyDescent="0.2">
      <c r="A50" t="s">
        <v>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383</v>
      </c>
      <c r="I50">
        <v>9</v>
      </c>
      <c r="J50">
        <v>12.689579175374289</v>
      </c>
    </row>
    <row r="51" spans="1:10" x14ac:dyDescent="0.2">
      <c r="A51" t="s">
        <v>10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381</v>
      </c>
      <c r="I51">
        <v>6</v>
      </c>
      <c r="J51">
        <v>20.60232878669483</v>
      </c>
    </row>
    <row r="52" spans="1:10" x14ac:dyDescent="0.2">
      <c r="A52" t="s">
        <v>186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381</v>
      </c>
      <c r="I52">
        <v>15</v>
      </c>
      <c r="J52">
        <v>1.2683199118622079</v>
      </c>
    </row>
    <row r="53" spans="1:10" x14ac:dyDescent="0.2">
      <c r="A53" t="s">
        <v>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382</v>
      </c>
      <c r="I53">
        <v>11</v>
      </c>
      <c r="J53">
        <v>14.540908746576729</v>
      </c>
    </row>
    <row r="54" spans="1:10" x14ac:dyDescent="0.2">
      <c r="A54" t="s">
        <v>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384</v>
      </c>
      <c r="I54">
        <v>10</v>
      </c>
      <c r="J54">
        <v>13.356192913880911</v>
      </c>
    </row>
    <row r="55" spans="1:10" x14ac:dyDescent="0.2">
      <c r="A55" t="s">
        <v>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381</v>
      </c>
      <c r="I55">
        <v>5</v>
      </c>
      <c r="J55">
        <v>17.0702498636938</v>
      </c>
    </row>
    <row r="56" spans="1:10" x14ac:dyDescent="0.2">
      <c r="A56" t="s">
        <v>179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384</v>
      </c>
      <c r="I56">
        <v>13</v>
      </c>
      <c r="J56">
        <v>1.3275629744540129</v>
      </c>
    </row>
    <row r="57" spans="1:10" x14ac:dyDescent="0.2">
      <c r="A57" t="s">
        <v>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383</v>
      </c>
      <c r="I57">
        <v>10</v>
      </c>
      <c r="J57">
        <v>12.789403074251901</v>
      </c>
    </row>
    <row r="58" spans="1:10" x14ac:dyDescent="0.2">
      <c r="A58" t="s">
        <v>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383</v>
      </c>
      <c r="I58">
        <v>7</v>
      </c>
      <c r="J58">
        <v>15.9543796000304</v>
      </c>
    </row>
    <row r="59" spans="1:10" x14ac:dyDescent="0.2">
      <c r="A59" t="s">
        <v>21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382</v>
      </c>
      <c r="I59">
        <v>9</v>
      </c>
      <c r="J59">
        <v>16.302758515786241</v>
      </c>
    </row>
    <row r="60" spans="1:10" x14ac:dyDescent="0.2">
      <c r="A60" t="s">
        <v>63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384</v>
      </c>
      <c r="I60">
        <v>11</v>
      </c>
      <c r="J60">
        <v>10.27897449131121</v>
      </c>
    </row>
    <row r="61" spans="1:10" x14ac:dyDescent="0.2">
      <c r="A61" t="s">
        <v>15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384</v>
      </c>
      <c r="I61">
        <v>5</v>
      </c>
      <c r="J61">
        <v>19.34915077848537</v>
      </c>
    </row>
    <row r="62" spans="1:10" x14ac:dyDescent="0.2">
      <c r="A62" t="s">
        <v>44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382</v>
      </c>
      <c r="I62">
        <v>8</v>
      </c>
      <c r="J62">
        <v>11.84309439202905</v>
      </c>
    </row>
    <row r="63" spans="1:10" x14ac:dyDescent="0.2">
      <c r="A63" t="s">
        <v>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381</v>
      </c>
      <c r="I63">
        <v>3</v>
      </c>
      <c r="J63">
        <v>12.899059162147511</v>
      </c>
    </row>
    <row r="64" spans="1:10" x14ac:dyDescent="0.2">
      <c r="A64" t="s">
        <v>26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382</v>
      </c>
      <c r="I64">
        <v>5</v>
      </c>
      <c r="J64">
        <v>16.165764580511631</v>
      </c>
    </row>
    <row r="65" spans="1:10" x14ac:dyDescent="0.2">
      <c r="A65" t="s">
        <v>160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381</v>
      </c>
      <c r="I65">
        <v>14</v>
      </c>
      <c r="J65">
        <v>3.093516573216617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Projections</vt:lpstr>
      <vt:lpstr>Record</vt:lpstr>
      <vt:lpstr>Portfolio</vt:lpstr>
      <vt:lpstr>Rankings</vt:lpstr>
      <vt:lpstr>MMSim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Evans</dc:creator>
  <cp:lastModifiedBy>Jack Evans</cp:lastModifiedBy>
  <dcterms:created xsi:type="dcterms:W3CDTF">2026-03-07T16:34:28Z</dcterms:created>
  <dcterms:modified xsi:type="dcterms:W3CDTF">2026-10-24T19:06:15Z</dcterms:modified>
</cp:coreProperties>
</file>