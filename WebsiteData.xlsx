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ACC96171-BDE1-4147-A4AC-21721A12FFF6}" xr6:coauthVersionLast="47" xr6:coauthVersionMax="47" xr10:uidLastSave="{00000000-0000-0000-0000-000000000000}"/>
  <bookViews>
    <workbookView xWindow="0" yWindow="840" windowWidth="17200" windowHeight="20020" activeTab="1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D2" i="4"/>
  <c r="I11" i="4"/>
  <c r="I12" i="4"/>
  <c r="G11" i="4"/>
  <c r="G12" i="4" s="1"/>
  <c r="F12" i="4"/>
  <c r="F11" i="4"/>
  <c r="H12" i="4"/>
  <c r="O12" i="4"/>
  <c r="O11" i="4"/>
  <c r="H11" i="4" s="1"/>
  <c r="L12" i="4"/>
  <c r="L11" i="4"/>
  <c r="I6" i="1"/>
  <c r="H6" i="1"/>
  <c r="K6" i="1" s="1"/>
  <c r="G6" i="1"/>
  <c r="F6" i="1"/>
  <c r="E6" i="1"/>
  <c r="D6" i="1"/>
  <c r="C6" i="1"/>
  <c r="B6" i="1"/>
  <c r="B4" i="1"/>
  <c r="D4" i="1" s="1"/>
  <c r="C4" i="1"/>
  <c r="E4" i="1"/>
  <c r="F4" i="1"/>
  <c r="G4" i="1"/>
  <c r="H4" i="1"/>
  <c r="K4" i="1" s="1"/>
  <c r="I4" i="1"/>
  <c r="B5" i="1"/>
  <c r="D5" i="1" s="1"/>
  <c r="C5" i="1"/>
  <c r="E5" i="1"/>
  <c r="F5" i="1"/>
  <c r="G5" i="1"/>
  <c r="H5" i="1"/>
  <c r="K5" i="1" s="1"/>
  <c r="I5" i="1"/>
  <c r="O10" i="4" l="1"/>
  <c r="L10" i="4"/>
  <c r="F10" i="4"/>
  <c r="F9" i="4"/>
  <c r="H10" i="4" l="1"/>
  <c r="O9" i="4"/>
  <c r="L9" i="4"/>
  <c r="H9" i="4" l="1"/>
  <c r="B3" i="1"/>
  <c r="D3" i="1" s="1"/>
  <c r="C3" i="1"/>
  <c r="F3" i="1"/>
  <c r="O8" i="4" l="1"/>
  <c r="L8" i="4"/>
  <c r="H8" i="4" s="1"/>
  <c r="F8" i="4"/>
  <c r="O7" i="4"/>
  <c r="L7" i="4"/>
  <c r="F7" i="4"/>
  <c r="H7" i="4" l="1"/>
  <c r="B2" i="4" l="1"/>
  <c r="A2" i="4"/>
  <c r="F6" i="4" l="1"/>
  <c r="O6" i="4"/>
  <c r="L6" i="4"/>
  <c r="K3" i="5"/>
  <c r="K4" i="5"/>
  <c r="K5" i="5"/>
  <c r="K2" i="5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E2" i="1" l="1"/>
  <c r="E3" i="1"/>
  <c r="I2" i="1" l="1"/>
  <c r="G2" i="1" l="1"/>
  <c r="G3" i="1"/>
  <c r="I3" i="1"/>
  <c r="H2" i="1"/>
  <c r="K2" i="1" s="1"/>
  <c r="H3" i="1"/>
  <c r="K3" i="1" s="1"/>
  <c r="B2" i="2" l="1"/>
  <c r="B85" i="2"/>
  <c r="B124" i="2"/>
  <c r="B262" i="2"/>
  <c r="B235" i="2"/>
  <c r="B75" i="2"/>
  <c r="B69" i="2"/>
  <c r="B209" i="2"/>
  <c r="B288" i="2"/>
  <c r="B338" i="2"/>
  <c r="B164" i="2"/>
  <c r="B305" i="2"/>
  <c r="B274" i="2"/>
  <c r="B211" i="2"/>
  <c r="B138" i="2"/>
  <c r="B79" i="2"/>
  <c r="B68" i="2"/>
  <c r="B96" i="2"/>
  <c r="B315" i="2"/>
  <c r="B318" i="2"/>
  <c r="B84" i="2"/>
  <c r="B24" i="2"/>
  <c r="B198" i="2"/>
  <c r="B233" i="2"/>
  <c r="B76" i="2"/>
  <c r="B129" i="2"/>
  <c r="B109" i="2"/>
  <c r="B259" i="2"/>
  <c r="B277" i="2"/>
  <c r="B254" i="2"/>
  <c r="B60" i="2"/>
  <c r="B36" i="2"/>
  <c r="B97" i="2"/>
  <c r="B192" i="2"/>
  <c r="B332" i="2"/>
  <c r="B66" i="2"/>
  <c r="B321" i="2"/>
  <c r="B142" i="2"/>
  <c r="B150" i="2"/>
  <c r="B324" i="2"/>
  <c r="B88" i="2"/>
  <c r="B117" i="2"/>
  <c r="B296" i="2"/>
  <c r="B174" i="2"/>
  <c r="B89" i="2"/>
  <c r="B343" i="2"/>
  <c r="B19" i="2"/>
  <c r="B232" i="2"/>
  <c r="B360" i="2"/>
  <c r="B240" i="2"/>
  <c r="B257" i="2"/>
  <c r="B41" i="2"/>
  <c r="B167" i="2"/>
  <c r="B28" i="2"/>
  <c r="B104" i="2"/>
  <c r="B239" i="2"/>
  <c r="B231" i="2"/>
  <c r="B203" i="2"/>
  <c r="B222" i="2"/>
  <c r="B173" i="2"/>
  <c r="B127" i="2"/>
  <c r="B87" i="2"/>
  <c r="B47" i="2"/>
  <c r="B245" i="2"/>
  <c r="B310" i="2"/>
  <c r="B255" i="2"/>
  <c r="B308" i="2"/>
  <c r="B228" i="2"/>
  <c r="B273" i="2"/>
  <c r="B18" i="2"/>
  <c r="B170" i="2"/>
  <c r="B139" i="2"/>
  <c r="B119" i="2"/>
  <c r="B247" i="2"/>
  <c r="B77" i="2"/>
  <c r="B145" i="2"/>
  <c r="B8" i="2"/>
  <c r="B225" i="2"/>
  <c r="B112" i="2"/>
  <c r="B278" i="2"/>
  <c r="B21" i="2"/>
  <c r="B186" i="2"/>
  <c r="B348" i="2"/>
  <c r="B196" i="2"/>
  <c r="B20" i="2"/>
  <c r="B10" i="2"/>
  <c r="B244" i="2"/>
  <c r="B221" i="2"/>
  <c r="B185" i="2"/>
  <c r="B306" i="2"/>
  <c r="B122" i="2"/>
  <c r="B123" i="2"/>
  <c r="B92" i="2"/>
  <c r="B98" i="2"/>
  <c r="B29" i="2"/>
  <c r="B188" i="2"/>
  <c r="B204" i="2"/>
  <c r="B330" i="2"/>
  <c r="B264" i="2"/>
  <c r="B206" i="2"/>
  <c r="B49" i="2"/>
  <c r="B175" i="2"/>
  <c r="B276" i="2"/>
  <c r="B80" i="2"/>
  <c r="B5" i="2"/>
  <c r="B30" i="2"/>
  <c r="B284" i="2"/>
  <c r="B48" i="2"/>
  <c r="B166" i="2"/>
  <c r="B347" i="2"/>
  <c r="B13" i="2"/>
  <c r="B280" i="2"/>
  <c r="B147" i="2"/>
  <c r="B328" i="2"/>
  <c r="B364" i="2"/>
  <c r="B207" i="2"/>
  <c r="B72" i="2"/>
  <c r="B362" i="2"/>
  <c r="B217" i="2"/>
  <c r="B182" i="2"/>
  <c r="B339" i="2"/>
  <c r="B351" i="2"/>
  <c r="B120" i="2"/>
  <c r="B70" i="2"/>
  <c r="B252" i="2"/>
  <c r="B199" i="2"/>
  <c r="B157" i="2"/>
  <c r="B81" i="2"/>
  <c r="B241" i="2"/>
  <c r="B327" i="2"/>
  <c r="B194" i="2"/>
  <c r="B165" i="2"/>
  <c r="B300" i="2"/>
  <c r="B45" i="2"/>
  <c r="B243" i="2"/>
  <c r="B95" i="2"/>
  <c r="B325" i="2"/>
  <c r="B179" i="2"/>
  <c r="B51" i="2"/>
  <c r="B337" i="2"/>
  <c r="B294" i="2"/>
  <c r="B331" i="2"/>
  <c r="B205" i="2"/>
  <c r="B335" i="2"/>
  <c r="B135" i="2"/>
  <c r="B54" i="2"/>
  <c r="B3" i="2"/>
  <c r="B108" i="2"/>
  <c r="B361" i="2"/>
  <c r="B44" i="2"/>
  <c r="B248" i="2"/>
  <c r="B131" i="2"/>
  <c r="B201" i="2"/>
  <c r="B249" i="2"/>
  <c r="B35" i="2"/>
  <c r="B27" i="2"/>
  <c r="B33" i="2"/>
  <c r="B323" i="2"/>
  <c r="B344" i="2"/>
  <c r="B15" i="2"/>
  <c r="B17" i="2"/>
  <c r="B6" i="2"/>
  <c r="B115" i="2"/>
  <c r="B366" i="2"/>
  <c r="B23" i="2"/>
  <c r="B110" i="2"/>
  <c r="B38" i="2"/>
  <c r="B234" i="2"/>
  <c r="B286" i="2"/>
  <c r="B270" i="2"/>
  <c r="B103" i="2"/>
  <c r="B74" i="2"/>
  <c r="B340" i="2"/>
  <c r="B53" i="2"/>
  <c r="B329" i="2"/>
  <c r="B334" i="2"/>
  <c r="B336" i="2"/>
  <c r="B260" i="2"/>
  <c r="B93" i="2"/>
  <c r="B43" i="2"/>
  <c r="B56" i="2"/>
  <c r="B281" i="2"/>
  <c r="B304" i="2"/>
  <c r="B236" i="2"/>
  <c r="B176" i="2"/>
  <c r="B148" i="2"/>
  <c r="B94" i="2"/>
  <c r="B151" i="2"/>
  <c r="B346" i="2"/>
  <c r="B133" i="2"/>
  <c r="B302" i="2"/>
  <c r="B218" i="2"/>
  <c r="B31" i="2"/>
  <c r="B293" i="2"/>
  <c r="B126" i="2"/>
  <c r="B357" i="2"/>
  <c r="B73" i="2"/>
  <c r="B345" i="2"/>
  <c r="B341" i="2"/>
  <c r="B230" i="2"/>
  <c r="B99" i="2"/>
  <c r="B215" i="2"/>
  <c r="B114" i="2"/>
  <c r="B153" i="2"/>
  <c r="B172" i="2"/>
  <c r="B183" i="2"/>
  <c r="B226" i="2"/>
  <c r="B187" i="2"/>
  <c r="B132" i="2"/>
  <c r="B353" i="2"/>
  <c r="B303" i="2"/>
  <c r="B137" i="2"/>
  <c r="B130" i="2"/>
  <c r="B100" i="2"/>
  <c r="B39" i="2"/>
  <c r="B358" i="2"/>
  <c r="B32" i="2"/>
  <c r="B25" i="2"/>
  <c r="B46" i="2"/>
  <c r="B267" i="2"/>
  <c r="B140" i="2"/>
  <c r="B191" i="2"/>
  <c r="B238" i="2"/>
  <c r="B34" i="2"/>
  <c r="B22" i="2"/>
  <c r="B125" i="2"/>
  <c r="B154" i="2"/>
  <c r="B237" i="2"/>
  <c r="B65" i="2"/>
  <c r="B111" i="2"/>
  <c r="B141" i="2"/>
  <c r="B144" i="2"/>
  <c r="B9" i="2"/>
  <c r="B311" i="2"/>
  <c r="B292" i="2"/>
  <c r="B223" i="2"/>
  <c r="B189" i="2"/>
  <c r="B121" i="2"/>
  <c r="B263" i="2"/>
  <c r="B316" i="2"/>
  <c r="B295" i="2"/>
  <c r="B91" i="2"/>
  <c r="B162" i="2"/>
  <c r="B246" i="2"/>
  <c r="B365" i="2"/>
  <c r="B158" i="2"/>
  <c r="B102" i="2"/>
  <c r="B101" i="2"/>
  <c r="B136" i="2"/>
  <c r="B7" i="2"/>
  <c r="B58" i="2"/>
  <c r="B40" i="2"/>
  <c r="B193" i="2"/>
  <c r="B268" i="2"/>
  <c r="B220" i="2"/>
  <c r="B349" i="2"/>
  <c r="B256" i="2"/>
  <c r="B169" i="2"/>
  <c r="B62" i="2"/>
  <c r="B301" i="2"/>
  <c r="B26" i="2"/>
  <c r="B107" i="2"/>
  <c r="B195" i="2"/>
  <c r="B291" i="2"/>
  <c r="B156" i="2"/>
  <c r="B197" i="2"/>
  <c r="B184" i="2"/>
  <c r="B272" i="2"/>
  <c r="B4" i="2"/>
  <c r="B200" i="2"/>
  <c r="B105" i="2"/>
  <c r="B290" i="2"/>
  <c r="B61" i="2"/>
  <c r="B269" i="2"/>
  <c r="B208" i="2"/>
  <c r="B149" i="2"/>
  <c r="B356" i="2"/>
  <c r="B50" i="2"/>
  <c r="B177" i="2"/>
  <c r="B299" i="2"/>
  <c r="B178" i="2"/>
  <c r="B219" i="2"/>
  <c r="B350" i="2"/>
  <c r="B134" i="2"/>
  <c r="B314" i="2"/>
  <c r="B242" i="2"/>
  <c r="B355" i="2"/>
  <c r="B171" i="2"/>
  <c r="B271" i="2"/>
  <c r="B258" i="2"/>
  <c r="B37" i="2"/>
  <c r="B146" i="2"/>
  <c r="B287" i="2"/>
  <c r="B279" i="2"/>
  <c r="B64" i="2"/>
  <c r="B128" i="2"/>
  <c r="B313" i="2"/>
  <c r="B283" i="2"/>
  <c r="B67" i="2"/>
  <c r="B298" i="2"/>
  <c r="B354" i="2"/>
  <c r="B213" i="2"/>
  <c r="B251" i="2"/>
  <c r="B216" i="2"/>
  <c r="B202" i="2"/>
  <c r="B253" i="2"/>
  <c r="B212" i="2"/>
  <c r="B227" i="2"/>
  <c r="B63" i="2"/>
  <c r="B224" i="2"/>
  <c r="B282" i="2"/>
  <c r="B352" i="2"/>
  <c r="B168" i="2"/>
  <c r="B57" i="2"/>
  <c r="B181" i="2"/>
  <c r="B159" i="2"/>
  <c r="B229" i="2"/>
  <c r="B317" i="2"/>
  <c r="B152" i="2"/>
  <c r="B14" i="2"/>
  <c r="B342" i="2"/>
  <c r="B59" i="2"/>
  <c r="B309" i="2"/>
  <c r="B210" i="2"/>
  <c r="B155" i="2"/>
  <c r="B285" i="2"/>
  <c r="B190" i="2"/>
  <c r="B143" i="2"/>
  <c r="B55" i="2"/>
  <c r="B16" i="2"/>
  <c r="B180" i="2"/>
  <c r="B312" i="2"/>
  <c r="B71" i="2"/>
  <c r="B160" i="2"/>
  <c r="B289" i="2"/>
  <c r="B11" i="2"/>
  <c r="B266" i="2"/>
  <c r="B163" i="2"/>
  <c r="B12" i="2"/>
  <c r="B265" i="2"/>
  <c r="B52" i="2"/>
  <c r="B214" i="2"/>
  <c r="B161" i="2"/>
  <c r="B113" i="2"/>
  <c r="B363" i="2"/>
  <c r="B261" i="2"/>
  <c r="B86" i="2"/>
  <c r="B78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C363" i="2" l="1"/>
  <c r="C59" i="2"/>
  <c r="C275" i="2"/>
  <c r="C163" i="2"/>
  <c r="C16" i="2"/>
  <c r="C333" i="2"/>
  <c r="C113" i="2"/>
  <c r="C11" i="2"/>
  <c r="C143" i="2"/>
  <c r="C14" i="2"/>
  <c r="C352" i="2"/>
  <c r="C216" i="2"/>
  <c r="C128" i="2"/>
  <c r="C171" i="2"/>
  <c r="C299" i="2"/>
  <c r="C290" i="2"/>
  <c r="C291" i="2"/>
  <c r="C349" i="2"/>
  <c r="C101" i="2"/>
  <c r="C316" i="2"/>
  <c r="C144" i="2"/>
  <c r="C34" i="2"/>
  <c r="C358" i="2"/>
  <c r="C187" i="2"/>
  <c r="C230" i="2"/>
  <c r="C218" i="2"/>
  <c r="C236" i="2"/>
  <c r="C334" i="2"/>
  <c r="C234" i="2"/>
  <c r="C15" i="2"/>
  <c r="C131" i="2"/>
  <c r="C335" i="2"/>
  <c r="C95" i="2"/>
  <c r="C81" i="2"/>
  <c r="C182" i="2"/>
  <c r="C280" i="2"/>
  <c r="C80" i="2"/>
  <c r="C188" i="2"/>
  <c r="C221" i="2"/>
  <c r="C278" i="2"/>
  <c r="C139" i="2"/>
  <c r="C245" i="2"/>
  <c r="C239" i="2"/>
  <c r="C232" i="2"/>
  <c r="C324" i="2"/>
  <c r="C36" i="2"/>
  <c r="C233" i="2"/>
  <c r="C79" i="2"/>
  <c r="C209" i="2"/>
  <c r="C261" i="2"/>
  <c r="C253" i="2"/>
  <c r="C269" i="2"/>
  <c r="C311" i="2"/>
  <c r="C215" i="2"/>
  <c r="C82" i="2"/>
  <c r="C250" i="2"/>
  <c r="C90" i="2"/>
  <c r="C251" i="2"/>
  <c r="C177" i="2"/>
  <c r="C105" i="2"/>
  <c r="C195" i="2"/>
  <c r="C220" i="2"/>
  <c r="C102" i="2"/>
  <c r="C263" i="2"/>
  <c r="C141" i="2"/>
  <c r="C238" i="2"/>
  <c r="C39" i="2"/>
  <c r="C226" i="2"/>
  <c r="C341" i="2"/>
  <c r="C302" i="2"/>
  <c r="C304" i="2"/>
  <c r="C329" i="2"/>
  <c r="C38" i="2"/>
  <c r="C344" i="2"/>
  <c r="C248" i="2"/>
  <c r="C205" i="2"/>
  <c r="C243" i="2"/>
  <c r="C157" i="2"/>
  <c r="C217" i="2"/>
  <c r="C13" i="2"/>
  <c r="C276" i="2"/>
  <c r="C29" i="2"/>
  <c r="C244" i="2"/>
  <c r="C112" i="2"/>
  <c r="C170" i="2"/>
  <c r="C47" i="2"/>
  <c r="C104" i="2"/>
  <c r="C19" i="2"/>
  <c r="C150" i="2"/>
  <c r="C60" i="2"/>
  <c r="C198" i="2"/>
  <c r="C138" i="2"/>
  <c r="C69" i="2"/>
  <c r="C160" i="2"/>
  <c r="C191" i="2"/>
  <c r="C100" i="2"/>
  <c r="C183" i="2"/>
  <c r="C345" i="2"/>
  <c r="C133" i="2"/>
  <c r="C281" i="2"/>
  <c r="C53" i="2"/>
  <c r="C110" i="2"/>
  <c r="C323" i="2"/>
  <c r="C44" i="2"/>
  <c r="C331" i="2"/>
  <c r="C45" i="2"/>
  <c r="C199" i="2"/>
  <c r="C362" i="2"/>
  <c r="C347" i="2"/>
  <c r="C175" i="2"/>
  <c r="C98" i="2"/>
  <c r="C10" i="2"/>
  <c r="C225" i="2"/>
  <c r="C18" i="2"/>
  <c r="C87" i="2"/>
  <c r="C28" i="2"/>
  <c r="C343" i="2"/>
  <c r="C142" i="2"/>
  <c r="C254" i="2"/>
  <c r="C24" i="2"/>
  <c r="C211" i="2"/>
  <c r="C75" i="2"/>
  <c r="C190" i="2"/>
  <c r="C152" i="2"/>
  <c r="C116" i="2"/>
  <c r="C359" i="2"/>
  <c r="C52" i="2"/>
  <c r="C71" i="2"/>
  <c r="C155" i="2"/>
  <c r="C229" i="2"/>
  <c r="C63" i="2"/>
  <c r="C354" i="2"/>
  <c r="C287" i="2"/>
  <c r="C314" i="2"/>
  <c r="C356" i="2"/>
  <c r="C4" i="2"/>
  <c r="C26" i="2"/>
  <c r="C193" i="2"/>
  <c r="C365" i="2"/>
  <c r="C189" i="2"/>
  <c r="C65" i="2"/>
  <c r="C140" i="2"/>
  <c r="C130" i="2"/>
  <c r="C172" i="2"/>
  <c r="C73" i="2"/>
  <c r="C346" i="2"/>
  <c r="C56" i="2"/>
  <c r="C340" i="2"/>
  <c r="C23" i="2"/>
  <c r="C33" i="2"/>
  <c r="C361" i="2"/>
  <c r="C294" i="2"/>
  <c r="C300" i="2"/>
  <c r="C252" i="2"/>
  <c r="C72" i="2"/>
  <c r="C166" i="2"/>
  <c r="C49" i="2"/>
  <c r="C92" i="2"/>
  <c r="C20" i="2"/>
  <c r="C8" i="2"/>
  <c r="C273" i="2"/>
  <c r="C127" i="2"/>
  <c r="C167" i="2"/>
  <c r="C89" i="2"/>
  <c r="C321" i="2"/>
  <c r="C277" i="2"/>
  <c r="C84" i="2"/>
  <c r="C274" i="2"/>
  <c r="C235" i="2"/>
  <c r="C326" i="2"/>
  <c r="C197" i="2"/>
  <c r="C91" i="2"/>
  <c r="C353" i="2"/>
  <c r="C289" i="2"/>
  <c r="C355" i="2"/>
  <c r="C297" i="2"/>
  <c r="C285" i="2"/>
  <c r="C224" i="2"/>
  <c r="C279" i="2"/>
  <c r="C268" i="2"/>
  <c r="C158" i="2"/>
  <c r="C121" i="2"/>
  <c r="C319" i="2"/>
  <c r="C40" i="2"/>
  <c r="C246" i="2"/>
  <c r="C223" i="2"/>
  <c r="C237" i="2"/>
  <c r="C267" i="2"/>
  <c r="C137" i="2"/>
  <c r="C153" i="2"/>
  <c r="C357" i="2"/>
  <c r="C151" i="2"/>
  <c r="C43" i="2"/>
  <c r="C74" i="2"/>
  <c r="C366" i="2"/>
  <c r="C27" i="2"/>
  <c r="C108" i="2"/>
  <c r="C337" i="2"/>
  <c r="C165" i="2"/>
  <c r="C70" i="2"/>
  <c r="C207" i="2"/>
  <c r="C48" i="2"/>
  <c r="C206" i="2"/>
  <c r="C123" i="2"/>
  <c r="C196" i="2"/>
  <c r="C145" i="2"/>
  <c r="C228" i="2"/>
  <c r="C173" i="2"/>
  <c r="C41" i="2"/>
  <c r="C174" i="2"/>
  <c r="C66" i="2"/>
  <c r="C259" i="2"/>
  <c r="C318" i="2"/>
  <c r="C305" i="2"/>
  <c r="C262" i="2"/>
  <c r="C161" i="2"/>
  <c r="C282" i="2"/>
  <c r="C64" i="2"/>
  <c r="C307" i="2"/>
  <c r="C214" i="2"/>
  <c r="C317" i="2"/>
  <c r="C213" i="2"/>
  <c r="C242" i="2"/>
  <c r="C50" i="2"/>
  <c r="C200" i="2"/>
  <c r="C107" i="2"/>
  <c r="C111" i="2"/>
  <c r="C118" i="2"/>
  <c r="C322" i="2"/>
  <c r="C78" i="2"/>
  <c r="C265" i="2"/>
  <c r="C312" i="2"/>
  <c r="C210" i="2"/>
  <c r="C159" i="2"/>
  <c r="C227" i="2"/>
  <c r="C298" i="2"/>
  <c r="C146" i="2"/>
  <c r="C134" i="2"/>
  <c r="C149" i="2"/>
  <c r="C272" i="2"/>
  <c r="C301" i="2"/>
  <c r="C42" i="2"/>
  <c r="C106" i="2"/>
  <c r="C86" i="2"/>
  <c r="C12" i="2"/>
  <c r="C180" i="2"/>
  <c r="C309" i="2"/>
  <c r="C181" i="2"/>
  <c r="C212" i="2"/>
  <c r="C67" i="2"/>
  <c r="C37" i="2"/>
  <c r="C350" i="2"/>
  <c r="C208" i="2"/>
  <c r="C184" i="2"/>
  <c r="C62" i="2"/>
  <c r="C58" i="2"/>
  <c r="C162" i="2"/>
  <c r="C292" i="2"/>
  <c r="C154" i="2"/>
  <c r="C46" i="2"/>
  <c r="C303" i="2"/>
  <c r="C114" i="2"/>
  <c r="C126" i="2"/>
  <c r="C94" i="2"/>
  <c r="C93" i="2"/>
  <c r="C103" i="2"/>
  <c r="C115" i="2"/>
  <c r="C35" i="2"/>
  <c r="C3" i="2"/>
  <c r="C51" i="2"/>
  <c r="C194" i="2"/>
  <c r="C120" i="2"/>
  <c r="C364" i="2"/>
  <c r="C284" i="2"/>
  <c r="C264" i="2"/>
  <c r="C122" i="2"/>
  <c r="C348" i="2"/>
  <c r="C77" i="2"/>
  <c r="C308" i="2"/>
  <c r="C222" i="2"/>
  <c r="C257" i="2"/>
  <c r="C296" i="2"/>
  <c r="C332" i="2"/>
  <c r="C109" i="2"/>
  <c r="C315" i="2"/>
  <c r="C164" i="2"/>
  <c r="C124" i="2"/>
  <c r="C57" i="2"/>
  <c r="C283" i="2"/>
  <c r="C258" i="2"/>
  <c r="C219" i="2"/>
  <c r="C169" i="2"/>
  <c r="C125" i="2"/>
  <c r="C25" i="2"/>
  <c r="C293" i="2"/>
  <c r="C148" i="2"/>
  <c r="C260" i="2"/>
  <c r="C270" i="2"/>
  <c r="C6" i="2"/>
  <c r="C249" i="2"/>
  <c r="C54" i="2"/>
  <c r="C179" i="2"/>
  <c r="C327" i="2"/>
  <c r="C351" i="2"/>
  <c r="C328" i="2"/>
  <c r="C30" i="2"/>
  <c r="C330" i="2"/>
  <c r="C306" i="2"/>
  <c r="C186" i="2"/>
  <c r="C247" i="2"/>
  <c r="C255" i="2"/>
  <c r="C203" i="2"/>
  <c r="C240" i="2"/>
  <c r="C117" i="2"/>
  <c r="C192" i="2"/>
  <c r="C129" i="2"/>
  <c r="C96" i="2"/>
  <c r="C338" i="2"/>
  <c r="C85" i="2"/>
  <c r="C7" i="2"/>
  <c r="C320" i="2"/>
  <c r="C83" i="2"/>
  <c r="C266" i="2"/>
  <c r="C55" i="2"/>
  <c r="C342" i="2"/>
  <c r="C168" i="2"/>
  <c r="C202" i="2"/>
  <c r="C313" i="2"/>
  <c r="C271" i="2"/>
  <c r="C178" i="2"/>
  <c r="C61" i="2"/>
  <c r="C156" i="2"/>
  <c r="C256" i="2"/>
  <c r="C136" i="2"/>
  <c r="C295" i="2"/>
  <c r="C9" i="2"/>
  <c r="C22" i="2"/>
  <c r="C32" i="2"/>
  <c r="C132" i="2"/>
  <c r="C99" i="2"/>
  <c r="C31" i="2"/>
  <c r="C176" i="2"/>
  <c r="C336" i="2"/>
  <c r="C286" i="2"/>
  <c r="C17" i="2"/>
  <c r="C201" i="2"/>
  <c r="C135" i="2"/>
  <c r="C325" i="2"/>
  <c r="C241" i="2"/>
  <c r="C339" i="2"/>
  <c r="C147" i="2"/>
  <c r="C5" i="2"/>
  <c r="C204" i="2"/>
  <c r="C185" i="2"/>
  <c r="C21" i="2"/>
  <c r="C119" i="2"/>
  <c r="C310" i="2"/>
  <c r="C231" i="2"/>
  <c r="C360" i="2"/>
  <c r="C88" i="2"/>
  <c r="C97" i="2"/>
  <c r="C76" i="2"/>
  <c r="C68" i="2"/>
  <c r="C288" i="2"/>
  <c r="C2" i="2"/>
</calcChain>
</file>

<file path=xl/sharedStrings.xml><?xml version="1.0" encoding="utf-8"?>
<sst xmlns="http://schemas.openxmlformats.org/spreadsheetml/2006/main" count="604" uniqueCount="440">
  <si>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</si>
  <si>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</si>
  <si>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</si>
  <si>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</si>
  <si>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</si>
  <si>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</si>
  <si>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</si>
  <si>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</si>
  <si>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</si>
  <si>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</si>
  <si>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</si>
  <si>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</si>
  <si>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</si>
  <si>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</si>
  <si>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</si>
  <si>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</si>
  <si>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</si>
  <si>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</si>
  <si>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</si>
  <si>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</si>
  <si>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</si>
  <si>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</si>
  <si>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</si>
  <si>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</si>
  <si>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</si>
  <si>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</si>
  <si>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</si>
  <si>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</si>
  <si>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</si>
  <si>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</si>
  <si>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</si>
  <si>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</si>
  <si>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</si>
  <si>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</si>
  <si>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</si>
  <si>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</si>
  <si>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</si>
  <si>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</si>
  <si>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</si>
  <si>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</si>
  <si>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</si>
  <si>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</si>
  <si>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</si>
  <si>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</si>
  <si>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</si>
  <si>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</si>
  <si>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</si>
  <si>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</si>
  <si>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</si>
  <si>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</si>
  <si>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</si>
  <si>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</si>
  <si>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</si>
  <si>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</si>
  <si>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</si>
  <si>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</si>
  <si>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</si>
  <si>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</si>
  <si>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</si>
  <si>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</si>
  <si>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</si>
  <si>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</si>
  <si>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</si>
  <si>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</si>
  <si>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</si>
  <si>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</si>
  <si>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</si>
  <si>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</si>
  <si>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</si>
  <si>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</si>
  <si>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</si>
  <si>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</si>
  <si>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</si>
  <si>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</si>
  <si>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</si>
  <si>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</si>
  <si>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</si>
  <si>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</si>
  <si>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</si>
  <si>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</si>
  <si>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</si>
  <si>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</si>
  <si>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</si>
  <si>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</si>
  <si>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</si>
  <si>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</si>
  <si>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</si>
  <si>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</si>
  <si>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</si>
  <si>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</si>
  <si>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</si>
  <si>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</si>
  <si>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</si>
  <si>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</si>
  <si>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</si>
  <si>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</si>
  <si>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</si>
  <si>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</si>
  <si>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</si>
  <si>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</si>
  <si>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</si>
  <si>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</si>
  <si>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</si>
  <si>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</si>
  <si>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</si>
  <si>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</si>
  <si>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</si>
  <si>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</si>
  <si>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</si>
  <si>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</si>
  <si>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</si>
  <si>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</si>
  <si>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</si>
  <si>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</si>
  <si>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</si>
  <si>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</si>
  <si>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</si>
  <si>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</si>
  <si>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</si>
  <si>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</si>
  <si>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</si>
  <si>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</si>
  <si>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</si>
  <si>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</si>
  <si>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</si>
  <si>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</si>
  <si>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</si>
  <si>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</si>
  <si>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</si>
  <si>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</si>
  <si>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</si>
  <si>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</si>
  <si>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</si>
  <si>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</si>
  <si>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</si>
  <si>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</si>
  <si>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</si>
  <si>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</si>
  <si>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</si>
  <si>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</si>
  <si>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</si>
  <si>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</si>
  <si>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</si>
  <si>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</si>
  <si>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</si>
  <si>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</si>
  <si>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</si>
  <si>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</si>
  <si>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</si>
  <si>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</si>
  <si>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</si>
  <si>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</si>
  <si>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</si>
  <si>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</si>
  <si>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</si>
  <si>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</si>
  <si>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</si>
  <si>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</si>
  <si>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</si>
  <si>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</si>
  <si>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</si>
  <si>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</si>
  <si>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</si>
  <si>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</si>
  <si>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</si>
  <si>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</si>
  <si>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</si>
  <si>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</si>
  <si>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</si>
  <si>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</si>
  <si>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</si>
  <si>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</si>
  <si>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</si>
  <si>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</si>
  <si>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</si>
  <si>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</si>
  <si>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</si>
  <si>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</si>
  <si>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</si>
  <si>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</si>
  <si>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</si>
  <si>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</si>
  <si>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</si>
  <si>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</si>
  <si>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</si>
  <si>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</si>
  <si>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</si>
  <si>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</si>
  <si>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</si>
  <si>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</si>
  <si>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</si>
  <si>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</si>
  <si>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</si>
  <si>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</si>
  <si>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</si>
  <si>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</si>
  <si>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</si>
  <si>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</si>
  <si>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</si>
  <si>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</si>
  <si>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</si>
  <si>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</si>
  <si>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</si>
  <si>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</si>
  <si>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</si>
  <si>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</si>
  <si>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</si>
  <si>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</si>
  <si>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</si>
  <si>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</si>
  <si>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</si>
  <si>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</si>
  <si>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</si>
  <si>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</si>
  <si>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</si>
  <si>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</si>
  <si>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</si>
  <si>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</si>
  <si>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</si>
  <si>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</si>
  <si>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</si>
  <si>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</si>
  <si>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</si>
  <si>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</si>
  <si>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</si>
  <si>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</si>
  <si>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</si>
  <si>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</si>
  <si>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</si>
  <si>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</si>
  <si>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</si>
  <si>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</si>
  <si>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</si>
  <si>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</si>
  <si>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</si>
  <si>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</si>
  <si>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</si>
  <si>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</si>
  <si>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</si>
  <si>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</si>
  <si>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</si>
  <si>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</si>
  <si>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</si>
  <si>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</si>
  <si>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</si>
  <si>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</si>
  <si>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</si>
  <si>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</si>
  <si>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</si>
  <si>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</si>
  <si>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</si>
  <si>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</si>
  <si>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</si>
  <si>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</si>
  <si>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</si>
  <si>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</si>
  <si>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</si>
  <si>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</si>
  <si>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</si>
  <si>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</si>
  <si>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</si>
  <si>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</si>
  <si>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</si>
  <si>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</si>
  <si>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</si>
  <si>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</si>
  <si>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</si>
  <si>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</si>
  <si>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</si>
  <si>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</si>
  <si>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</si>
  <si>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</si>
  <si>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</si>
  <si>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</si>
  <si>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</si>
  <si>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</si>
  <si>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</si>
  <si>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</si>
  <si>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</si>
  <si>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</si>
  <si>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</si>
  <si>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</si>
  <si>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</si>
  <si>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</si>
  <si>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</si>
  <si>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</si>
  <si>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</si>
  <si>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</si>
  <si>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</si>
  <si>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</si>
  <si>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</si>
  <si>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</si>
  <si>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</si>
  <si>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</si>
  <si>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</si>
  <si>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</si>
  <si>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</si>
  <si>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</si>
  <si>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</si>
  <si>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</si>
  <si>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</si>
  <si>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</si>
  <si>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</si>
  <si>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</si>
  <si>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</si>
  <si>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</si>
  <si>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</si>
  <si>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</si>
  <si>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</si>
  <si>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</si>
  <si>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</si>
  <si>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</si>
  <si>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</si>
  <si>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</si>
  <si>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</si>
  <si>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</si>
  <si>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</si>
  <si>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</si>
  <si>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</si>
  <si>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</si>
  <si>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</si>
  <si>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</si>
  <si>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</si>
  <si>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</si>
  <si>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</si>
  <si>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</si>
  <si>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</si>
  <si>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</si>
  <si>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</si>
  <si>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</si>
  <si>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</si>
  <si>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</si>
  <si>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</si>
  <si>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</si>
  <si>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</si>
  <si>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</si>
  <si>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</si>
  <si>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</si>
  <si>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</si>
  <si>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</si>
  <si>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</si>
  <si>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</si>
  <si>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</si>
  <si>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</si>
  <si>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</si>
  <si>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</si>
  <si>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</si>
  <si>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</si>
  <si>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</si>
  <si>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</si>
  <si>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</si>
  <si>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</si>
  <si>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</si>
  <si>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</si>
  <si>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</si>
  <si>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</si>
  <si>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</si>
  <si>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</si>
  <si>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</si>
  <si>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</si>
  <si>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</si>
  <si>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</si>
  <si>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</si>
  <si>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</si>
  <si>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</si>
  <si>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</si>
  <si>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</si>
  <si>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</si>
  <si>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</si>
  <si>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</si>
  <si>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</si>
  <si>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</si>
  <si>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</si>
  <si>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</si>
  <si>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</si>
  <si>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</si>
  <si>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</si>
  <si>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</si>
  <si>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</si>
  <si>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</si>
  <si>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</si>
  <si>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</si>
  <si>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</si>
  <si>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</si>
  <si>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</si>
  <si>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</si>
  <si>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</si>
  <si>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</si>
  <si>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</si>
  <si>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</si>
  <si>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</si>
  <si>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</si>
  <si>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</si>
  <si>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Yes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</si>
  <si>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</si>
  <si>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</si>
  <si>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</si>
  <si>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</si>
  <si>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</si>
  <si>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</si>
  <si>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</si>
  <si>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</si>
  <si>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</si>
  <si>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</si>
  <si>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</si>
  <si>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</si>
  <si>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</si>
  <si>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</si>
  <si>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</si>
  <si>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</si>
  <si>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</si>
  <si>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</si>
  <si>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</si>
  <si>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</si>
  <si>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</si>
  <si>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</si>
  <si>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</si>
  <si>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</si>
  <si>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</si>
  <si>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</si>
  <si>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</si>
  <si>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</si>
  <si>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</si>
  <si>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</si>
  <si>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</si>
  <si>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East Tennessee Staet</t>
  </si>
  <si>
    <t>03/09/2026</t>
  </si>
  <si>
    <t>03/10/2026</t>
  </si>
  <si>
    <t>No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</si>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</sst>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Saint Louis</v>
          </cell>
          <cell r="D2" t="str">
            <v>George Washington</v>
          </cell>
          <cell r="E2">
            <v>9.080576665070037</v>
          </cell>
          <cell r="F2" t="b">
            <v>0</v>
          </cell>
          <cell r="G2">
            <v>0.5640659417266557</v>
          </cell>
          <cell r="H2">
            <v>0</v>
          </cell>
          <cell r="I2">
            <v>7.6853161478160903E-2</v>
          </cell>
          <cell r="J2">
            <v>0.43635340476219991</v>
          </cell>
          <cell r="K2">
            <v>0</v>
          </cell>
        </row>
        <row r="3">
          <cell r="B3">
            <v>2</v>
          </cell>
          <cell r="C3" t="str">
            <v>Dayton</v>
          </cell>
          <cell r="D3" t="str">
            <v>St. Bonaventure</v>
          </cell>
          <cell r="E3">
            <v>7.9192002583351826</v>
          </cell>
          <cell r="F3" t="b">
            <v>0</v>
          </cell>
          <cell r="G3">
            <v>0.52290663918076241</v>
          </cell>
          <cell r="H3">
            <v>0</v>
          </cell>
          <cell r="I3">
            <v>-1.7236888367262451E-3</v>
          </cell>
          <cell r="J3">
            <v>0.30660460921342519</v>
          </cell>
          <cell r="K3">
            <v>0</v>
          </cell>
        </row>
        <row r="4">
          <cell r="B4">
            <v>3</v>
          </cell>
          <cell r="C4" t="str">
            <v>VCU</v>
          </cell>
          <cell r="D4" t="str">
            <v>Duquesne</v>
          </cell>
          <cell r="E4">
            <v>11.166254009998839</v>
          </cell>
          <cell r="F4" t="b">
            <v>0</v>
          </cell>
          <cell r="G4">
            <v>0.55369703862163899</v>
          </cell>
          <cell r="H4">
            <v>0</v>
          </cell>
          <cell r="I4">
            <v>5.7057982823129023E-2</v>
          </cell>
          <cell r="J4">
            <v>0.47475370428699282</v>
          </cell>
          <cell r="K4">
            <v>0</v>
          </cell>
        </row>
        <row r="5">
          <cell r="B5">
            <v>4</v>
          </cell>
          <cell r="C5" t="str">
            <v>St. Joseph's</v>
          </cell>
          <cell r="D5" t="str">
            <v>Davidson</v>
          </cell>
          <cell r="E5">
            <v>2.3348354999878551</v>
          </cell>
          <cell r="F5" t="b">
            <v>0</v>
          </cell>
          <cell r="G5">
            <v>0.5083481430230703</v>
          </cell>
          <cell r="H5">
            <v>0</v>
          </cell>
          <cell r="I5">
            <v>-2.951718150141119E-2</v>
          </cell>
          <cell r="J5">
            <v>9.4943574987289003E-2</v>
          </cell>
          <cell r="K5">
            <v>0</v>
          </cell>
        </row>
        <row r="6">
          <cell r="B6">
            <v>5</v>
          </cell>
          <cell r="C6" t="str">
            <v>Michigan</v>
          </cell>
          <cell r="D6" t="str">
            <v>Ohio State</v>
          </cell>
          <cell r="E6">
            <v>15.733446528497479</v>
          </cell>
          <cell r="F6" t="b">
            <v>0</v>
          </cell>
          <cell r="G6">
            <v>0.57281242840487234</v>
          </cell>
          <cell r="H6">
            <v>0</v>
          </cell>
          <cell r="I6">
            <v>9.3550999682029068E-2</v>
          </cell>
          <cell r="J6">
            <v>0.63043332049671086</v>
          </cell>
          <cell r="K6">
            <v>0</v>
          </cell>
        </row>
        <row r="7">
          <cell r="B7">
            <v>6</v>
          </cell>
          <cell r="C7" t="str">
            <v>Illinois</v>
          </cell>
          <cell r="D7" t="str">
            <v>Wisconsin</v>
          </cell>
          <cell r="E7">
            <v>9.7378847084676998</v>
          </cell>
          <cell r="F7" t="b">
            <v>0</v>
          </cell>
          <cell r="G7">
            <v>0.53083451979601748</v>
          </cell>
          <cell r="H7">
            <v>0</v>
          </cell>
          <cell r="I7">
            <v>1.341135597421522E-2</v>
          </cell>
          <cell r="J7">
            <v>0.38100338281320911</v>
          </cell>
          <cell r="K7">
            <v>0</v>
          </cell>
        </row>
        <row r="8">
          <cell r="B8">
            <v>7</v>
          </cell>
          <cell r="C8" t="str">
            <v>Nebraska</v>
          </cell>
          <cell r="D8" t="str">
            <v>Purdue</v>
          </cell>
          <cell r="E8">
            <v>-1.745415723067971</v>
          </cell>
          <cell r="F8" t="b">
            <v>0</v>
          </cell>
          <cell r="G8">
            <v>0.55603007828005568</v>
          </cell>
          <cell r="H8">
            <v>0</v>
          </cell>
          <cell r="I8">
            <v>6.1511967625560882E-2</v>
          </cell>
          <cell r="J8">
            <v>7.8423778572120351E-2</v>
          </cell>
          <cell r="K8">
            <v>0</v>
          </cell>
        </row>
        <row r="9">
          <cell r="B9">
            <v>8</v>
          </cell>
          <cell r="C9" t="str">
            <v>Michigan State</v>
          </cell>
          <cell r="D9" t="str">
            <v>UCLA</v>
          </cell>
          <cell r="E9">
            <v>8.9865996557423422</v>
          </cell>
          <cell r="F9" t="b">
            <v>0</v>
          </cell>
          <cell r="G9">
            <v>0.57403736160412411</v>
          </cell>
          <cell r="H9">
            <v>0</v>
          </cell>
          <cell r="I9">
            <v>9.5889508516964206E-2</v>
          </cell>
          <cell r="J9">
            <v>0.45590198770220008</v>
          </cell>
          <cell r="K9">
            <v>0</v>
          </cell>
        </row>
        <row r="10">
          <cell r="B10">
            <v>9</v>
          </cell>
          <cell r="C10" t="str">
            <v>Louisiana Tech</v>
          </cell>
          <cell r="D10" t="str">
            <v>Missouri State</v>
          </cell>
          <cell r="E10">
            <v>3.1501192436748431</v>
          </cell>
          <cell r="F10" t="b">
            <v>0</v>
          </cell>
          <cell r="G10">
            <v>0.54107107560517276</v>
          </cell>
          <cell r="H10">
            <v>0</v>
          </cell>
          <cell r="I10">
            <v>3.2953871609875278E-2</v>
          </cell>
          <cell r="J10">
            <v>0.19903920029703731</v>
          </cell>
          <cell r="K10">
            <v>0</v>
          </cell>
        </row>
        <row r="11">
          <cell r="B11">
            <v>10</v>
          </cell>
          <cell r="C11" t="str">
            <v>Sam Houston</v>
          </cell>
          <cell r="D11" t="str">
            <v>Kennesaw State</v>
          </cell>
          <cell r="E11">
            <v>5.9361692655809417</v>
          </cell>
          <cell r="F11" t="b">
            <v>0</v>
          </cell>
          <cell r="G11">
            <v>0.54815867206663782</v>
          </cell>
          <cell r="H11">
            <v>0</v>
          </cell>
          <cell r="I11">
            <v>4.6484737581763143E-2</v>
          </cell>
          <cell r="J11">
            <v>0.30365964458618327</v>
          </cell>
          <cell r="K11">
            <v>0</v>
          </cell>
        </row>
        <row r="12">
          <cell r="B12">
            <v>11</v>
          </cell>
          <cell r="C12" t="str">
            <v>UAB</v>
          </cell>
          <cell r="D12" t="str">
            <v>Charlotte</v>
          </cell>
          <cell r="E12">
            <v>8.2463503767252604</v>
          </cell>
          <cell r="F12" t="b">
            <v>0</v>
          </cell>
          <cell r="G12">
            <v>0.58039219076621418</v>
          </cell>
          <cell r="H12">
            <v>0</v>
          </cell>
          <cell r="I12">
            <v>0.1080214550991362</v>
          </cell>
          <cell r="J12">
            <v>0.44828925585735152</v>
          </cell>
          <cell r="K12">
            <v>0</v>
          </cell>
        </row>
        <row r="13">
          <cell r="B13">
            <v>12</v>
          </cell>
          <cell r="C13" t="str">
            <v>Tulsa</v>
          </cell>
          <cell r="D13" t="str">
            <v>North Texas</v>
          </cell>
          <cell r="E13">
            <v>8.8869161352552268</v>
          </cell>
          <cell r="F13" t="b">
            <v>0</v>
          </cell>
          <cell r="G13">
            <v>0.5345379604838667</v>
          </cell>
          <cell r="H13">
            <v>0</v>
          </cell>
          <cell r="I13">
            <v>2.048156092374559E-2</v>
          </cell>
          <cell r="J13">
            <v>0.36344004309822431</v>
          </cell>
          <cell r="K13">
            <v>0</v>
          </cell>
        </row>
        <row r="14">
          <cell r="B14">
            <v>13</v>
          </cell>
          <cell r="C14" t="str">
            <v>Florida</v>
          </cell>
          <cell r="D14" t="str">
            <v>Kentucky</v>
          </cell>
          <cell r="E14">
            <v>12.721469211896</v>
          </cell>
          <cell r="F14" t="b">
            <v>0</v>
          </cell>
          <cell r="G14">
            <v>0.55373312139582753</v>
          </cell>
          <cell r="H14">
            <v>0</v>
          </cell>
          <cell r="I14">
            <v>5.7126868119307117E-2</v>
          </cell>
          <cell r="J14">
            <v>0.518332563847963</v>
          </cell>
          <cell r="K14">
            <v>0</v>
          </cell>
        </row>
        <row r="15">
          <cell r="B15">
            <v>14</v>
          </cell>
          <cell r="C15" t="str">
            <v>Vanderbilt</v>
          </cell>
          <cell r="D15" t="str">
            <v>Tennessee</v>
          </cell>
          <cell r="E15">
            <v>1.5502642732494949</v>
          </cell>
          <cell r="F15" t="b">
            <v>0</v>
          </cell>
          <cell r="G15">
            <v>0.50125328192558738</v>
          </cell>
          <cell r="H15">
            <v>0</v>
          </cell>
          <cell r="I15">
            <v>-4.3061916323878617E-2</v>
          </cell>
          <cell r="J15">
            <v>5.2804904651416629E-2</v>
          </cell>
          <cell r="K15">
            <v>0</v>
          </cell>
        </row>
        <row r="16">
          <cell r="B16">
            <v>15</v>
          </cell>
          <cell r="C16" t="str">
            <v>Alabama</v>
          </cell>
          <cell r="D16" t="str">
            <v>Ole Miss</v>
          </cell>
          <cell r="E16">
            <v>15.942397087555021</v>
          </cell>
          <cell r="F16" t="b">
            <v>1</v>
          </cell>
          <cell r="G16">
            <v>0.61477539163544137</v>
          </cell>
          <cell r="H16">
            <v>4.6411328973770753E-2</v>
          </cell>
          <cell r="I16">
            <v>0.17366211130402451</v>
          </cell>
          <cell r="J16">
            <v>0.7093399858329229</v>
          </cell>
          <cell r="K16">
            <v>0.9059491415680051</v>
          </cell>
        </row>
        <row r="17">
          <cell r="B17">
            <v>16</v>
          </cell>
          <cell r="C17" t="str">
            <v>Arkansas</v>
          </cell>
          <cell r="D17" t="str">
            <v>Oklahoma</v>
          </cell>
          <cell r="E17">
            <v>8.4644755874166542</v>
          </cell>
          <cell r="F17" t="b">
            <v>0</v>
          </cell>
          <cell r="G17">
            <v>0.54885923475117104</v>
          </cell>
          <cell r="H17">
            <v>0</v>
          </cell>
          <cell r="I17">
            <v>4.7822175434053871E-2</v>
          </cell>
          <cell r="J17">
            <v>0.38331885852694758</v>
          </cell>
          <cell r="K17">
            <v>0</v>
          </cell>
        </row>
        <row r="18">
          <cell r="B18">
            <v>17</v>
          </cell>
          <cell r="C18" t="str">
            <v>Toledo</v>
          </cell>
          <cell r="D18" t="str">
            <v>Umass</v>
          </cell>
          <cell r="E18">
            <v>5.2638557338713934</v>
          </cell>
          <cell r="F18" t="b">
            <v>0</v>
          </cell>
          <cell r="G18">
            <v>0.55625895869178854</v>
          </cell>
          <cell r="H18">
            <v>0</v>
          </cell>
          <cell r="I18">
            <v>6.1948921138869073E-2</v>
          </cell>
          <cell r="J18">
            <v>0.3016690356213893</v>
          </cell>
          <cell r="K18">
            <v>0</v>
          </cell>
        </row>
        <row r="19">
          <cell r="B19">
            <v>18</v>
          </cell>
          <cell r="C19" t="str">
            <v>Akron</v>
          </cell>
          <cell r="D19" t="str">
            <v>Kent State</v>
          </cell>
          <cell r="E19">
            <v>8.5781163171341142</v>
          </cell>
          <cell r="F19" t="b">
            <v>0</v>
          </cell>
          <cell r="G19">
            <v>0.53928487633708933</v>
          </cell>
          <cell r="H19">
            <v>0</v>
          </cell>
          <cell r="I19">
            <v>2.9543854825352382E-2</v>
          </cell>
          <cell r="J19">
            <v>0.3648598661779297</v>
          </cell>
          <cell r="K19">
            <v>0</v>
          </cell>
        </row>
        <row r="20">
          <cell r="B20">
            <v>19</v>
          </cell>
          <cell r="C20" t="str">
            <v>St. John's</v>
          </cell>
          <cell r="D20" t="str">
            <v>Seton Hall</v>
          </cell>
          <cell r="E20">
            <v>10.69355199557233</v>
          </cell>
          <cell r="F20" t="b">
            <v>0</v>
          </cell>
          <cell r="G20">
            <v>0.57724449932999944</v>
          </cell>
          <cell r="H20">
            <v>0</v>
          </cell>
          <cell r="I20">
            <v>0.10201222599363539</v>
          </cell>
          <cell r="J20">
            <v>0.51264169102342805</v>
          </cell>
          <cell r="K20">
            <v>0</v>
          </cell>
        </row>
        <row r="21">
          <cell r="B21">
            <v>20</v>
          </cell>
          <cell r="C21" t="str">
            <v>Uconn</v>
          </cell>
          <cell r="D21" t="str">
            <v>Georgetown</v>
          </cell>
          <cell r="E21">
            <v>20.613706983984411</v>
          </cell>
          <cell r="F21" t="b">
            <v>1</v>
          </cell>
          <cell r="G21">
            <v>0.63559396305154814</v>
          </cell>
          <cell r="H21">
            <v>6.3898928963300572E-2</v>
          </cell>
          <cell r="I21">
            <v>0.2134066567347738</v>
          </cell>
          <cell r="J21">
            <v>0.81188968831837982</v>
          </cell>
          <cell r="K21">
            <v>1.2473070933636272</v>
          </cell>
        </row>
        <row r="22">
          <cell r="B22">
            <v>21</v>
          </cell>
          <cell r="C22" t="str">
            <v>Virginia</v>
          </cell>
          <cell r="D22" t="str">
            <v>Miami</v>
          </cell>
          <cell r="E22">
            <v>6.1417083046904253</v>
          </cell>
          <cell r="F22" t="b">
            <v>0</v>
          </cell>
          <cell r="G22">
            <v>0.55324208206947656</v>
          </cell>
          <cell r="H22">
            <v>0</v>
          </cell>
          <cell r="I22">
            <v>5.6189429405364422E-2</v>
          </cell>
          <cell r="J22">
            <v>0.32194962549615402</v>
          </cell>
          <cell r="K22">
            <v>0</v>
          </cell>
        </row>
        <row r="23">
          <cell r="B23">
            <v>22</v>
          </cell>
          <cell r="C23" t="str">
            <v>Duke</v>
          </cell>
          <cell r="D23" t="str">
            <v>Clemson</v>
          </cell>
          <cell r="E23">
            <v>18.63736846880764</v>
          </cell>
          <cell r="F23" t="b">
            <v>1</v>
          </cell>
          <cell r="G23">
            <v>0.63904377116933075</v>
          </cell>
          <cell r="H23">
            <v>6.6796767782237809E-2</v>
          </cell>
          <cell r="I23">
            <v>0.21999265405054061</v>
          </cell>
          <cell r="J23">
            <v>0.79051542793376806</v>
          </cell>
          <cell r="K23">
            <v>1.3038729071092821</v>
          </cell>
        </row>
        <row r="24">
          <cell r="B24">
            <v>23</v>
          </cell>
          <cell r="C24" t="str">
            <v>Arizona</v>
          </cell>
          <cell r="D24" t="str">
            <v>Iowa State</v>
          </cell>
          <cell r="E24">
            <v>8.1430940958016524</v>
          </cell>
          <cell r="F24" t="b">
            <v>0</v>
          </cell>
          <cell r="G24">
            <v>0.61129835798834531</v>
          </cell>
          <cell r="H24">
            <v>0</v>
          </cell>
          <cell r="I24">
            <v>0.1670241379777502</v>
          </cell>
          <cell r="J24">
            <v>0.51626598462295559</v>
          </cell>
          <cell r="K24">
            <v>0</v>
          </cell>
        </row>
        <row r="25">
          <cell r="B25">
            <v>24</v>
          </cell>
          <cell r="C25" t="str">
            <v>Houston</v>
          </cell>
          <cell r="D25" t="str">
            <v>Kansas</v>
          </cell>
          <cell r="E25">
            <v>8.067514842754214</v>
          </cell>
          <cell r="F25" t="b">
            <v>0</v>
          </cell>
          <cell r="G25">
            <v>0.56374444710909843</v>
          </cell>
          <cell r="H25">
            <v>0</v>
          </cell>
          <cell r="I25">
            <v>7.6239399026460708E-2</v>
          </cell>
          <cell r="J25">
            <v>0.40524829818654617</v>
          </cell>
          <cell r="K25">
            <v>0</v>
          </cell>
        </row>
        <row r="26">
          <cell r="B26">
            <v>25</v>
          </cell>
          <cell r="C26" t="str">
            <v>Utah Valley</v>
          </cell>
          <cell r="D26" t="str">
            <v>UT Arlington</v>
          </cell>
          <cell r="E26">
            <v>11.15064166833152</v>
          </cell>
          <cell r="F26" t="b">
            <v>0</v>
          </cell>
          <cell r="G26">
            <v>0.5647566594865554</v>
          </cell>
          <cell r="H26">
            <v>0</v>
          </cell>
          <cell r="I26">
            <v>7.817180447433314E-2</v>
          </cell>
          <cell r="J26">
            <v>0.49833503721139938</v>
          </cell>
          <cell r="K26">
            <v>0</v>
          </cell>
        </row>
        <row r="27">
          <cell r="B27">
            <v>26</v>
          </cell>
          <cell r="C27" t="str">
            <v>California Baptist</v>
          </cell>
          <cell r="D27" t="str">
            <v>Utah Tech</v>
          </cell>
          <cell r="E27">
            <v>7.9517772534300333</v>
          </cell>
          <cell r="F27" t="b">
            <v>0</v>
          </cell>
          <cell r="G27">
            <v>0.56089394638111623</v>
          </cell>
          <cell r="H27">
            <v>0</v>
          </cell>
          <cell r="I27">
            <v>7.0797534000312856E-2</v>
          </cell>
          <cell r="J27">
            <v>0.39524200810369148</v>
          </cell>
          <cell r="K27">
            <v>0</v>
          </cell>
        </row>
        <row r="28">
          <cell r="B28">
            <v>27</v>
          </cell>
          <cell r="C28" t="str">
            <v>UC irvine</v>
          </cell>
          <cell r="D28" t="str">
            <v>CSU Northridge</v>
          </cell>
          <cell r="E28">
            <v>7.856957523961885</v>
          </cell>
          <cell r="F28" t="b">
            <v>0</v>
          </cell>
          <cell r="G28">
            <v>0.58309195565364891</v>
          </cell>
          <cell r="H28">
            <v>0</v>
          </cell>
          <cell r="I28">
            <v>0.1131755517024207</v>
          </cell>
          <cell r="J28">
            <v>0.44283865273071288</v>
          </cell>
          <cell r="K28">
            <v>0</v>
          </cell>
        </row>
        <row r="29">
          <cell r="B29">
            <v>28</v>
          </cell>
          <cell r="C29" t="str">
            <v>Hawaii</v>
          </cell>
          <cell r="D29" t="str">
            <v>CSU Fullerton</v>
          </cell>
          <cell r="E29">
            <v>5.0132906138547568</v>
          </cell>
          <cell r="F29" t="b">
            <v>0</v>
          </cell>
          <cell r="G29">
            <v>0.52524840053531774</v>
          </cell>
          <cell r="H29">
            <v>0</v>
          </cell>
          <cell r="I29">
            <v>2.7469464765157441E-3</v>
          </cell>
          <cell r="J29">
            <v>0.22064700582399949</v>
          </cell>
          <cell r="K29">
            <v>0</v>
          </cell>
        </row>
        <row r="30">
          <cell r="B30">
            <v>29</v>
          </cell>
          <cell r="C30" t="str">
            <v>Utah State</v>
          </cell>
          <cell r="D30" t="str">
            <v>Nevada</v>
          </cell>
          <cell r="E30">
            <v>9.5599619631437296</v>
          </cell>
          <cell r="F30" t="b">
            <v>0</v>
          </cell>
          <cell r="G30">
            <v>0.57556239493808947</v>
          </cell>
          <cell r="H30">
            <v>0</v>
          </cell>
          <cell r="I30">
            <v>9.8800935790898103E-2</v>
          </cell>
          <cell r="J30">
            <v>0.47620157555302872</v>
          </cell>
          <cell r="K30">
            <v>0</v>
          </cell>
        </row>
        <row r="31">
          <cell r="B31">
            <v>30</v>
          </cell>
          <cell r="C31" t="str">
            <v>San Diego State</v>
          </cell>
          <cell r="D31" t="str">
            <v>New Mexico</v>
          </cell>
          <cell r="E31">
            <v>2.1656000609542891</v>
          </cell>
          <cell r="F31" t="b">
            <v>0</v>
          </cell>
          <cell r="G31">
            <v>0.51659121489688242</v>
          </cell>
          <cell r="H31">
            <v>0</v>
          </cell>
          <cell r="I31">
            <v>-1.378040792413354E-2</v>
          </cell>
          <cell r="J31">
            <v>0.10920901479684619</v>
          </cell>
          <cell r="K31">
            <v>0</v>
          </cell>
        </row>
        <row r="32">
          <cell r="B32">
            <v>31</v>
          </cell>
          <cell r="C32" t="str">
            <v>Alabama A&amp;M</v>
          </cell>
          <cell r="D32" t="str">
            <v>Prairie View A&amp;M</v>
          </cell>
          <cell r="E32">
            <v>1.136062822323274</v>
          </cell>
          <cell r="F32" t="b">
            <v>0</v>
          </cell>
          <cell r="G32">
            <v>0.55310257037277799</v>
          </cell>
          <cell r="H32">
            <v>0</v>
          </cell>
          <cell r="I32">
            <v>5.5923088893485302E-2</v>
          </cell>
          <cell r="J32">
            <v>0.16362477907810821</v>
          </cell>
          <cell r="K32">
            <v>0</v>
          </cell>
        </row>
        <row r="33">
          <cell r="B33">
            <v>32</v>
          </cell>
          <cell r="C33" t="str">
            <v>Florida A&amp;M</v>
          </cell>
          <cell r="D33" t="str">
            <v>Southern</v>
          </cell>
          <cell r="E33">
            <v>-1.9999957013533429</v>
          </cell>
          <cell r="F33" t="b">
            <v>0</v>
          </cell>
          <cell r="G33">
            <v>0.52491777600210454</v>
          </cell>
          <cell r="H33">
            <v>0</v>
          </cell>
          <cell r="I33">
            <v>2.115754185835983E-3</v>
          </cell>
          <cell r="J33">
            <v>4.5902034361390842E-3</v>
          </cell>
          <cell r="K33">
            <v>0</v>
          </cell>
        </row>
        <row r="34">
          <cell r="B34">
            <v>33</v>
          </cell>
          <cell r="C34" t="str">
            <v>Howard</v>
          </cell>
          <cell r="D34" t="str">
            <v>South Carolina State</v>
          </cell>
          <cell r="E34">
            <v>15.36825580567713</v>
          </cell>
          <cell r="F34" t="b">
            <v>0</v>
          </cell>
          <cell r="G34">
            <v>0.50903861411179752</v>
          </cell>
          <cell r="H34">
            <v>0</v>
          </cell>
          <cell r="I34">
            <v>-2.8199009422931961E-2</v>
          </cell>
          <cell r="J34">
            <v>0.49778117835928459</v>
          </cell>
          <cell r="K34">
            <v>0</v>
          </cell>
        </row>
        <row r="35">
          <cell r="B35">
            <v>34</v>
          </cell>
          <cell r="C35" t="str">
            <v>North Carolina Central</v>
          </cell>
          <cell r="D35" t="str">
            <v>Delaware State</v>
          </cell>
          <cell r="E35">
            <v>8.594769741903054</v>
          </cell>
          <cell r="F35" t="b">
            <v>0</v>
          </cell>
          <cell r="G35">
            <v>0.59924771413017264</v>
          </cell>
          <cell r="H35">
            <v>0</v>
          </cell>
          <cell r="I35">
            <v>0.1440183633394205</v>
          </cell>
          <cell r="J35">
            <v>0.50163480819906159</v>
          </cell>
          <cell r="K35">
            <v>0</v>
          </cell>
        </row>
        <row r="36">
          <cell r="B36">
            <v>35</v>
          </cell>
          <cell r="C36" t="str">
            <v>George Washington</v>
          </cell>
          <cell r="D36" t="str">
            <v>Saint Louis</v>
          </cell>
          <cell r="E36">
            <v>-3.3025895141847661</v>
          </cell>
          <cell r="F36" t="b">
            <v>0</v>
          </cell>
          <cell r="G36">
            <v>0.57919642025240214</v>
          </cell>
          <cell r="H36">
            <v>0</v>
          </cell>
          <cell r="I36">
            <v>0.1057386204818587</v>
          </cell>
          <cell r="J36">
            <v>8.4641304381282811E-2</v>
          </cell>
          <cell r="K36">
            <v>0</v>
          </cell>
        </row>
        <row r="37">
          <cell r="B37">
            <v>36</v>
          </cell>
          <cell r="C37" t="str">
            <v>St. Bonaventure</v>
          </cell>
          <cell r="D37" t="str">
            <v>Dayton</v>
          </cell>
          <cell r="E37">
            <v>-3.3804737803700688</v>
          </cell>
          <cell r="F37" t="b">
            <v>0</v>
          </cell>
          <cell r="G37">
            <v>0.58948499314896396</v>
          </cell>
          <cell r="H37">
            <v>0</v>
          </cell>
          <cell r="I37">
            <v>0.125380441466204</v>
          </cell>
          <cell r="J37">
            <v>0.10727961854544581</v>
          </cell>
          <cell r="K37">
            <v>0</v>
          </cell>
        </row>
        <row r="38">
          <cell r="B38">
            <v>37</v>
          </cell>
          <cell r="C38" t="str">
            <v>Duquesne</v>
          </cell>
          <cell r="D38" t="str">
            <v>VCU</v>
          </cell>
          <cell r="E38">
            <v>-6.4040274345806596</v>
          </cell>
          <cell r="F38" t="b">
            <v>0</v>
          </cell>
          <cell r="G38">
            <v>0.5644448313537479</v>
          </cell>
          <cell r="H38">
            <v>0</v>
          </cell>
          <cell r="I38">
            <v>7.7576496220791546E-2</v>
          </cell>
          <cell r="J38">
            <v>5.0856318615345342E-2</v>
          </cell>
          <cell r="K38">
            <v>0</v>
          </cell>
        </row>
        <row r="39">
          <cell r="B39">
            <v>38</v>
          </cell>
          <cell r="C39" t="str">
            <v>Davidson</v>
          </cell>
          <cell r="D39" t="str">
            <v>St. Joseph's</v>
          </cell>
          <cell r="E39">
            <v>3.9406812253154482</v>
          </cell>
          <cell r="F39" t="b">
            <v>1</v>
          </cell>
          <cell r="G39">
            <v>0.64479018676740618</v>
          </cell>
          <cell r="H39">
            <v>7.1623756884621192E-2</v>
          </cell>
          <cell r="I39">
            <v>0.23096308382868461</v>
          </cell>
          <cell r="J39">
            <v>0.46882512822335881</v>
          </cell>
          <cell r="K39">
            <v>1.3980957343878058</v>
          </cell>
        </row>
        <row r="40">
          <cell r="B40">
            <v>39</v>
          </cell>
          <cell r="C40" t="str">
            <v>Ohio State</v>
          </cell>
          <cell r="D40" t="str">
            <v>Michigan</v>
          </cell>
          <cell r="E40">
            <v>-10.87848974453194</v>
          </cell>
          <cell r="F40" t="b">
            <v>0</v>
          </cell>
          <cell r="G40">
            <v>0.54036146066461066</v>
          </cell>
          <cell r="H40">
            <v>0</v>
          </cell>
          <cell r="I40">
            <v>3.1599152177893108E-2</v>
          </cell>
          <cell r="J40">
            <v>0.25139475433000569</v>
          </cell>
          <cell r="K40">
            <v>0</v>
          </cell>
        </row>
        <row r="41">
          <cell r="B41">
            <v>40</v>
          </cell>
          <cell r="C41" t="str">
            <v>Wisconsin</v>
          </cell>
          <cell r="D41" t="str">
            <v>Illinois</v>
          </cell>
          <cell r="E41">
            <v>-5.7535302614113499</v>
          </cell>
          <cell r="F41" t="b">
            <v>0</v>
          </cell>
          <cell r="G41">
            <v>0.56814536519259196</v>
          </cell>
          <cell r="H41">
            <v>0</v>
          </cell>
          <cell r="I41">
            <v>8.4641151731311925E-2</v>
          </cell>
          <cell r="J41">
            <v>2.098113949660585E-2</v>
          </cell>
          <cell r="K41">
            <v>0</v>
          </cell>
        </row>
        <row r="42">
          <cell r="B42">
            <v>41</v>
          </cell>
          <cell r="C42" t="str">
            <v>Purdue</v>
          </cell>
          <cell r="D42" t="str">
            <v>Nebraska</v>
          </cell>
          <cell r="E42">
            <v>6.6825999483969643</v>
          </cell>
          <cell r="F42" t="b">
            <v>0</v>
          </cell>
          <cell r="G42">
            <v>0.56657559914920819</v>
          </cell>
          <cell r="H42">
            <v>0</v>
          </cell>
          <cell r="I42">
            <v>8.1644325648488447E-2</v>
          </cell>
          <cell r="J42">
            <v>0.36962984797906079</v>
          </cell>
          <cell r="K42">
            <v>0</v>
          </cell>
        </row>
        <row r="43">
          <cell r="B43">
            <v>42</v>
          </cell>
          <cell r="C43" t="str">
            <v>UCLA</v>
          </cell>
          <cell r="D43" t="str">
            <v>Michigan State</v>
          </cell>
          <cell r="E43">
            <v>-3.4548890280980782</v>
          </cell>
          <cell r="F43" t="b">
            <v>0</v>
          </cell>
          <cell r="G43">
            <v>0.56319291583846687</v>
          </cell>
          <cell r="H43">
            <v>0</v>
          </cell>
          <cell r="I43">
            <v>7.5186475691618626E-2</v>
          </cell>
          <cell r="J43">
            <v>4.0861346297621393E-2</v>
          </cell>
          <cell r="K43">
            <v>0</v>
          </cell>
        </row>
        <row r="44">
          <cell r="B44">
            <v>43</v>
          </cell>
          <cell r="C44" t="str">
            <v>Missouri State</v>
          </cell>
          <cell r="D44" t="str">
            <v>Louisiana Tech</v>
          </cell>
          <cell r="E44">
            <v>3.1421879785812332</v>
          </cell>
          <cell r="F44" t="b">
            <v>1</v>
          </cell>
          <cell r="G44">
            <v>0.61414418851700514</v>
          </cell>
          <cell r="H44">
            <v>4.5881118354284427E-2</v>
          </cell>
          <cell r="I44">
            <v>0.17245708716882799</v>
          </cell>
          <cell r="J44">
            <v>0.37265385549244068</v>
          </cell>
          <cell r="K44">
            <v>0.89559943027563205</v>
          </cell>
        </row>
        <row r="45">
          <cell r="B45">
            <v>44</v>
          </cell>
          <cell r="C45" t="str">
            <v>Kennesaw State</v>
          </cell>
          <cell r="D45" t="str">
            <v>Sam Houston</v>
          </cell>
          <cell r="E45">
            <v>-2.3405762807710402</v>
          </cell>
          <cell r="F45" t="b">
            <v>0</v>
          </cell>
          <cell r="G45">
            <v>0.54130183494658879</v>
          </cell>
          <cell r="H45">
            <v>0</v>
          </cell>
          <cell r="I45">
            <v>3.3394412170760453E-2</v>
          </cell>
          <cell r="J45">
            <v>2.3817205985727119E-2</v>
          </cell>
          <cell r="K45">
            <v>0</v>
          </cell>
        </row>
        <row r="46">
          <cell r="B46">
            <v>45</v>
          </cell>
          <cell r="C46" t="str">
            <v>Charlotte</v>
          </cell>
          <cell r="D46" t="str">
            <v>UAB</v>
          </cell>
          <cell r="E46">
            <v>-2.949586653643967</v>
          </cell>
          <cell r="F46" t="b">
            <v>0</v>
          </cell>
          <cell r="G46">
            <v>0.55098519608883745</v>
          </cell>
          <cell r="H46">
            <v>0</v>
          </cell>
          <cell r="I46">
            <v>5.1880828896871511E-2</v>
          </cell>
          <cell r="J46">
            <v>2.757997831420517E-2</v>
          </cell>
          <cell r="K46">
            <v>0</v>
          </cell>
        </row>
        <row r="47">
          <cell r="B47">
            <v>46</v>
          </cell>
          <cell r="C47" t="str">
            <v>North Texas</v>
          </cell>
          <cell r="D47" t="str">
            <v>Tulsa</v>
          </cell>
          <cell r="E47">
            <v>-4.0215562548545467</v>
          </cell>
          <cell r="F47" t="b">
            <v>0</v>
          </cell>
          <cell r="G47">
            <v>0.58605274966357157</v>
          </cell>
          <cell r="H47">
            <v>0</v>
          </cell>
          <cell r="I47">
            <v>0.1188279766304549</v>
          </cell>
          <cell r="J47">
            <v>7.8319214912701662E-2</v>
          </cell>
          <cell r="K47">
            <v>0</v>
          </cell>
        </row>
        <row r="48">
          <cell r="B48">
            <v>47</v>
          </cell>
          <cell r="C48" t="str">
            <v>Kentucky</v>
          </cell>
          <cell r="D48" t="str">
            <v>Florida</v>
          </cell>
          <cell r="E48">
            <v>-7.1810229062204636</v>
          </cell>
          <cell r="F48" t="b">
            <v>0</v>
          </cell>
          <cell r="G48">
            <v>0.58216534167225553</v>
          </cell>
          <cell r="H48">
            <v>0</v>
          </cell>
          <cell r="I48">
            <v>0.111406561374306</v>
          </cell>
          <cell r="J48">
            <v>3.2684541054098459E-2</v>
          </cell>
          <cell r="K48">
            <v>0</v>
          </cell>
        </row>
        <row r="49">
          <cell r="B49">
            <v>48</v>
          </cell>
          <cell r="C49" t="str">
            <v>Tennessee</v>
          </cell>
          <cell r="D49" t="str">
            <v>Vanderbilt</v>
          </cell>
          <cell r="E49">
            <v>3.1650827197892308</v>
          </cell>
          <cell r="F49" t="b">
            <v>1</v>
          </cell>
          <cell r="G49">
            <v>0.61469140127671673</v>
          </cell>
          <cell r="H49">
            <v>4.6340777072442073E-2</v>
          </cell>
          <cell r="I49">
            <v>0.17350176607373199</v>
          </cell>
          <cell r="J49">
            <v>0.37465373235659188</v>
          </cell>
          <cell r="K49">
            <v>0.90457196845406929</v>
          </cell>
        </row>
        <row r="50">
          <cell r="B50">
            <v>49</v>
          </cell>
          <cell r="C50" t="str">
            <v>Ole Miss</v>
          </cell>
          <cell r="D50" t="str">
            <v>Alabama</v>
          </cell>
          <cell r="E50">
            <v>-13.141478341007019</v>
          </cell>
          <cell r="F50" t="b">
            <v>0</v>
          </cell>
          <cell r="G50">
            <v>0.56272292655187262</v>
          </cell>
          <cell r="H50">
            <v>0</v>
          </cell>
          <cell r="I50">
            <v>7.4289223417211447E-2</v>
          </cell>
          <cell r="J50">
            <v>0.54813047745686194</v>
          </cell>
          <cell r="K50">
            <v>0</v>
          </cell>
        </row>
        <row r="51">
          <cell r="B51">
            <v>50</v>
          </cell>
          <cell r="C51" t="str">
            <v>Oklahoma</v>
          </cell>
          <cell r="D51" t="str">
            <v>Arkansas</v>
          </cell>
          <cell r="E51">
            <v>-4.6661012262765373</v>
          </cell>
          <cell r="F51" t="b">
            <v>0</v>
          </cell>
          <cell r="G51">
            <v>0.54562631097089975</v>
          </cell>
          <cell r="H51">
            <v>0</v>
          </cell>
          <cell r="I51">
            <v>4.1650230035354119E-2</v>
          </cell>
          <cell r="J51">
            <v>4.0493343549730443E-2</v>
          </cell>
          <cell r="K51">
            <v>0</v>
          </cell>
        </row>
        <row r="52">
          <cell r="B52">
            <v>51</v>
          </cell>
          <cell r="C52" t="str">
            <v>Umass</v>
          </cell>
          <cell r="D52" t="str">
            <v>Toledo</v>
          </cell>
          <cell r="E52">
            <v>-2.3075124067073789</v>
          </cell>
          <cell r="F52" t="b">
            <v>0</v>
          </cell>
          <cell r="G52">
            <v>0.5172610221683327</v>
          </cell>
          <cell r="H52">
            <v>0</v>
          </cell>
          <cell r="I52">
            <v>-1.250168495136483E-2</v>
          </cell>
          <cell r="J52">
            <v>3.2821261488724378E-2</v>
          </cell>
          <cell r="K52">
            <v>0</v>
          </cell>
        </row>
        <row r="53">
          <cell r="B53">
            <v>52</v>
          </cell>
          <cell r="C53" t="str">
            <v>Kent State</v>
          </cell>
          <cell r="D53" t="str">
            <v>Akron</v>
          </cell>
          <cell r="E53">
            <v>-3.5228945005294729</v>
          </cell>
          <cell r="F53" t="b">
            <v>0</v>
          </cell>
          <cell r="G53">
            <v>0.58602016099304166</v>
          </cell>
          <cell r="H53">
            <v>0</v>
          </cell>
          <cell r="I53">
            <v>0.1187657618958069</v>
          </cell>
          <cell r="J53">
            <v>9.4235374230409175E-2</v>
          </cell>
          <cell r="K53">
            <v>0</v>
          </cell>
        </row>
        <row r="54">
          <cell r="B54">
            <v>53</v>
          </cell>
          <cell r="C54" t="str">
            <v>Seton Hall</v>
          </cell>
          <cell r="D54" t="str">
            <v>St. John's</v>
          </cell>
          <cell r="E54">
            <v>-5.9555511978857663</v>
          </cell>
          <cell r="F54" t="b">
            <v>0</v>
          </cell>
          <cell r="G54">
            <v>0.53844940142224496</v>
          </cell>
          <cell r="H54">
            <v>0</v>
          </cell>
          <cell r="I54">
            <v>2.7948857260649499E-2</v>
          </cell>
          <cell r="J54">
            <v>9.9131431803276326E-2</v>
          </cell>
          <cell r="K54">
            <v>0</v>
          </cell>
        </row>
        <row r="55">
          <cell r="B55">
            <v>54</v>
          </cell>
          <cell r="C55" t="str">
            <v>Georgetown</v>
          </cell>
          <cell r="D55" t="str">
            <v>Uconn</v>
          </cell>
          <cell r="E55">
            <v>-14.18390238729793</v>
          </cell>
          <cell r="F55" t="b">
            <v>0</v>
          </cell>
          <cell r="G55">
            <v>0.51693191935530103</v>
          </cell>
          <cell r="H55">
            <v>0</v>
          </cell>
          <cell r="I55">
            <v>-1.312997213987982E-2</v>
          </cell>
          <cell r="J55">
            <v>0.48189660027383607</v>
          </cell>
          <cell r="K55">
            <v>0</v>
          </cell>
        </row>
        <row r="56">
          <cell r="B56">
            <v>55</v>
          </cell>
          <cell r="C56" t="str">
            <v>Miami</v>
          </cell>
          <cell r="D56" t="str">
            <v>Virginia</v>
          </cell>
          <cell r="E56">
            <v>-1.0562179673746921</v>
          </cell>
          <cell r="F56" t="b">
            <v>0</v>
          </cell>
          <cell r="G56">
            <v>0.57298792898271877</v>
          </cell>
          <cell r="H56">
            <v>0</v>
          </cell>
          <cell r="I56">
            <v>9.3886046239735843E-2</v>
          </cell>
          <cell r="J56">
            <v>0.14151041668232781</v>
          </cell>
          <cell r="K56">
            <v>0</v>
          </cell>
        </row>
        <row r="57">
          <cell r="B57">
            <v>56</v>
          </cell>
          <cell r="C57" t="str">
            <v>Clemson</v>
          </cell>
          <cell r="D57" t="str">
            <v>Duke</v>
          </cell>
          <cell r="E57">
            <v>-13.71299927283164</v>
          </cell>
          <cell r="F57" t="b">
            <v>0</v>
          </cell>
          <cell r="G57">
            <v>0.55278223593803433</v>
          </cell>
          <cell r="H57">
            <v>0</v>
          </cell>
          <cell r="I57">
            <v>5.5311541336247383E-2</v>
          </cell>
          <cell r="J57">
            <v>0.54267587162903419</v>
          </cell>
          <cell r="K57">
            <v>0</v>
          </cell>
        </row>
        <row r="58">
          <cell r="B58">
            <v>57</v>
          </cell>
          <cell r="C58" t="str">
            <v>Iowa State</v>
          </cell>
          <cell r="D58" t="str">
            <v>Arizona</v>
          </cell>
          <cell r="E58">
            <v>-1.879890319738613</v>
          </cell>
          <cell r="F58" t="b">
            <v>0</v>
          </cell>
          <cell r="G58">
            <v>0.54032671759455519</v>
          </cell>
          <cell r="H58">
            <v>0</v>
          </cell>
          <cell r="I58">
            <v>3.1532824498696321E-2</v>
          </cell>
          <cell r="J58">
            <v>3.6272197522773657E-2</v>
          </cell>
          <cell r="K58">
            <v>0</v>
          </cell>
        </row>
        <row r="59">
          <cell r="B59">
            <v>58</v>
          </cell>
          <cell r="C59" t="str">
            <v>Kansas</v>
          </cell>
          <cell r="D59" t="str">
            <v>Houston</v>
          </cell>
          <cell r="E59">
            <v>-4.2059067812621231</v>
          </cell>
          <cell r="F59" t="b">
            <v>0</v>
          </cell>
          <cell r="G59">
            <v>0.53223163575011356</v>
          </cell>
          <cell r="H59">
            <v>0</v>
          </cell>
          <cell r="I59">
            <v>1.607857734112594E-2</v>
          </cell>
          <cell r="J59">
            <v>5.79099277501951E-2</v>
          </cell>
          <cell r="K59">
            <v>0</v>
          </cell>
        </row>
        <row r="60">
          <cell r="B60">
            <v>59</v>
          </cell>
          <cell r="C60" t="str">
            <v>UT Arlington</v>
          </cell>
          <cell r="D60" t="str">
            <v>Utah Valley</v>
          </cell>
          <cell r="E60">
            <v>-6.0626879543791059</v>
          </cell>
          <cell r="F60" t="b">
            <v>0</v>
          </cell>
          <cell r="G60">
            <v>0.56053745758446649</v>
          </cell>
          <cell r="H60">
            <v>0</v>
          </cell>
          <cell r="I60">
            <v>7.011696447943605E-2</v>
          </cell>
          <cell r="J60">
            <v>4.9357027982890427E-2</v>
          </cell>
          <cell r="K60">
            <v>0</v>
          </cell>
        </row>
        <row r="61">
          <cell r="B61">
            <v>60</v>
          </cell>
          <cell r="C61" t="str">
            <v>Utah Tech</v>
          </cell>
          <cell r="D61" t="str">
            <v>California Baptist</v>
          </cell>
          <cell r="E61">
            <v>-3.4974299747126558</v>
          </cell>
          <cell r="F61" t="b">
            <v>0</v>
          </cell>
          <cell r="G61">
            <v>0.54980180624560404</v>
          </cell>
          <cell r="H61">
            <v>0</v>
          </cell>
          <cell r="I61">
            <v>4.9621630105244119E-2</v>
          </cell>
          <cell r="J61">
            <v>7.121840094154952E-3</v>
          </cell>
          <cell r="K61">
            <v>0</v>
          </cell>
        </row>
        <row r="62">
          <cell r="B62">
            <v>61</v>
          </cell>
          <cell r="C62" t="str">
            <v>CSU Northridge</v>
          </cell>
          <cell r="D62" t="str">
            <v>UC irvine</v>
          </cell>
          <cell r="E62">
            <v>-2.457413339079825</v>
          </cell>
          <cell r="F62" t="b">
            <v>0</v>
          </cell>
          <cell r="G62">
            <v>0.550791636171724</v>
          </cell>
          <cell r="H62">
            <v>0</v>
          </cell>
          <cell r="I62">
            <v>5.1511305418745823E-2</v>
          </cell>
          <cell r="J62">
            <v>4.2924051167735948E-2</v>
          </cell>
          <cell r="K62">
            <v>0</v>
          </cell>
        </row>
        <row r="63">
          <cell r="B63">
            <v>62</v>
          </cell>
          <cell r="C63" t="str">
            <v>CSU Fullerton</v>
          </cell>
          <cell r="D63" t="str">
            <v>Hawaii</v>
          </cell>
          <cell r="E63">
            <v>-2.3822642119015098</v>
          </cell>
          <cell r="F63" t="b">
            <v>0</v>
          </cell>
          <cell r="G63">
            <v>0.54026782944189589</v>
          </cell>
          <cell r="H63">
            <v>0</v>
          </cell>
          <cell r="I63">
            <v>3.1420401661801267E-2</v>
          </cell>
          <cell r="J63">
            <v>1.9990171570357429E-2</v>
          </cell>
          <cell r="K63">
            <v>0</v>
          </cell>
        </row>
        <row r="64">
          <cell r="B64">
            <v>63</v>
          </cell>
          <cell r="C64" t="str">
            <v>Nevada</v>
          </cell>
          <cell r="D64" t="str">
            <v>Utah State</v>
          </cell>
          <cell r="E64">
            <v>-3.5906886038474162</v>
          </cell>
          <cell r="F64" t="b">
            <v>0</v>
          </cell>
          <cell r="G64">
            <v>0.57214269981132204</v>
          </cell>
          <cell r="H64">
            <v>0</v>
          </cell>
          <cell r="I64">
            <v>9.2272426912523908E-2</v>
          </cell>
          <cell r="J64">
            <v>5.8222267933530913E-2</v>
          </cell>
          <cell r="K64">
            <v>0</v>
          </cell>
        </row>
        <row r="65">
          <cell r="B65">
            <v>64</v>
          </cell>
          <cell r="C65" t="str">
            <v>New Mexico</v>
          </cell>
          <cell r="D65" t="str">
            <v>San Diego State</v>
          </cell>
          <cell r="E65">
            <v>-1.0191559960801471</v>
          </cell>
          <cell r="F65" t="b">
            <v>0</v>
          </cell>
          <cell r="G65">
            <v>0.51198750823268147</v>
          </cell>
          <cell r="H65">
            <v>0</v>
          </cell>
          <cell r="I65">
            <v>-2.256930246488081E-2</v>
          </cell>
          <cell r="J65">
            <v>4.0540500717520236E-3</v>
          </cell>
          <cell r="K65">
            <v>0</v>
          </cell>
        </row>
        <row r="66">
          <cell r="B66">
            <v>65</v>
          </cell>
          <cell r="C66" t="str">
            <v>Prairie View A&amp;M</v>
          </cell>
          <cell r="D66" t="str">
            <v>Alabama A&amp;M</v>
          </cell>
          <cell r="E66">
            <v>3.332767593842116</v>
          </cell>
          <cell r="F66" t="b">
            <v>0</v>
          </cell>
          <cell r="G66">
            <v>0.55795956257893375</v>
          </cell>
          <cell r="H66">
            <v>0</v>
          </cell>
          <cell r="I66">
            <v>6.5195528559782612E-2</v>
          </cell>
          <cell r="J66">
            <v>0.24501522613721449</v>
          </cell>
          <cell r="K66">
            <v>0</v>
          </cell>
        </row>
        <row r="67">
          <cell r="B67">
            <v>66</v>
          </cell>
          <cell r="C67" t="str">
            <v>Southern</v>
          </cell>
          <cell r="D67" t="str">
            <v>Florida A&amp;M</v>
          </cell>
          <cell r="E67">
            <v>6.3713124630009492</v>
          </cell>
          <cell r="F67" t="b">
            <v>0</v>
          </cell>
          <cell r="G67">
            <v>0.58344205527737258</v>
          </cell>
          <cell r="H67">
            <v>0</v>
          </cell>
          <cell r="I67">
            <v>0.1138439237113477</v>
          </cell>
          <cell r="J67">
            <v>0.39909728029032171</v>
          </cell>
          <cell r="K67">
            <v>0</v>
          </cell>
        </row>
        <row r="68">
          <cell r="B68">
            <v>67</v>
          </cell>
          <cell r="C68" t="str">
            <v>South Carolina State</v>
          </cell>
          <cell r="D68" t="str">
            <v>Howard</v>
          </cell>
          <cell r="E68">
            <v>-11.39304466171944</v>
          </cell>
          <cell r="F68" t="b">
            <v>0</v>
          </cell>
          <cell r="G68">
            <v>0.58917944355767859</v>
          </cell>
          <cell r="H68">
            <v>0</v>
          </cell>
          <cell r="I68">
            <v>0.12479711951920471</v>
          </cell>
          <cell r="J68">
            <v>0.15057558695248269</v>
          </cell>
          <cell r="K68">
            <v>0</v>
          </cell>
        </row>
        <row r="69">
          <cell r="B69">
            <v>68</v>
          </cell>
          <cell r="C69" t="str">
            <v>Delaware State</v>
          </cell>
          <cell r="D69" t="str">
            <v>North Carolina Central</v>
          </cell>
          <cell r="E69">
            <v>-2.4687864874118701</v>
          </cell>
          <cell r="F69" t="b">
            <v>0</v>
          </cell>
          <cell r="G69">
            <v>0.5505103479822544</v>
          </cell>
          <cell r="H69">
            <v>0</v>
          </cell>
          <cell r="I69">
            <v>5.0974300693394807E-2</v>
          </cell>
          <cell r="J69">
            <v>4.188029158646156E-2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Saint Louis</v>
          </cell>
          <cell r="C2" t="str">
            <v>George Washington</v>
          </cell>
          <cell r="D2">
            <v>12.924462689730786</v>
          </cell>
          <cell r="E2">
            <v>96.65371999791742</v>
          </cell>
          <cell r="F2">
            <v>94.854733271656428</v>
          </cell>
          <cell r="G2">
            <v>0.60122699386503065</v>
          </cell>
          <cell r="H2">
            <v>71.082666666666668</v>
          </cell>
          <cell r="I2">
            <v>59.766666666666666</v>
          </cell>
          <cell r="J2">
            <v>20.566666666666666</v>
          </cell>
          <cell r="K2">
            <v>10.133333333333333</v>
          </cell>
          <cell r="L2">
            <v>12.4</v>
          </cell>
          <cell r="M2">
            <v>0</v>
          </cell>
          <cell r="N2">
            <v>8.1181174856323501</v>
          </cell>
          <cell r="O2">
            <v>99.423073027448609</v>
          </cell>
          <cell r="P2">
            <v>102.88385819155521</v>
          </cell>
          <cell r="Q2">
            <v>0.55111228813559321</v>
          </cell>
          <cell r="R2">
            <v>70.331612903225803</v>
          </cell>
          <cell r="S2">
            <v>60.903225806451616</v>
          </cell>
          <cell r="T2">
            <v>21.35483870967742</v>
          </cell>
          <cell r="U2">
            <v>12.741935483870968</v>
          </cell>
          <cell r="V2">
            <v>12.774193548387096</v>
          </cell>
          <cell r="W2">
            <v>0</v>
          </cell>
          <cell r="X2">
            <v>-6.5</v>
          </cell>
        </row>
        <row r="3">
          <cell r="A3">
            <v>2</v>
          </cell>
          <cell r="B3" t="str">
            <v>Dayton</v>
          </cell>
          <cell r="C3" t="str">
            <v>St. Bonaventure</v>
          </cell>
          <cell r="D3">
            <v>7.2080821342928445</v>
          </cell>
          <cell r="E3">
            <v>95.080309824704429</v>
          </cell>
          <cell r="F3">
            <v>92.716319767963711</v>
          </cell>
          <cell r="G3">
            <v>0.52316486161251508</v>
          </cell>
          <cell r="H3">
            <v>68.127741935483868</v>
          </cell>
          <cell r="I3">
            <v>53.612903225806448</v>
          </cell>
          <cell r="J3">
            <v>25.29032258064516</v>
          </cell>
          <cell r="K3">
            <v>8.7096774193548381</v>
          </cell>
          <cell r="L3">
            <v>12.096774193548388</v>
          </cell>
          <cell r="M3">
            <v>0</v>
          </cell>
          <cell r="N3">
            <v>3.6587011371081828</v>
          </cell>
          <cell r="O3">
            <v>100.06821327722717</v>
          </cell>
          <cell r="P3">
            <v>98.203101803703447</v>
          </cell>
          <cell r="Q3">
            <v>0.52207505518763797</v>
          </cell>
          <cell r="R3">
            <v>67.670666666666662</v>
          </cell>
          <cell r="S3">
            <v>60.4</v>
          </cell>
          <cell r="T3">
            <v>17.433333333333334</v>
          </cell>
          <cell r="U3">
            <v>11.866666666666667</v>
          </cell>
          <cell r="V3">
            <v>11.466666666666667</v>
          </cell>
          <cell r="W3">
            <v>0</v>
          </cell>
          <cell r="X3">
            <v>-7</v>
          </cell>
        </row>
        <row r="4">
          <cell r="A4">
            <v>3</v>
          </cell>
          <cell r="B4" t="str">
            <v>VCU</v>
          </cell>
          <cell r="C4" t="str">
            <v>Duquesne</v>
          </cell>
          <cell r="D4">
            <v>10.046934010674722</v>
          </cell>
          <cell r="E4">
            <v>100.11649510419282</v>
          </cell>
          <cell r="F4">
            <v>100.40585231866712</v>
          </cell>
          <cell r="G4">
            <v>0.54296008869179602</v>
          </cell>
          <cell r="H4">
            <v>69.00645161290322</v>
          </cell>
          <cell r="I4">
            <v>58.193548387096776</v>
          </cell>
          <cell r="J4">
            <v>25.967741935483872</v>
          </cell>
          <cell r="K4">
            <v>11.419354838709678</v>
          </cell>
          <cell r="L4">
            <v>10.806451612903226</v>
          </cell>
          <cell r="M4">
            <v>0</v>
          </cell>
          <cell r="N4">
            <v>5.2557397789312335</v>
          </cell>
          <cell r="O4">
            <v>96.601451088316239</v>
          </cell>
          <cell r="P4">
            <v>91.760435156727468</v>
          </cell>
          <cell r="Q4">
            <v>0.53655854865310615</v>
          </cell>
          <cell r="R4">
            <v>70.832258064516139</v>
          </cell>
          <cell r="S4">
            <v>58.677419354838712</v>
          </cell>
          <cell r="T4">
            <v>22.419354838709676</v>
          </cell>
          <cell r="U4">
            <v>10.548387096774194</v>
          </cell>
          <cell r="V4">
            <v>12.838709677419354</v>
          </cell>
          <cell r="W4">
            <v>0</v>
          </cell>
          <cell r="X4">
            <v>-9</v>
          </cell>
        </row>
        <row r="5">
          <cell r="A5">
            <v>4</v>
          </cell>
          <cell r="B5" t="str">
            <v>St. Joseph's</v>
          </cell>
          <cell r="C5" t="str">
            <v>Davidson</v>
          </cell>
          <cell r="D5">
            <v>0.35857878605365429</v>
          </cell>
          <cell r="E5">
            <v>99.259251438526107</v>
          </cell>
          <cell r="F5">
            <v>108.34882848626603</v>
          </cell>
          <cell r="G5">
            <v>0.5</v>
          </cell>
          <cell r="H5">
            <v>68.286451612903235</v>
          </cell>
          <cell r="I5">
            <v>59.903225806451616</v>
          </cell>
          <cell r="J5">
            <v>18.612903225806452</v>
          </cell>
          <cell r="K5">
            <v>11.64516129032258</v>
          </cell>
          <cell r="L5">
            <v>11.838709677419354</v>
          </cell>
          <cell r="M5">
            <v>0</v>
          </cell>
          <cell r="N5">
            <v>5.7827826511419316</v>
          </cell>
          <cell r="O5">
            <v>98.650066696309466</v>
          </cell>
          <cell r="P5">
            <v>102.50299343544884</v>
          </cell>
          <cell r="Q5">
            <v>0.53981534910559725</v>
          </cell>
          <cell r="R5">
            <v>64.578064516129032</v>
          </cell>
          <cell r="S5">
            <v>55.903225806451616</v>
          </cell>
          <cell r="T5">
            <v>18.322580645161292</v>
          </cell>
          <cell r="U5">
            <v>9.806451612903226</v>
          </cell>
          <cell r="V5">
            <v>10.419354838709678</v>
          </cell>
          <cell r="W5">
            <v>0</v>
          </cell>
          <cell r="X5">
            <v>-2</v>
          </cell>
        </row>
        <row r="6">
          <cell r="A6">
            <v>5</v>
          </cell>
          <cell r="B6" t="str">
            <v>Michigan</v>
          </cell>
          <cell r="C6" t="str">
            <v>Ohio State</v>
          </cell>
          <cell r="D6">
            <v>23.915638484765847</v>
          </cell>
          <cell r="E6">
            <v>98.283491704002756</v>
          </cell>
          <cell r="F6">
            <v>95.448163069798071</v>
          </cell>
          <cell r="G6">
            <v>0.5870726495726496</v>
          </cell>
          <cell r="H6">
            <v>71.669677419354841</v>
          </cell>
          <cell r="I6">
            <v>60.387096774193552</v>
          </cell>
          <cell r="J6">
            <v>23.516129032258064</v>
          </cell>
          <cell r="K6">
            <v>11.225806451612904</v>
          </cell>
          <cell r="L6">
            <v>12.161290322580646</v>
          </cell>
          <cell r="M6">
            <v>0</v>
          </cell>
          <cell r="N6">
            <v>14.643537446231871</v>
          </cell>
          <cell r="O6">
            <v>97.86818231500709</v>
          </cell>
          <cell r="P6">
            <v>101.49670801900939</v>
          </cell>
          <cell r="Q6">
            <v>0.56910809214412283</v>
          </cell>
          <cell r="R6">
            <v>66.990666666666669</v>
          </cell>
          <cell r="S6">
            <v>56.43333333333333</v>
          </cell>
          <cell r="T6">
            <v>21.266666666666666</v>
          </cell>
          <cell r="U6">
            <v>9.1666666666666661</v>
          </cell>
          <cell r="V6">
            <v>10.366666666666667</v>
          </cell>
          <cell r="W6">
            <v>0</v>
          </cell>
          <cell r="X6">
            <v>-12.5</v>
          </cell>
        </row>
        <row r="7">
          <cell r="A7">
            <v>6</v>
          </cell>
          <cell r="B7" t="str">
            <v>Illinois</v>
          </cell>
          <cell r="C7" t="str">
            <v>Wisconsin</v>
          </cell>
          <cell r="D7">
            <v>19.052161675549581</v>
          </cell>
          <cell r="E7">
            <v>105.19498868590982</v>
          </cell>
          <cell r="F7">
            <v>109.65132721821237</v>
          </cell>
          <cell r="G7">
            <v>0.55067385444743933</v>
          </cell>
          <cell r="H7">
            <v>66.549333333333337</v>
          </cell>
          <cell r="I7">
            <v>61.833333333333336</v>
          </cell>
          <cell r="J7">
            <v>20.566666666666666</v>
          </cell>
          <cell r="K7">
            <v>13.4</v>
          </cell>
          <cell r="L7">
            <v>9.0666666666666664</v>
          </cell>
          <cell r="M7">
            <v>0</v>
          </cell>
          <cell r="N7">
            <v>15.99115140253407</v>
          </cell>
          <cell r="O7">
            <v>101.25838978230519</v>
          </cell>
          <cell r="P7">
            <v>98.106398085976267</v>
          </cell>
          <cell r="Q7">
            <v>0.54685863874345553</v>
          </cell>
          <cell r="R7">
            <v>69.153548387096777</v>
          </cell>
          <cell r="S7">
            <v>61.612903225806448</v>
          </cell>
          <cell r="T7">
            <v>20.29032258064516</v>
          </cell>
          <cell r="U7">
            <v>10.419354838709678</v>
          </cell>
          <cell r="V7">
            <v>9.0322580645161299</v>
          </cell>
          <cell r="W7">
            <v>0</v>
          </cell>
          <cell r="X7">
            <v>-8.5</v>
          </cell>
        </row>
        <row r="8">
          <cell r="A8">
            <v>7</v>
          </cell>
          <cell r="B8" t="str">
            <v>Nebraska</v>
          </cell>
          <cell r="C8" t="str">
            <v>Purdue</v>
          </cell>
          <cell r="D8">
            <v>16.038493727225667</v>
          </cell>
          <cell r="E8">
            <v>98.214103191431519</v>
          </cell>
          <cell r="F8">
            <v>102.68181819319739</v>
          </cell>
          <cell r="G8">
            <v>0.5566192560175055</v>
          </cell>
          <cell r="H8">
            <v>67.107096774193565</v>
          </cell>
          <cell r="I8">
            <v>58.967741935483872</v>
          </cell>
          <cell r="J8">
            <v>16.225806451612904</v>
          </cell>
          <cell r="K8">
            <v>8.741935483870968</v>
          </cell>
          <cell r="L8">
            <v>9.741935483870968</v>
          </cell>
          <cell r="M8">
            <v>0</v>
          </cell>
          <cell r="N8">
            <v>20.822747409737431</v>
          </cell>
          <cell r="O8">
            <v>102.36430980153686</v>
          </cell>
          <cell r="P8">
            <v>102.10099533949814</v>
          </cell>
          <cell r="Q8">
            <v>0.57913090128755362</v>
          </cell>
          <cell r="R8">
            <v>65.54451612903226</v>
          </cell>
          <cell r="S8">
            <v>60.12903225806452</v>
          </cell>
          <cell r="T8">
            <v>17</v>
          </cell>
          <cell r="U8">
            <v>11.161290322580646</v>
          </cell>
          <cell r="V8">
            <v>9.0967741935483879</v>
          </cell>
          <cell r="W8">
            <v>0</v>
          </cell>
          <cell r="X8">
            <v>4</v>
          </cell>
        </row>
        <row r="9">
          <cell r="A9">
            <v>8</v>
          </cell>
          <cell r="B9" t="str">
            <v>Michigan State</v>
          </cell>
          <cell r="C9" t="str">
            <v>UCLA</v>
          </cell>
          <cell r="D9">
            <v>20.339302088369145</v>
          </cell>
          <cell r="E9">
            <v>101.21286910533274</v>
          </cell>
          <cell r="F9">
            <v>94.770116447884845</v>
          </cell>
          <cell r="G9">
            <v>0.53573454339194559</v>
          </cell>
          <cell r="H9">
            <v>66.585333333333324</v>
          </cell>
          <cell r="I9">
            <v>58.766666666666666</v>
          </cell>
          <cell r="J9">
            <v>20.8</v>
          </cell>
          <cell r="K9">
            <v>12.666666666666666</v>
          </cell>
          <cell r="L9">
            <v>11.333333333333334</v>
          </cell>
          <cell r="M9">
            <v>0</v>
          </cell>
          <cell r="N9">
            <v>16.04165934317437</v>
          </cell>
          <cell r="O9">
            <v>100.9511732509619</v>
          </cell>
          <cell r="P9">
            <v>92.195689602132376</v>
          </cell>
          <cell r="Q9">
            <v>0.53971318257032541</v>
          </cell>
          <cell r="R9">
            <v>65.94580645161291</v>
          </cell>
          <cell r="S9">
            <v>58.483870967741936</v>
          </cell>
          <cell r="T9">
            <v>19.451612903225808</v>
          </cell>
          <cell r="U9">
            <v>10.064516129032258</v>
          </cell>
          <cell r="V9">
            <v>8.9677419354838701</v>
          </cell>
          <cell r="W9">
            <v>0</v>
          </cell>
          <cell r="X9">
            <v>-6</v>
          </cell>
        </row>
        <row r="10">
          <cell r="A10">
            <v>9</v>
          </cell>
          <cell r="B10" t="str">
            <v>Louisiana Tech</v>
          </cell>
          <cell r="C10" t="str">
            <v>Missouri State</v>
          </cell>
          <cell r="D10">
            <v>2.6443345975686983</v>
          </cell>
          <cell r="E10">
            <v>99.919161188678217</v>
          </cell>
          <cell r="F10">
            <v>98.415627483867411</v>
          </cell>
          <cell r="G10">
            <v>0.49525669642857145</v>
          </cell>
          <cell r="H10">
            <v>65.900645161290328</v>
          </cell>
          <cell r="I10">
            <v>57.806451612903224</v>
          </cell>
          <cell r="J10">
            <v>19.129032258064516</v>
          </cell>
          <cell r="K10">
            <v>12.96774193548387</v>
          </cell>
          <cell r="L10">
            <v>12.64516129032258</v>
          </cell>
          <cell r="M10">
            <v>0</v>
          </cell>
          <cell r="N10">
            <v>3.7666624431054507</v>
          </cell>
          <cell r="O10">
            <v>99.995875650873856</v>
          </cell>
          <cell r="P10">
            <v>97.704588737615268</v>
          </cell>
          <cell r="Q10">
            <v>0.51096121416526141</v>
          </cell>
          <cell r="R10">
            <v>67.619354838709683</v>
          </cell>
          <cell r="S10">
            <v>57.387096774193552</v>
          </cell>
          <cell r="T10">
            <v>24.35483870967742</v>
          </cell>
          <cell r="U10">
            <v>11.806451612903226</v>
          </cell>
          <cell r="V10">
            <v>11.32258064516129</v>
          </cell>
          <cell r="W10">
            <v>0</v>
          </cell>
          <cell r="X10">
            <v>-1.5</v>
          </cell>
        </row>
        <row r="11">
          <cell r="A11">
            <v>10</v>
          </cell>
          <cell r="B11" t="str">
            <v>Sam Houston</v>
          </cell>
          <cell r="C11" t="str">
            <v>Kennesaw State</v>
          </cell>
          <cell r="D11">
            <v>8.7559835827705808</v>
          </cell>
          <cell r="E11">
            <v>101.34390651085141</v>
          </cell>
          <cell r="F11">
            <v>98.64078459495974</v>
          </cell>
          <cell r="G11">
            <v>0.54120148856990957</v>
          </cell>
          <cell r="H11">
            <v>70.586666666666659</v>
          </cell>
          <cell r="I11">
            <v>62.7</v>
          </cell>
          <cell r="J11">
            <v>21.333333333333332</v>
          </cell>
          <cell r="K11">
            <v>13.4</v>
          </cell>
          <cell r="L11">
            <v>11.9</v>
          </cell>
          <cell r="M11">
            <v>0</v>
          </cell>
          <cell r="N11">
            <v>6.490752715038262</v>
          </cell>
          <cell r="O11">
            <v>101.8432322449375</v>
          </cell>
          <cell r="P11">
            <v>97.141081053482708</v>
          </cell>
          <cell r="Q11">
            <v>0.52519480519480521</v>
          </cell>
          <cell r="R11">
            <v>71.699354838709667</v>
          </cell>
          <cell r="S11">
            <v>62.096774193548384</v>
          </cell>
          <cell r="T11">
            <v>26.516129032258064</v>
          </cell>
          <cell r="U11">
            <v>13.806451612903226</v>
          </cell>
          <cell r="V11">
            <v>11.741935483870968</v>
          </cell>
          <cell r="W11">
            <v>0</v>
          </cell>
          <cell r="X11">
            <v>-4</v>
          </cell>
        </row>
        <row r="12">
          <cell r="A12">
            <v>11</v>
          </cell>
          <cell r="B12" t="str">
            <v>UAB</v>
          </cell>
          <cell r="C12" t="str">
            <v>Charlotte</v>
          </cell>
          <cell r="D12">
            <v>1.6421661956788476</v>
          </cell>
          <cell r="E12">
            <v>104.34399205561074</v>
          </cell>
          <cell r="F12">
            <v>112.835882562454</v>
          </cell>
          <cell r="G12">
            <v>0.48450774612693653</v>
          </cell>
          <cell r="H12">
            <v>70.938064516129032</v>
          </cell>
          <cell r="I12">
            <v>64.548387096774192</v>
          </cell>
          <cell r="J12">
            <v>23.612903225806452</v>
          </cell>
          <cell r="K12">
            <v>13</v>
          </cell>
          <cell r="L12">
            <v>9</v>
          </cell>
          <cell r="M12">
            <v>0</v>
          </cell>
          <cell r="N12">
            <v>-0.94217041800932655</v>
          </cell>
          <cell r="O12">
            <v>97.9635725257845</v>
          </cell>
          <cell r="P12">
            <v>108.1900253682186</v>
          </cell>
          <cell r="Q12">
            <v>0.5367215041128085</v>
          </cell>
          <cell r="R12">
            <v>64.8</v>
          </cell>
          <cell r="S12">
            <v>54.903225806451616</v>
          </cell>
          <cell r="T12">
            <v>20</v>
          </cell>
          <cell r="U12">
            <v>10.903225806451612</v>
          </cell>
          <cell r="V12">
            <v>12</v>
          </cell>
          <cell r="W12">
            <v>0</v>
          </cell>
          <cell r="X12">
            <v>-5</v>
          </cell>
        </row>
        <row r="13">
          <cell r="A13">
            <v>12</v>
          </cell>
          <cell r="B13" t="str">
            <v>Tulsa</v>
          </cell>
          <cell r="C13" t="str">
            <v>North Texas</v>
          </cell>
          <cell r="D13">
            <v>5.3476433114678237</v>
          </cell>
          <cell r="E13">
            <v>100.58857934431276</v>
          </cell>
          <cell r="F13">
            <v>101.35085266969703</v>
          </cell>
          <cell r="G13">
            <v>0.57346491228070173</v>
          </cell>
          <cell r="H13">
            <v>68.307096774193553</v>
          </cell>
          <cell r="I13">
            <v>58.838709677419352</v>
          </cell>
          <cell r="J13">
            <v>23.64516129032258</v>
          </cell>
          <cell r="K13">
            <v>11.193548387096774</v>
          </cell>
          <cell r="L13">
            <v>10.258064516129032</v>
          </cell>
          <cell r="M13">
            <v>0</v>
          </cell>
          <cell r="N13">
            <v>3.5067564007641501</v>
          </cell>
          <cell r="O13">
            <v>100.13291708556007</v>
          </cell>
          <cell r="P13">
            <v>92.844298270284625</v>
          </cell>
          <cell r="Q13">
            <v>0.47913141567963902</v>
          </cell>
          <cell r="R13">
            <v>66.481290322580648</v>
          </cell>
          <cell r="S13">
            <v>57.193548387096776</v>
          </cell>
          <cell r="T13">
            <v>22.35483870967742</v>
          </cell>
          <cell r="U13">
            <v>12.096774193548388</v>
          </cell>
          <cell r="V13">
            <v>11.548387096774194</v>
          </cell>
          <cell r="W13">
            <v>0</v>
          </cell>
          <cell r="X13">
            <v>-7.5</v>
          </cell>
        </row>
        <row r="14">
          <cell r="A14">
            <v>13</v>
          </cell>
          <cell r="B14" t="str">
            <v>Florida</v>
          </cell>
          <cell r="C14" t="str">
            <v>Kentucky</v>
          </cell>
          <cell r="D14">
            <v>22.748625673592354</v>
          </cell>
          <cell r="E14">
            <v>104.56180875012235</v>
          </cell>
          <cell r="F14">
            <v>99.903229832962509</v>
          </cell>
          <cell r="G14">
            <v>0.54031856645097065</v>
          </cell>
          <cell r="H14">
            <v>71.534193548387094</v>
          </cell>
          <cell r="I14">
            <v>64.806451612903231</v>
          </cell>
          <cell r="J14">
            <v>24.967741935483872</v>
          </cell>
          <cell r="K14">
            <v>15.903225806451612</v>
          </cell>
          <cell r="L14">
            <v>11.64516129032258</v>
          </cell>
          <cell r="M14">
            <v>0</v>
          </cell>
          <cell r="N14">
            <v>18.55702494743041</v>
          </cell>
          <cell r="O14">
            <v>101.42630906768839</v>
          </cell>
          <cell r="P14">
            <v>97.25385817981919</v>
          </cell>
          <cell r="Q14">
            <v>0.53432676955827563</v>
          </cell>
          <cell r="R14">
            <v>69.038709677419348</v>
          </cell>
          <cell r="S14">
            <v>60.612903225806448</v>
          </cell>
          <cell r="T14">
            <v>22.741935483870968</v>
          </cell>
          <cell r="U14">
            <v>12.258064516129032</v>
          </cell>
          <cell r="V14">
            <v>10.67741935483871</v>
          </cell>
          <cell r="W14">
            <v>0</v>
          </cell>
          <cell r="X14">
            <v>-10.5</v>
          </cell>
        </row>
        <row r="15">
          <cell r="A15">
            <v>14</v>
          </cell>
          <cell r="B15" t="str">
            <v>Vanderbilt</v>
          </cell>
          <cell r="C15" t="str">
            <v>Tennessee</v>
          </cell>
          <cell r="D15">
            <v>19.188801343657655</v>
          </cell>
          <cell r="E15">
            <v>100.6501092787602</v>
          </cell>
          <cell r="F15">
            <v>97.808224636267653</v>
          </cell>
          <cell r="G15">
            <v>0.55637126376507606</v>
          </cell>
          <cell r="H15">
            <v>70.905806451612904</v>
          </cell>
          <cell r="I15">
            <v>61.516129032258064</v>
          </cell>
          <cell r="J15">
            <v>23.612903225806452</v>
          </cell>
          <cell r="K15">
            <v>10.741935483870968</v>
          </cell>
          <cell r="L15">
            <v>9.741935483870968</v>
          </cell>
          <cell r="M15">
            <v>0</v>
          </cell>
          <cell r="N15">
            <v>20.649012498581907</v>
          </cell>
          <cell r="O15">
            <v>104.63085785458507</v>
          </cell>
          <cell r="P15">
            <v>93.935133911329061</v>
          </cell>
          <cell r="Q15">
            <v>0.52050473186119872</v>
          </cell>
          <cell r="R15">
            <v>67.552258064516124</v>
          </cell>
          <cell r="S15">
            <v>61.354838709677416</v>
          </cell>
          <cell r="T15">
            <v>23.322580645161292</v>
          </cell>
          <cell r="U15">
            <v>16</v>
          </cell>
          <cell r="V15">
            <v>11.935483870967742</v>
          </cell>
          <cell r="W15">
            <v>0</v>
          </cell>
          <cell r="X15">
            <v>-1.5</v>
          </cell>
        </row>
        <row r="16">
          <cell r="A16">
            <v>15</v>
          </cell>
          <cell r="B16" t="str">
            <v>Alabama</v>
          </cell>
          <cell r="C16" t="str">
            <v>Ole Miss</v>
          </cell>
          <cell r="D16">
            <v>20.283548880532447</v>
          </cell>
          <cell r="E16">
            <v>102.2718253026347</v>
          </cell>
          <cell r="F16">
            <v>104.01809972205511</v>
          </cell>
          <cell r="G16">
            <v>0.55626223091976512</v>
          </cell>
          <cell r="H16">
            <v>74.289032258064523</v>
          </cell>
          <cell r="I16">
            <v>65.935483870967744</v>
          </cell>
          <cell r="J16">
            <v>24.483870967741936</v>
          </cell>
          <cell r="K16">
            <v>12.35483870967742</v>
          </cell>
          <cell r="L16">
            <v>9.935483870967742</v>
          </cell>
          <cell r="M16">
            <v>0</v>
          </cell>
          <cell r="N16">
            <v>8.9278178203979799</v>
          </cell>
          <cell r="O16">
            <v>100.09953473783261</v>
          </cell>
          <cell r="P16">
            <v>93.948889412718557</v>
          </cell>
          <cell r="Q16">
            <v>0.50161812297734631</v>
          </cell>
          <cell r="R16">
            <v>68.278709677419357</v>
          </cell>
          <cell r="S16">
            <v>59.806451612903224</v>
          </cell>
          <cell r="T16">
            <v>20.35483870967742</v>
          </cell>
          <cell r="U16">
            <v>10.225806451612904</v>
          </cell>
          <cell r="V16">
            <v>9.741935483870968</v>
          </cell>
          <cell r="W16">
            <v>0</v>
          </cell>
          <cell r="X16">
            <v>-10.5</v>
          </cell>
        </row>
        <row r="17">
          <cell r="A17">
            <v>16</v>
          </cell>
          <cell r="B17" t="str">
            <v>Arkansas</v>
          </cell>
          <cell r="C17" t="str">
            <v>Oklahoma</v>
          </cell>
          <cell r="D17">
            <v>20.289786813604461</v>
          </cell>
          <cell r="E17">
            <v>101.81190917064613</v>
          </cell>
          <cell r="F17">
            <v>97.741343816793645</v>
          </cell>
          <cell r="G17">
            <v>0.56654947262682065</v>
          </cell>
          <cell r="H17">
            <v>72.56258064516129</v>
          </cell>
          <cell r="I17">
            <v>64.225806451612897</v>
          </cell>
          <cell r="J17">
            <v>23.419354838709676</v>
          </cell>
          <cell r="K17">
            <v>11</v>
          </cell>
          <cell r="L17">
            <v>9.0322580645161299</v>
          </cell>
          <cell r="M17">
            <v>0</v>
          </cell>
          <cell r="N17">
            <v>12.428734007880106</v>
          </cell>
          <cell r="O17">
            <v>101.17459989674755</v>
          </cell>
          <cell r="P17">
            <v>99.400305910729628</v>
          </cell>
          <cell r="Q17">
            <v>0.55080213903743314</v>
          </cell>
          <cell r="R17">
            <v>68.590967741935486</v>
          </cell>
          <cell r="S17">
            <v>60.322580645161288</v>
          </cell>
          <cell r="T17">
            <v>21.870967741935484</v>
          </cell>
          <cell r="U17">
            <v>11.516129032258064</v>
          </cell>
          <cell r="V17">
            <v>10.161290322580646</v>
          </cell>
          <cell r="W17">
            <v>0</v>
          </cell>
          <cell r="X17">
            <v>-6.5</v>
          </cell>
        </row>
        <row r="18">
          <cell r="A18">
            <v>17</v>
          </cell>
          <cell r="B18" t="str">
            <v>Toledo</v>
          </cell>
          <cell r="C18" t="str">
            <v>Umass</v>
          </cell>
          <cell r="D18">
            <v>4.1368006701786264</v>
          </cell>
          <cell r="E18">
            <v>100.01830473218929</v>
          </cell>
          <cell r="F18">
            <v>101.61078845085268</v>
          </cell>
          <cell r="G18">
            <v>0.54476439790575915</v>
          </cell>
          <cell r="H18">
            <v>69.429677419354846</v>
          </cell>
          <cell r="I18">
            <v>61.612903225806448</v>
          </cell>
          <cell r="J18">
            <v>18.64516129032258</v>
          </cell>
          <cell r="K18">
            <v>10.516129032258064</v>
          </cell>
          <cell r="L18">
            <v>10.129032258064516</v>
          </cell>
          <cell r="M18">
            <v>0</v>
          </cell>
          <cell r="N18">
            <v>1.9653328411701338</v>
          </cell>
          <cell r="O18">
            <v>98.035528511139475</v>
          </cell>
          <cell r="P18">
            <v>92.56634666376938</v>
          </cell>
          <cell r="Q18">
            <v>0.53268318397469694</v>
          </cell>
          <cell r="R18">
            <v>72.318709677419363</v>
          </cell>
          <cell r="S18">
            <v>61.193548387096776</v>
          </cell>
          <cell r="T18">
            <v>22.64516129032258</v>
          </cell>
          <cell r="U18">
            <v>11.935483870967742</v>
          </cell>
          <cell r="V18">
            <v>13.096774193548388</v>
          </cell>
          <cell r="W18">
            <v>0</v>
          </cell>
          <cell r="X18">
            <v>-3</v>
          </cell>
        </row>
        <row r="19">
          <cell r="A19">
            <v>18</v>
          </cell>
          <cell r="B19" t="str">
            <v>Akron</v>
          </cell>
          <cell r="C19" t="str">
            <v>Kent State</v>
          </cell>
          <cell r="D19">
            <v>10.49945141256813</v>
          </cell>
          <cell r="E19">
            <v>99.8801284338209</v>
          </cell>
          <cell r="F19">
            <v>94.797305672709399</v>
          </cell>
          <cell r="G19">
            <v>0.59409687184661952</v>
          </cell>
          <cell r="H19">
            <v>71.441290322580642</v>
          </cell>
          <cell r="I19">
            <v>63.935483870967744</v>
          </cell>
          <cell r="J19">
            <v>17.64516129032258</v>
          </cell>
          <cell r="K19">
            <v>11.35483870967742</v>
          </cell>
          <cell r="L19">
            <v>11.096774193548388</v>
          </cell>
          <cell r="M19">
            <v>0</v>
          </cell>
          <cell r="N19">
            <v>4.4847029976942387</v>
          </cell>
          <cell r="O19">
            <v>98.659971577451444</v>
          </cell>
          <cell r="P19">
            <v>95.854047743121285</v>
          </cell>
          <cell r="Q19">
            <v>0.53807773109243695</v>
          </cell>
          <cell r="R19">
            <v>73.642580645161289</v>
          </cell>
          <cell r="S19">
            <v>61.41935483870968</v>
          </cell>
          <cell r="T19">
            <v>26.387096774193548</v>
          </cell>
          <cell r="U19">
            <v>12.96774193548387</v>
          </cell>
          <cell r="V19">
            <v>13.580645161290322</v>
          </cell>
          <cell r="W19">
            <v>0</v>
          </cell>
          <cell r="X19">
            <v>-7</v>
          </cell>
        </row>
        <row r="20">
          <cell r="A20">
            <v>19</v>
          </cell>
          <cell r="B20" t="str">
            <v>St. John's</v>
          </cell>
          <cell r="C20" t="str">
            <v>Seton Hall</v>
          </cell>
          <cell r="D20">
            <v>15.109788733361889</v>
          </cell>
          <cell r="E20">
            <v>102.58678864787763</v>
          </cell>
          <cell r="F20">
            <v>99.76074998519745</v>
          </cell>
          <cell r="G20">
            <v>0.50967573221757323</v>
          </cell>
          <cell r="H20">
            <v>70.571612903225812</v>
          </cell>
          <cell r="I20">
            <v>61.677419354838712</v>
          </cell>
          <cell r="J20">
            <v>26.225806451612904</v>
          </cell>
          <cell r="K20">
            <v>13.193548387096774</v>
          </cell>
          <cell r="L20">
            <v>10.548387096774194</v>
          </cell>
          <cell r="M20">
            <v>0</v>
          </cell>
          <cell r="N20">
            <v>9.7071392836284129</v>
          </cell>
          <cell r="O20">
            <v>101.21709106603365</v>
          </cell>
          <cell r="P20">
            <v>89.560914057491601</v>
          </cell>
          <cell r="Q20">
            <v>0.47830923248053392</v>
          </cell>
          <cell r="R20">
            <v>65.761290322580649</v>
          </cell>
          <cell r="S20">
            <v>58</v>
          </cell>
          <cell r="T20">
            <v>20.64516129032258</v>
          </cell>
          <cell r="U20">
            <v>12.516129032258064</v>
          </cell>
          <cell r="V20">
            <v>11.193548387096774</v>
          </cell>
          <cell r="W20">
            <v>0</v>
          </cell>
          <cell r="X20">
            <v>-7.5</v>
          </cell>
        </row>
        <row r="21">
          <cell r="A21">
            <v>20</v>
          </cell>
          <cell r="B21" t="str">
            <v>Uconn</v>
          </cell>
          <cell r="C21" t="str">
            <v>Georgetown</v>
          </cell>
          <cell r="D21">
            <v>18.208291246988694</v>
          </cell>
          <cell r="E21">
            <v>99.985237449118031</v>
          </cell>
          <cell r="F21">
            <v>95.057403075511033</v>
          </cell>
          <cell r="G21">
            <v>0.55555555555555558</v>
          </cell>
          <cell r="H21">
            <v>66.338064516129037</v>
          </cell>
          <cell r="I21">
            <v>58.645161290322584</v>
          </cell>
          <cell r="J21">
            <v>18.29032258064516</v>
          </cell>
          <cell r="K21">
            <v>11.387096774193548</v>
          </cell>
          <cell r="L21">
            <v>11.03225806451613</v>
          </cell>
          <cell r="M21">
            <v>0</v>
          </cell>
          <cell r="N21">
            <v>4.8967002257276384</v>
          </cell>
          <cell r="O21">
            <v>100.17815881645672</v>
          </cell>
          <cell r="P21">
            <v>97.299068250229467</v>
          </cell>
          <cell r="Q21">
            <v>0.49889380530973454</v>
          </cell>
          <cell r="R21">
            <v>67.492903225806458</v>
          </cell>
          <cell r="S21">
            <v>58.322580645161288</v>
          </cell>
          <cell r="T21">
            <v>22.161290322580644</v>
          </cell>
          <cell r="U21">
            <v>11.161290322580646</v>
          </cell>
          <cell r="V21">
            <v>10.580645161290322</v>
          </cell>
          <cell r="W21">
            <v>0</v>
          </cell>
          <cell r="X21">
            <v>-13.5</v>
          </cell>
        </row>
        <row r="22">
          <cell r="A22">
            <v>21</v>
          </cell>
          <cell r="B22" t="str">
            <v>Virginia</v>
          </cell>
          <cell r="C22" t="str">
            <v>Miami</v>
          </cell>
          <cell r="D22">
            <v>13.035509619415494</v>
          </cell>
          <cell r="E22">
            <v>102.89121915051371</v>
          </cell>
          <cell r="F22">
            <v>105.11224188648033</v>
          </cell>
          <cell r="G22">
            <v>0.54407859798194369</v>
          </cell>
          <cell r="H22">
            <v>67.184516129032261</v>
          </cell>
          <cell r="I22">
            <v>60.741935483870968</v>
          </cell>
          <cell r="J22">
            <v>20.580645161290324</v>
          </cell>
          <cell r="K22">
            <v>13.451612903225806</v>
          </cell>
          <cell r="L22">
            <v>10.838709677419354</v>
          </cell>
          <cell r="M22">
            <v>0</v>
          </cell>
          <cell r="N22">
            <v>11.929329589884304</v>
          </cell>
          <cell r="O22">
            <v>100.61828618286182</v>
          </cell>
          <cell r="P22">
            <v>99.00132783057046</v>
          </cell>
          <cell r="Q22">
            <v>0.56159225389994616</v>
          </cell>
          <cell r="R22">
            <v>68.91096774193548</v>
          </cell>
          <cell r="S22">
            <v>59.967741935483872</v>
          </cell>
          <cell r="T22">
            <v>22.451612903225808</v>
          </cell>
          <cell r="U22">
            <v>12.387096774193548</v>
          </cell>
          <cell r="V22">
            <v>11.451612903225806</v>
          </cell>
          <cell r="W22">
            <v>0</v>
          </cell>
          <cell r="X22">
            <v>-4</v>
          </cell>
        </row>
        <row r="23">
          <cell r="A23">
            <v>22</v>
          </cell>
          <cell r="B23" t="str">
            <v>Duke</v>
          </cell>
          <cell r="C23" t="str">
            <v>Clemson</v>
          </cell>
          <cell r="D23">
            <v>23.818031475685999</v>
          </cell>
          <cell r="E23">
            <v>101.49806376319559</v>
          </cell>
          <cell r="F23">
            <v>100.14794611787336</v>
          </cell>
          <cell r="G23">
            <v>0.57475083056478404</v>
          </cell>
          <cell r="H23">
            <v>66.400000000000006</v>
          </cell>
          <cell r="I23">
            <v>58.258064516129032</v>
          </cell>
          <cell r="J23">
            <v>22.096774193548388</v>
          </cell>
          <cell r="K23">
            <v>12</v>
          </cell>
          <cell r="L23">
            <v>10.419354838709678</v>
          </cell>
          <cell r="M23">
            <v>0</v>
          </cell>
          <cell r="N23">
            <v>10.069036604361182</v>
          </cell>
          <cell r="O23">
            <v>98.878088338649505</v>
          </cell>
          <cell r="P23">
            <v>105.06451978578953</v>
          </cell>
          <cell r="Q23">
            <v>0.53058280438545879</v>
          </cell>
          <cell r="R23">
            <v>65.505806451612912</v>
          </cell>
          <cell r="S23">
            <v>55.903225806451616</v>
          </cell>
          <cell r="T23">
            <v>20.870967741935484</v>
          </cell>
          <cell r="U23">
            <v>9.32258064516129</v>
          </cell>
          <cell r="V23">
            <v>9.741935483870968</v>
          </cell>
          <cell r="W23">
            <v>0</v>
          </cell>
          <cell r="X23">
            <v>-11.5</v>
          </cell>
        </row>
        <row r="24">
          <cell r="A24">
            <v>23</v>
          </cell>
          <cell r="B24" t="str">
            <v>Arizona</v>
          </cell>
          <cell r="C24" t="str">
            <v>Iowa State</v>
          </cell>
          <cell r="D24">
            <v>23.726370739322146</v>
          </cell>
          <cell r="E24">
            <v>101.71571463594017</v>
          </cell>
          <cell r="F24">
            <v>98.8245285938752</v>
          </cell>
          <cell r="G24">
            <v>0.54952581664910427</v>
          </cell>
          <cell r="H24">
            <v>70.829677419354852</v>
          </cell>
          <cell r="I24">
            <v>61.225806451612904</v>
          </cell>
          <cell r="J24">
            <v>26.225806451612904</v>
          </cell>
          <cell r="K24">
            <v>12.903225806451612</v>
          </cell>
          <cell r="L24">
            <v>10.96774193548387</v>
          </cell>
          <cell r="M24">
            <v>0</v>
          </cell>
          <cell r="N24">
            <v>19.724267702693741</v>
          </cell>
          <cell r="O24">
            <v>101.38630280766203</v>
          </cell>
          <cell r="P24">
            <v>95.516490153604366</v>
          </cell>
          <cell r="Q24">
            <v>0.56290322580645158</v>
          </cell>
          <cell r="R24">
            <v>67.727741935483877</v>
          </cell>
          <cell r="S24">
            <v>60</v>
          </cell>
          <cell r="T24">
            <v>20.93548387096774</v>
          </cell>
          <cell r="U24">
            <v>11.806451612903226</v>
          </cell>
          <cell r="V24">
            <v>10.32258064516129</v>
          </cell>
          <cell r="W24">
            <v>0</v>
          </cell>
          <cell r="X24">
            <v>-3.5</v>
          </cell>
        </row>
        <row r="25">
          <cell r="A25">
            <v>24</v>
          </cell>
          <cell r="B25" t="str">
            <v>Houston</v>
          </cell>
          <cell r="C25" t="str">
            <v>Kansas</v>
          </cell>
          <cell r="D25">
            <v>20.523299572994468</v>
          </cell>
          <cell r="E25">
            <v>105.83703703703704</v>
          </cell>
          <cell r="F25">
            <v>98.084829653904706</v>
          </cell>
          <cell r="G25">
            <v>0.52282491944146081</v>
          </cell>
          <cell r="H25">
            <v>64.807999999999993</v>
          </cell>
          <cell r="I25">
            <v>62.06666666666667</v>
          </cell>
          <cell r="J25">
            <v>16.533333333333335</v>
          </cell>
          <cell r="K25">
            <v>12.833333333333334</v>
          </cell>
          <cell r="L25">
            <v>8.3000000000000007</v>
          </cell>
          <cell r="M25">
            <v>0</v>
          </cell>
          <cell r="N25">
            <v>17.202083243787136</v>
          </cell>
          <cell r="O25">
            <v>98.411155715191214</v>
          </cell>
          <cell r="P25">
            <v>106.47134076078173</v>
          </cell>
          <cell r="Q25">
            <v>0.5253682487725041</v>
          </cell>
          <cell r="R25">
            <v>68.199999999999989</v>
          </cell>
          <cell r="S25">
            <v>59.12903225806452</v>
          </cell>
          <cell r="T25">
            <v>18.70967741935484</v>
          </cell>
          <cell r="U25">
            <v>9.935483870967742</v>
          </cell>
          <cell r="V25">
            <v>10.774193548387096</v>
          </cell>
          <cell r="W25">
            <v>0</v>
          </cell>
          <cell r="X25">
            <v>-5.5</v>
          </cell>
        </row>
        <row r="26">
          <cell r="A26">
            <v>25</v>
          </cell>
          <cell r="B26" t="str">
            <v>Utah Valley</v>
          </cell>
          <cell r="C26" t="str">
            <v>UT Arlington</v>
          </cell>
          <cell r="D26">
            <v>7.1660953976463073</v>
          </cell>
          <cell r="E26">
            <v>96.788608522667772</v>
          </cell>
          <cell r="F26">
            <v>87.924687269369926</v>
          </cell>
          <cell r="G26">
            <v>0.56105144149236852</v>
          </cell>
          <cell r="H26">
            <v>70.398666666666671</v>
          </cell>
          <cell r="I26">
            <v>58.966666666666669</v>
          </cell>
          <cell r="J26">
            <v>21.133333333333333</v>
          </cell>
          <cell r="K26">
            <v>11.933333333333334</v>
          </cell>
          <cell r="L26">
            <v>14.066666666666666</v>
          </cell>
          <cell r="M26">
            <v>0</v>
          </cell>
          <cell r="N26">
            <v>3.3990966185562335</v>
          </cell>
          <cell r="O26">
            <v>96.820667384284164</v>
          </cell>
          <cell r="P26">
            <v>94.886171282090174</v>
          </cell>
          <cell r="Q26">
            <v>0.4855159927579964</v>
          </cell>
          <cell r="R26">
            <v>67.382666666666665</v>
          </cell>
          <cell r="S26">
            <v>55.233333333333334</v>
          </cell>
          <cell r="T26">
            <v>23.066666666666666</v>
          </cell>
          <cell r="U26">
            <v>12.1</v>
          </cell>
          <cell r="V26">
            <v>14.1</v>
          </cell>
          <cell r="W26">
            <v>0</v>
          </cell>
          <cell r="X26">
            <v>-8.5</v>
          </cell>
        </row>
        <row r="27">
          <cell r="A27">
            <v>26</v>
          </cell>
          <cell r="B27" t="str">
            <v>California Baptist</v>
          </cell>
          <cell r="C27" t="str">
            <v>Utah Tech</v>
          </cell>
          <cell r="D27">
            <v>4.601636720836713</v>
          </cell>
          <cell r="E27">
            <v>101.16726287262874</v>
          </cell>
          <cell r="F27">
            <v>89.920292368090941</v>
          </cell>
          <cell r="G27">
            <v>0.48252536640360766</v>
          </cell>
          <cell r="H27">
            <v>67.391999999999996</v>
          </cell>
          <cell r="I27">
            <v>59.133333333333333</v>
          </cell>
          <cell r="J27">
            <v>21.8</v>
          </cell>
          <cell r="K27">
            <v>13.866666666666667</v>
          </cell>
          <cell r="L27">
            <v>12.533333333333333</v>
          </cell>
          <cell r="M27">
            <v>0</v>
          </cell>
          <cell r="N27">
            <v>1.9865779119757374</v>
          </cell>
          <cell r="O27">
            <v>96.393569131832805</v>
          </cell>
          <cell r="P27">
            <v>98.645208978051656</v>
          </cell>
          <cell r="Q27">
            <v>0.5346869712351946</v>
          </cell>
          <cell r="R27">
            <v>69.688000000000002</v>
          </cell>
          <cell r="S27">
            <v>59.1</v>
          </cell>
          <cell r="T27">
            <v>18.533333333333335</v>
          </cell>
          <cell r="U27">
            <v>9.6999999999999993</v>
          </cell>
          <cell r="V27">
            <v>12.133333333333333</v>
          </cell>
          <cell r="W27">
            <v>0</v>
          </cell>
          <cell r="X27">
            <v>-5.5</v>
          </cell>
        </row>
        <row r="28">
          <cell r="A28">
            <v>27</v>
          </cell>
          <cell r="B28" t="str">
            <v>UC irvine</v>
          </cell>
          <cell r="C28" t="str">
            <v>CSU Northridge</v>
          </cell>
          <cell r="D28">
            <v>5.2870372643884913</v>
          </cell>
          <cell r="E28">
            <v>98.000795228628249</v>
          </cell>
          <cell r="F28">
            <v>92.824900535566286</v>
          </cell>
          <cell r="G28">
            <v>0.51370585134422775</v>
          </cell>
          <cell r="H28">
            <v>71.811612903225807</v>
          </cell>
          <cell r="I28">
            <v>61.193548387096776</v>
          </cell>
          <cell r="J28">
            <v>21.419354838709676</v>
          </cell>
          <cell r="K28">
            <v>11.548387096774194</v>
          </cell>
          <cell r="L28">
            <v>12.741935483870968</v>
          </cell>
          <cell r="M28">
            <v>0</v>
          </cell>
          <cell r="N28">
            <v>-6.5523774676039676E-2</v>
          </cell>
          <cell r="O28">
            <v>99.39542792367277</v>
          </cell>
          <cell r="P28">
            <v>96.543232494052162</v>
          </cell>
          <cell r="Q28">
            <v>0.50369094488188981</v>
          </cell>
          <cell r="R28">
            <v>75.548387096774192</v>
          </cell>
          <cell r="S28">
            <v>65.548387096774192</v>
          </cell>
          <cell r="T28">
            <v>22.580645161290324</v>
          </cell>
          <cell r="U28">
            <v>13.258064516129032</v>
          </cell>
          <cell r="V28">
            <v>13.32258064516129</v>
          </cell>
          <cell r="W28">
            <v>0</v>
          </cell>
          <cell r="X28">
            <v>-4.5</v>
          </cell>
        </row>
        <row r="29">
          <cell r="A29">
            <v>28</v>
          </cell>
          <cell r="B29" t="str">
            <v>Hawaii</v>
          </cell>
          <cell r="C29" t="str">
            <v>CSU Fullerton</v>
          </cell>
          <cell r="D29">
            <v>2.4205256715728276</v>
          </cell>
          <cell r="E29">
            <v>96.251520482533294</v>
          </cell>
          <cell r="F29">
            <v>92.252558584997232</v>
          </cell>
          <cell r="G29">
            <v>0.52753872633390708</v>
          </cell>
          <cell r="H29">
            <v>71.861333333333334</v>
          </cell>
          <cell r="I29">
            <v>58.1</v>
          </cell>
          <cell r="J29">
            <v>25.366666666666667</v>
          </cell>
          <cell r="K29">
            <v>10.733333333333333</v>
          </cell>
          <cell r="L29">
            <v>13.333333333333334</v>
          </cell>
          <cell r="M29">
            <v>0</v>
          </cell>
          <cell r="N29">
            <v>1.6380753803370078</v>
          </cell>
          <cell r="O29">
            <v>97.409523809523805</v>
          </cell>
          <cell r="P29">
            <v>90.200910338078543</v>
          </cell>
          <cell r="Q29">
            <v>0.52838874680306902</v>
          </cell>
          <cell r="R29">
            <v>75.224516129032267</v>
          </cell>
          <cell r="S29">
            <v>63.064516129032256</v>
          </cell>
          <cell r="T29">
            <v>23.677419354838708</v>
          </cell>
          <cell r="U29">
            <v>9.741935483870968</v>
          </cell>
          <cell r="V29">
            <v>11.483870967741936</v>
          </cell>
          <cell r="W29">
            <v>0</v>
          </cell>
          <cell r="X29">
            <v>-4</v>
          </cell>
        </row>
        <row r="30">
          <cell r="A30">
            <v>29</v>
          </cell>
          <cell r="B30" t="str">
            <v>Utah State</v>
          </cell>
          <cell r="C30" t="str">
            <v>Nevada</v>
          </cell>
          <cell r="D30">
            <v>16.347492910416953</v>
          </cell>
          <cell r="E30">
            <v>99.814093598708979</v>
          </cell>
          <cell r="F30">
            <v>89.773356716311071</v>
          </cell>
          <cell r="G30">
            <v>0.57657142857142862</v>
          </cell>
          <cell r="H30">
            <v>67.801333333333332</v>
          </cell>
          <cell r="I30">
            <v>58.333333333333336</v>
          </cell>
          <cell r="J30">
            <v>22.2</v>
          </cell>
          <cell r="K30">
            <v>10.766666666666667</v>
          </cell>
          <cell r="L30">
            <v>10.466666666666667</v>
          </cell>
          <cell r="M30">
            <v>0</v>
          </cell>
          <cell r="N30">
            <v>9.2097769172278117</v>
          </cell>
          <cell r="O30">
            <v>101.36929460580913</v>
          </cell>
          <cell r="P30">
            <v>93.092548572138085</v>
          </cell>
          <cell r="Q30">
            <v>0.49772598067083568</v>
          </cell>
          <cell r="R30">
            <v>66.516129032258064</v>
          </cell>
          <cell r="S30">
            <v>56.741935483870968</v>
          </cell>
          <cell r="T30">
            <v>25.806451612903224</v>
          </cell>
          <cell r="U30">
            <v>11.419354838709678</v>
          </cell>
          <cell r="V30">
            <v>9.8387096774193541</v>
          </cell>
          <cell r="W30">
            <v>0</v>
          </cell>
          <cell r="X30">
            <v>-6.5</v>
          </cell>
        </row>
        <row r="31">
          <cell r="A31">
            <v>30</v>
          </cell>
          <cell r="B31" t="str">
            <v>San Diego State</v>
          </cell>
          <cell r="C31" t="str">
            <v>New Mexico</v>
          </cell>
          <cell r="D31">
            <v>14.550197800997752</v>
          </cell>
          <cell r="E31">
            <v>96.841816840552212</v>
          </cell>
          <cell r="F31">
            <v>87.434270076584269</v>
          </cell>
          <cell r="G31">
            <v>0.54383954154727798</v>
          </cell>
          <cell r="H31">
            <v>69.707999999999998</v>
          </cell>
          <cell r="I31">
            <v>58.166666666666664</v>
          </cell>
          <cell r="J31">
            <v>21.533333333333335</v>
          </cell>
          <cell r="K31">
            <v>9.6999999999999993</v>
          </cell>
          <cell r="L31">
            <v>11.766666666666667</v>
          </cell>
          <cell r="M31">
            <v>0</v>
          </cell>
          <cell r="N31">
            <v>12.649658974309501</v>
          </cell>
          <cell r="O31">
            <v>99.080478410703407</v>
          </cell>
          <cell r="P31">
            <v>89.11076612086076</v>
          </cell>
          <cell r="Q31">
            <v>0.53873050026896185</v>
          </cell>
          <cell r="R31">
            <v>69.966451612903228</v>
          </cell>
          <cell r="S31">
            <v>59.967741935483872</v>
          </cell>
          <cell r="T31">
            <v>22.06451612903226</v>
          </cell>
          <cell r="U31">
            <v>10.419354838709678</v>
          </cell>
          <cell r="V31">
            <v>10.709677419354838</v>
          </cell>
          <cell r="W31">
            <v>0</v>
          </cell>
          <cell r="X31">
            <v>-1.5</v>
          </cell>
        </row>
        <row r="32">
          <cell r="A32">
            <v>31</v>
          </cell>
          <cell r="B32" t="str">
            <v>Alabama A&amp;M</v>
          </cell>
          <cell r="C32" t="str">
            <v>Prairie View A&amp;M</v>
          </cell>
          <cell r="D32">
            <v>-12.778230890104188</v>
          </cell>
          <cell r="E32">
            <v>96.92565895642818</v>
          </cell>
          <cell r="F32">
            <v>96.855429590956433</v>
          </cell>
          <cell r="G32">
            <v>0.49847094801223241</v>
          </cell>
          <cell r="H32">
            <v>66.989333333333335</v>
          </cell>
          <cell r="I32">
            <v>54.5</v>
          </cell>
          <cell r="J32">
            <v>24.066666666666666</v>
          </cell>
          <cell r="K32">
            <v>9.3333333333333339</v>
          </cell>
          <cell r="L32">
            <v>11.233333333333333</v>
          </cell>
          <cell r="M32">
            <v>0</v>
          </cell>
          <cell r="N32">
            <v>-10.748183340293197</v>
          </cell>
          <cell r="O32">
            <v>96.942723004694827</v>
          </cell>
          <cell r="P32">
            <v>93.291737667336207</v>
          </cell>
          <cell r="Q32">
            <v>0.49388297872340425</v>
          </cell>
          <cell r="R32">
            <v>74.380645161290332</v>
          </cell>
          <cell r="S32">
            <v>60.645161290322584</v>
          </cell>
          <cell r="T32">
            <v>26.451612903225808</v>
          </cell>
          <cell r="U32">
            <v>10.161290322580646</v>
          </cell>
          <cell r="V32">
            <v>12.258064516129032</v>
          </cell>
          <cell r="W32">
            <v>0</v>
          </cell>
          <cell r="X32">
            <v>1</v>
          </cell>
        </row>
        <row r="33">
          <cell r="A33">
            <v>32</v>
          </cell>
          <cell r="B33" t="str">
            <v>Florida A&amp;M</v>
          </cell>
          <cell r="C33" t="str">
            <v>Southern</v>
          </cell>
          <cell r="D33">
            <v>-14.324192454791095</v>
          </cell>
          <cell r="E33">
            <v>93.774164408310739</v>
          </cell>
          <cell r="F33">
            <v>93.090341388988747</v>
          </cell>
          <cell r="G33">
            <v>0.49171974522292994</v>
          </cell>
          <cell r="H33">
            <v>69.874285714285719</v>
          </cell>
          <cell r="I33">
            <v>56.071428571428569</v>
          </cell>
          <cell r="J33">
            <v>21.142857142857142</v>
          </cell>
          <cell r="K33">
            <v>10.642857142857142</v>
          </cell>
          <cell r="L33">
            <v>15.142857142857142</v>
          </cell>
          <cell r="M33">
            <v>0</v>
          </cell>
          <cell r="N33">
            <v>-6.7092460643817606</v>
          </cell>
          <cell r="O33">
            <v>99.018646109371232</v>
          </cell>
          <cell r="P33">
            <v>93.207129449722274</v>
          </cell>
          <cell r="Q33">
            <v>0.50943396226415094</v>
          </cell>
          <cell r="R33">
            <v>72.842580645161291</v>
          </cell>
          <cell r="S33">
            <v>61.548387096774192</v>
          </cell>
          <cell r="T33">
            <v>24.93548387096774</v>
          </cell>
          <cell r="U33">
            <v>11.67741935483871</v>
          </cell>
          <cell r="V33">
            <v>12</v>
          </cell>
          <cell r="W33">
            <v>0</v>
          </cell>
          <cell r="X33">
            <v>3</v>
          </cell>
        </row>
        <row r="34">
          <cell r="A34">
            <v>33</v>
          </cell>
          <cell r="B34" t="str">
            <v>Howard</v>
          </cell>
          <cell r="C34" t="str">
            <v>South Carolina State</v>
          </cell>
          <cell r="D34">
            <v>-7.0667288784066029</v>
          </cell>
          <cell r="E34">
            <v>97.771296389419689</v>
          </cell>
          <cell r="F34">
            <v>101.22012384797286</v>
          </cell>
          <cell r="G34">
            <v>0.52172686230248311</v>
          </cell>
          <cell r="H34">
            <v>69.380645161290332</v>
          </cell>
          <cell r="I34">
            <v>57.161290322580648</v>
          </cell>
          <cell r="J34">
            <v>24.838709677419356</v>
          </cell>
          <cell r="K34">
            <v>12.290322580645162</v>
          </cell>
          <cell r="L34">
            <v>13.580645161290322</v>
          </cell>
          <cell r="M34">
            <v>0</v>
          </cell>
          <cell r="N34">
            <v>-15.059792168727887</v>
          </cell>
          <cell r="O34">
            <v>94.89192336191384</v>
          </cell>
          <cell r="P34">
            <v>88.02533549738591</v>
          </cell>
          <cell r="Q34">
            <v>0.46562123039806996</v>
          </cell>
          <cell r="R34">
            <v>68.835999999999999</v>
          </cell>
          <cell r="S34">
            <v>55.266666666666666</v>
          </cell>
          <cell r="T34">
            <v>22.733333333333334</v>
          </cell>
          <cell r="U34">
            <v>11</v>
          </cell>
          <cell r="V34">
            <v>14.566666666666666</v>
          </cell>
          <cell r="W34">
            <v>0</v>
          </cell>
          <cell r="X34">
            <v>-15</v>
          </cell>
        </row>
        <row r="35">
          <cell r="A35">
            <v>34</v>
          </cell>
          <cell r="B35" t="str">
            <v>North Carolina Central</v>
          </cell>
          <cell r="C35" t="str">
            <v>Delaware State</v>
          </cell>
          <cell r="D35">
            <v>-12.049706064548028</v>
          </cell>
          <cell r="E35">
            <v>97.391178918169217</v>
          </cell>
          <cell r="F35">
            <v>102.17668911130822</v>
          </cell>
          <cell r="G35">
            <v>0.49514563106796117</v>
          </cell>
          <cell r="H35">
            <v>68.108965517241387</v>
          </cell>
          <cell r="I35">
            <v>56.827586206896555</v>
          </cell>
          <cell r="J35">
            <v>22.03448275862069</v>
          </cell>
          <cell r="K35">
            <v>10.689655172413794</v>
          </cell>
          <cell r="L35">
            <v>12.275862068965518</v>
          </cell>
          <cell r="M35">
            <v>0</v>
          </cell>
          <cell r="N35">
            <v>-19.863634651465969</v>
          </cell>
          <cell r="O35">
            <v>94.855855335374656</v>
          </cell>
          <cell r="P35">
            <v>100.4032468743993</v>
          </cell>
          <cell r="Q35">
            <v>0.43796526054590573</v>
          </cell>
          <cell r="R35">
            <v>66.882758620689657</v>
          </cell>
          <cell r="S35">
            <v>55.586206896551722</v>
          </cell>
          <cell r="T35">
            <v>17.758620689655171</v>
          </cell>
          <cell r="U35">
            <v>9.6551724137931032</v>
          </cell>
          <cell r="V35">
            <v>13.137931034482758</v>
          </cell>
          <cell r="W35">
            <v>0</v>
          </cell>
          <cell r="X35">
            <v>-4.5</v>
          </cell>
        </row>
        <row r="36">
          <cell r="A36">
            <v>35</v>
          </cell>
          <cell r="B36" t="str">
            <v>George Washington</v>
          </cell>
          <cell r="C36" t="str">
            <v>Saint Louis</v>
          </cell>
          <cell r="D36">
            <v>8.1181174856323501</v>
          </cell>
          <cell r="E36">
            <v>99.423073027448609</v>
          </cell>
          <cell r="F36">
            <v>102.88385819155521</v>
          </cell>
          <cell r="G36">
            <v>0.55111228813559321</v>
          </cell>
          <cell r="H36">
            <v>70.331612903225803</v>
          </cell>
          <cell r="I36">
            <v>60.903225806451616</v>
          </cell>
          <cell r="J36">
            <v>21.35483870967742</v>
          </cell>
          <cell r="K36">
            <v>12.741935483870968</v>
          </cell>
          <cell r="L36">
            <v>12.774193548387096</v>
          </cell>
          <cell r="M36">
            <v>0</v>
          </cell>
          <cell r="N36">
            <v>12.924462689730786</v>
          </cell>
          <cell r="O36">
            <v>96.65371999791742</v>
          </cell>
          <cell r="P36">
            <v>94.854733271656428</v>
          </cell>
          <cell r="Q36">
            <v>0.60122699386503065</v>
          </cell>
          <cell r="R36">
            <v>71.082666666666668</v>
          </cell>
          <cell r="S36">
            <v>59.766666666666666</v>
          </cell>
          <cell r="T36">
            <v>20.566666666666666</v>
          </cell>
          <cell r="U36">
            <v>10.133333333333333</v>
          </cell>
          <cell r="V36">
            <v>12.4</v>
          </cell>
          <cell r="W36">
            <v>0</v>
          </cell>
          <cell r="X36">
            <v>6.5</v>
          </cell>
        </row>
        <row r="37">
          <cell r="A37">
            <v>36</v>
          </cell>
          <cell r="B37" t="str">
            <v>St. Bonaventure</v>
          </cell>
          <cell r="C37" t="str">
            <v>Dayton</v>
          </cell>
          <cell r="D37">
            <v>3.6587011371081828</v>
          </cell>
          <cell r="E37">
            <v>100.06821327722717</v>
          </cell>
          <cell r="F37">
            <v>98.203101803703447</v>
          </cell>
          <cell r="G37">
            <v>0.52207505518763797</v>
          </cell>
          <cell r="H37">
            <v>67.670666666666662</v>
          </cell>
          <cell r="I37">
            <v>60.4</v>
          </cell>
          <cell r="J37">
            <v>17.433333333333334</v>
          </cell>
          <cell r="K37">
            <v>11.866666666666667</v>
          </cell>
          <cell r="L37">
            <v>11.466666666666667</v>
          </cell>
          <cell r="M37">
            <v>0</v>
          </cell>
          <cell r="N37">
            <v>7.2080821342928445</v>
          </cell>
          <cell r="O37">
            <v>95.080309824704429</v>
          </cell>
          <cell r="P37">
            <v>92.716319767963711</v>
          </cell>
          <cell r="Q37">
            <v>0.52316486161251508</v>
          </cell>
          <cell r="R37">
            <v>68.127741935483868</v>
          </cell>
          <cell r="S37">
            <v>53.612903225806448</v>
          </cell>
          <cell r="T37">
            <v>25.29032258064516</v>
          </cell>
          <cell r="U37">
            <v>8.7096774193548381</v>
          </cell>
          <cell r="V37">
            <v>12.096774193548388</v>
          </cell>
          <cell r="W37">
            <v>0</v>
          </cell>
          <cell r="X37">
            <v>7</v>
          </cell>
        </row>
        <row r="38">
          <cell r="A38">
            <v>37</v>
          </cell>
          <cell r="B38" t="str">
            <v>Duquesne</v>
          </cell>
          <cell r="C38" t="str">
            <v>VCU</v>
          </cell>
          <cell r="D38">
            <v>5.2557397789312335</v>
          </cell>
          <cell r="E38">
            <v>96.601451088316239</v>
          </cell>
          <cell r="F38">
            <v>91.760435156727468</v>
          </cell>
          <cell r="G38">
            <v>0.53655854865310615</v>
          </cell>
          <cell r="H38">
            <v>70.832258064516139</v>
          </cell>
          <cell r="I38">
            <v>58.677419354838712</v>
          </cell>
          <cell r="J38">
            <v>22.419354838709676</v>
          </cell>
          <cell r="K38">
            <v>10.548387096774194</v>
          </cell>
          <cell r="L38">
            <v>12.838709677419354</v>
          </cell>
          <cell r="M38">
            <v>0</v>
          </cell>
          <cell r="N38">
            <v>10.046934010674722</v>
          </cell>
          <cell r="O38">
            <v>100.11649510419282</v>
          </cell>
          <cell r="P38">
            <v>100.40585231866712</v>
          </cell>
          <cell r="Q38">
            <v>0.54296008869179602</v>
          </cell>
          <cell r="R38">
            <v>69.00645161290322</v>
          </cell>
          <cell r="S38">
            <v>58.193548387096776</v>
          </cell>
          <cell r="T38">
            <v>25.967741935483872</v>
          </cell>
          <cell r="U38">
            <v>11.419354838709678</v>
          </cell>
          <cell r="V38">
            <v>10.806451612903226</v>
          </cell>
          <cell r="W38">
            <v>0</v>
          </cell>
          <cell r="X38">
            <v>9</v>
          </cell>
        </row>
        <row r="39">
          <cell r="A39">
            <v>38</v>
          </cell>
          <cell r="B39" t="str">
            <v>Davidson</v>
          </cell>
          <cell r="C39" t="str">
            <v>St. Joseph's</v>
          </cell>
          <cell r="D39">
            <v>5.7827826511419316</v>
          </cell>
          <cell r="E39">
            <v>98.650066696309466</v>
          </cell>
          <cell r="F39">
            <v>102.50299343544884</v>
          </cell>
          <cell r="G39">
            <v>0.53981534910559725</v>
          </cell>
          <cell r="H39">
            <v>64.578064516129032</v>
          </cell>
          <cell r="I39">
            <v>55.903225806451616</v>
          </cell>
          <cell r="J39">
            <v>18.322580645161292</v>
          </cell>
          <cell r="K39">
            <v>9.806451612903226</v>
          </cell>
          <cell r="L39">
            <v>10.419354838709678</v>
          </cell>
          <cell r="M39">
            <v>0</v>
          </cell>
          <cell r="N39">
            <v>0.35857878605365429</v>
          </cell>
          <cell r="O39">
            <v>99.259251438526107</v>
          </cell>
          <cell r="P39">
            <v>108.34882848626603</v>
          </cell>
          <cell r="Q39">
            <v>0.5</v>
          </cell>
          <cell r="R39">
            <v>68.286451612903235</v>
          </cell>
          <cell r="S39">
            <v>59.903225806451616</v>
          </cell>
          <cell r="T39">
            <v>18.612903225806452</v>
          </cell>
          <cell r="U39">
            <v>11.64516129032258</v>
          </cell>
          <cell r="V39">
            <v>11.838709677419354</v>
          </cell>
          <cell r="W39">
            <v>0</v>
          </cell>
          <cell r="X39">
            <v>2</v>
          </cell>
        </row>
        <row r="40">
          <cell r="A40">
            <v>39</v>
          </cell>
          <cell r="B40" t="str">
            <v>Ohio State</v>
          </cell>
          <cell r="C40" t="str">
            <v>Michigan</v>
          </cell>
          <cell r="D40">
            <v>14.643537446231871</v>
          </cell>
          <cell r="E40">
            <v>97.86818231500709</v>
          </cell>
          <cell r="F40">
            <v>101.49670801900939</v>
          </cell>
          <cell r="G40">
            <v>0.56910809214412283</v>
          </cell>
          <cell r="H40">
            <v>66.990666666666669</v>
          </cell>
          <cell r="I40">
            <v>56.43333333333333</v>
          </cell>
          <cell r="J40">
            <v>21.266666666666666</v>
          </cell>
          <cell r="K40">
            <v>9.1666666666666661</v>
          </cell>
          <cell r="L40">
            <v>10.366666666666667</v>
          </cell>
          <cell r="M40">
            <v>0</v>
          </cell>
          <cell r="N40">
            <v>23.915638484765847</v>
          </cell>
          <cell r="O40">
            <v>98.283491704002756</v>
          </cell>
          <cell r="P40">
            <v>95.448163069798071</v>
          </cell>
          <cell r="Q40">
            <v>0.5870726495726496</v>
          </cell>
          <cell r="R40">
            <v>71.669677419354841</v>
          </cell>
          <cell r="S40">
            <v>60.387096774193552</v>
          </cell>
          <cell r="T40">
            <v>23.516129032258064</v>
          </cell>
          <cell r="U40">
            <v>11.225806451612904</v>
          </cell>
          <cell r="V40">
            <v>12.161290322580646</v>
          </cell>
          <cell r="W40">
            <v>0</v>
          </cell>
          <cell r="X40">
            <v>12.5</v>
          </cell>
        </row>
        <row r="41">
          <cell r="A41">
            <v>40</v>
          </cell>
          <cell r="B41" t="str">
            <v>Wisconsin</v>
          </cell>
          <cell r="C41" t="str">
            <v>Illinois</v>
          </cell>
          <cell r="D41">
            <v>15.99115140253407</v>
          </cell>
          <cell r="E41">
            <v>101.25838978230519</v>
          </cell>
          <cell r="F41">
            <v>98.106398085976267</v>
          </cell>
          <cell r="G41">
            <v>0.54685863874345553</v>
          </cell>
          <cell r="H41">
            <v>69.153548387096777</v>
          </cell>
          <cell r="I41">
            <v>61.612903225806448</v>
          </cell>
          <cell r="J41">
            <v>20.29032258064516</v>
          </cell>
          <cell r="K41">
            <v>10.419354838709678</v>
          </cell>
          <cell r="L41">
            <v>9.0322580645161299</v>
          </cell>
          <cell r="M41">
            <v>0</v>
          </cell>
          <cell r="N41">
            <v>19.052161675549581</v>
          </cell>
          <cell r="O41">
            <v>105.19498868590982</v>
          </cell>
          <cell r="P41">
            <v>109.65132721821237</v>
          </cell>
          <cell r="Q41">
            <v>0.55067385444743933</v>
          </cell>
          <cell r="R41">
            <v>66.549333333333337</v>
          </cell>
          <cell r="S41">
            <v>61.833333333333336</v>
          </cell>
          <cell r="T41">
            <v>20.566666666666666</v>
          </cell>
          <cell r="U41">
            <v>13.4</v>
          </cell>
          <cell r="V41">
            <v>9.0666666666666664</v>
          </cell>
          <cell r="W41">
            <v>0</v>
          </cell>
          <cell r="X41">
            <v>8.5</v>
          </cell>
        </row>
        <row r="42">
          <cell r="A42">
            <v>41</v>
          </cell>
          <cell r="B42" t="str">
            <v>Purdue</v>
          </cell>
          <cell r="C42" t="str">
            <v>Nebraska</v>
          </cell>
          <cell r="D42">
            <v>20.822747409737431</v>
          </cell>
          <cell r="E42">
            <v>102.36430980153686</v>
          </cell>
          <cell r="F42">
            <v>102.10099533949814</v>
          </cell>
          <cell r="G42">
            <v>0.57913090128755362</v>
          </cell>
          <cell r="H42">
            <v>65.54451612903226</v>
          </cell>
          <cell r="I42">
            <v>60.12903225806452</v>
          </cell>
          <cell r="J42">
            <v>17</v>
          </cell>
          <cell r="K42">
            <v>11.161290322580646</v>
          </cell>
          <cell r="L42">
            <v>9.0967741935483879</v>
          </cell>
          <cell r="M42">
            <v>0</v>
          </cell>
          <cell r="N42">
            <v>16.038493727225667</v>
          </cell>
          <cell r="O42">
            <v>98.214103191431519</v>
          </cell>
          <cell r="P42">
            <v>102.68181819319739</v>
          </cell>
          <cell r="Q42">
            <v>0.5566192560175055</v>
          </cell>
          <cell r="R42">
            <v>67.107096774193565</v>
          </cell>
          <cell r="S42">
            <v>58.967741935483872</v>
          </cell>
          <cell r="T42">
            <v>16.225806451612904</v>
          </cell>
          <cell r="U42">
            <v>8.741935483870968</v>
          </cell>
          <cell r="V42">
            <v>9.741935483870968</v>
          </cell>
          <cell r="W42">
            <v>0</v>
          </cell>
          <cell r="X42">
            <v>-4</v>
          </cell>
        </row>
        <row r="43">
          <cell r="A43">
            <v>42</v>
          </cell>
          <cell r="B43" t="str">
            <v>UCLA</v>
          </cell>
          <cell r="C43" t="str">
            <v>Michigan State</v>
          </cell>
          <cell r="D43">
            <v>16.04165934317437</v>
          </cell>
          <cell r="E43">
            <v>100.9511732509619</v>
          </cell>
          <cell r="F43">
            <v>92.195689602132376</v>
          </cell>
          <cell r="G43">
            <v>0.53971318257032541</v>
          </cell>
          <cell r="H43">
            <v>65.94580645161291</v>
          </cell>
          <cell r="I43">
            <v>58.483870967741936</v>
          </cell>
          <cell r="J43">
            <v>19.451612903225808</v>
          </cell>
          <cell r="K43">
            <v>10.064516129032258</v>
          </cell>
          <cell r="L43">
            <v>8.9677419354838701</v>
          </cell>
          <cell r="M43">
            <v>0</v>
          </cell>
          <cell r="N43">
            <v>20.339302088369145</v>
          </cell>
          <cell r="O43">
            <v>101.21286910533274</v>
          </cell>
          <cell r="P43">
            <v>94.770116447884845</v>
          </cell>
          <cell r="Q43">
            <v>0.53573454339194559</v>
          </cell>
          <cell r="R43">
            <v>66.585333333333324</v>
          </cell>
          <cell r="S43">
            <v>58.766666666666666</v>
          </cell>
          <cell r="T43">
            <v>20.8</v>
          </cell>
          <cell r="U43">
            <v>12.666666666666666</v>
          </cell>
          <cell r="V43">
            <v>11.333333333333334</v>
          </cell>
          <cell r="W43">
            <v>0</v>
          </cell>
          <cell r="X43">
            <v>6</v>
          </cell>
        </row>
        <row r="44">
          <cell r="A44">
            <v>43</v>
          </cell>
          <cell r="B44" t="str">
            <v>Missouri State</v>
          </cell>
          <cell r="C44" t="str">
            <v>Louisiana Tech</v>
          </cell>
          <cell r="D44">
            <v>3.7666624431054507</v>
          </cell>
          <cell r="E44">
            <v>99.995875650873856</v>
          </cell>
          <cell r="F44">
            <v>97.704588737615268</v>
          </cell>
          <cell r="G44">
            <v>0.51096121416526141</v>
          </cell>
          <cell r="H44">
            <v>67.619354838709683</v>
          </cell>
          <cell r="I44">
            <v>57.387096774193552</v>
          </cell>
          <cell r="J44">
            <v>24.35483870967742</v>
          </cell>
          <cell r="K44">
            <v>11.806451612903226</v>
          </cell>
          <cell r="L44">
            <v>11.32258064516129</v>
          </cell>
          <cell r="M44">
            <v>0</v>
          </cell>
          <cell r="N44">
            <v>2.6443345975686983</v>
          </cell>
          <cell r="O44">
            <v>99.919161188678217</v>
          </cell>
          <cell r="P44">
            <v>98.415627483867411</v>
          </cell>
          <cell r="Q44">
            <v>0.49525669642857145</v>
          </cell>
          <cell r="R44">
            <v>65.900645161290328</v>
          </cell>
          <cell r="S44">
            <v>57.806451612903224</v>
          </cell>
          <cell r="T44">
            <v>19.129032258064516</v>
          </cell>
          <cell r="U44">
            <v>12.96774193548387</v>
          </cell>
          <cell r="V44">
            <v>12.64516129032258</v>
          </cell>
          <cell r="W44">
            <v>0</v>
          </cell>
          <cell r="X44">
            <v>1.5</v>
          </cell>
        </row>
        <row r="45">
          <cell r="A45">
            <v>44</v>
          </cell>
          <cell r="B45" t="str">
            <v>Kennesaw State</v>
          </cell>
          <cell r="C45" t="str">
            <v>Sam Houston</v>
          </cell>
          <cell r="D45">
            <v>6.490752715038262</v>
          </cell>
          <cell r="E45">
            <v>101.8432322449375</v>
          </cell>
          <cell r="F45">
            <v>97.141081053482708</v>
          </cell>
          <cell r="G45">
            <v>0.52519480519480521</v>
          </cell>
          <cell r="H45">
            <v>71.699354838709667</v>
          </cell>
          <cell r="I45">
            <v>62.096774193548384</v>
          </cell>
          <cell r="J45">
            <v>26.516129032258064</v>
          </cell>
          <cell r="K45">
            <v>13.806451612903226</v>
          </cell>
          <cell r="L45">
            <v>11.741935483870968</v>
          </cell>
          <cell r="M45">
            <v>0</v>
          </cell>
          <cell r="N45">
            <v>8.7559835827705808</v>
          </cell>
          <cell r="O45">
            <v>101.34390651085141</v>
          </cell>
          <cell r="P45">
            <v>98.64078459495974</v>
          </cell>
          <cell r="Q45">
            <v>0.54120148856990957</v>
          </cell>
          <cell r="R45">
            <v>70.586666666666659</v>
          </cell>
          <cell r="S45">
            <v>62.7</v>
          </cell>
          <cell r="T45">
            <v>21.333333333333332</v>
          </cell>
          <cell r="U45">
            <v>13.4</v>
          </cell>
          <cell r="V45">
            <v>11.9</v>
          </cell>
          <cell r="W45">
            <v>0</v>
          </cell>
          <cell r="X45">
            <v>4</v>
          </cell>
        </row>
        <row r="46">
          <cell r="A46">
            <v>45</v>
          </cell>
          <cell r="B46" t="str">
            <v>Charlotte</v>
          </cell>
          <cell r="C46" t="str">
            <v>UAB</v>
          </cell>
          <cell r="D46">
            <v>-0.94217041800932655</v>
          </cell>
          <cell r="E46">
            <v>97.9635725257845</v>
          </cell>
          <cell r="F46">
            <v>108.1900253682186</v>
          </cell>
          <cell r="G46">
            <v>0.5367215041128085</v>
          </cell>
          <cell r="H46">
            <v>64.8</v>
          </cell>
          <cell r="I46">
            <v>54.903225806451616</v>
          </cell>
          <cell r="J46">
            <v>20</v>
          </cell>
          <cell r="K46">
            <v>10.903225806451612</v>
          </cell>
          <cell r="L46">
            <v>12</v>
          </cell>
          <cell r="M46">
            <v>0</v>
          </cell>
          <cell r="N46">
            <v>1.6421661956788476</v>
          </cell>
          <cell r="O46">
            <v>104.34399205561074</v>
          </cell>
          <cell r="P46">
            <v>112.835882562454</v>
          </cell>
          <cell r="Q46">
            <v>0.48450774612693653</v>
          </cell>
          <cell r="R46">
            <v>70.938064516129032</v>
          </cell>
          <cell r="S46">
            <v>64.548387096774192</v>
          </cell>
          <cell r="T46">
            <v>23.612903225806452</v>
          </cell>
          <cell r="U46">
            <v>13</v>
          </cell>
          <cell r="V46">
            <v>9</v>
          </cell>
          <cell r="W46">
            <v>0</v>
          </cell>
          <cell r="X46">
            <v>5</v>
          </cell>
        </row>
        <row r="47">
          <cell r="A47">
            <v>46</v>
          </cell>
          <cell r="B47" t="str">
            <v>North Texas</v>
          </cell>
          <cell r="C47" t="str">
            <v>Tulsa</v>
          </cell>
          <cell r="D47">
            <v>3.5067564007641501</v>
          </cell>
          <cell r="E47">
            <v>100.13291708556007</v>
          </cell>
          <cell r="F47">
            <v>92.844298270284625</v>
          </cell>
          <cell r="G47">
            <v>0.47913141567963902</v>
          </cell>
          <cell r="H47">
            <v>66.481290322580648</v>
          </cell>
          <cell r="I47">
            <v>57.193548387096776</v>
          </cell>
          <cell r="J47">
            <v>22.35483870967742</v>
          </cell>
          <cell r="K47">
            <v>12.096774193548388</v>
          </cell>
          <cell r="L47">
            <v>11.548387096774194</v>
          </cell>
          <cell r="M47">
            <v>0</v>
          </cell>
          <cell r="N47">
            <v>5.3476433114678237</v>
          </cell>
          <cell r="O47">
            <v>100.58857934431276</v>
          </cell>
          <cell r="P47">
            <v>101.35085266969703</v>
          </cell>
          <cell r="Q47">
            <v>0.57346491228070173</v>
          </cell>
          <cell r="R47">
            <v>68.307096774193553</v>
          </cell>
          <cell r="S47">
            <v>58.838709677419352</v>
          </cell>
          <cell r="T47">
            <v>23.64516129032258</v>
          </cell>
          <cell r="U47">
            <v>11.193548387096774</v>
          </cell>
          <cell r="V47">
            <v>10.258064516129032</v>
          </cell>
          <cell r="W47">
            <v>0</v>
          </cell>
          <cell r="X47">
            <v>7.5</v>
          </cell>
        </row>
        <row r="48">
          <cell r="A48">
            <v>47</v>
          </cell>
          <cell r="B48" t="str">
            <v>Kentucky</v>
          </cell>
          <cell r="C48" t="str">
            <v>Florida</v>
          </cell>
          <cell r="D48">
            <v>18.55702494743041</v>
          </cell>
          <cell r="E48">
            <v>101.42630906768839</v>
          </cell>
          <cell r="F48">
            <v>97.25385817981919</v>
          </cell>
          <cell r="G48">
            <v>0.53432676955827563</v>
          </cell>
          <cell r="H48">
            <v>69.038709677419348</v>
          </cell>
          <cell r="I48">
            <v>60.612903225806448</v>
          </cell>
          <cell r="J48">
            <v>22.741935483870968</v>
          </cell>
          <cell r="K48">
            <v>12.258064516129032</v>
          </cell>
          <cell r="L48">
            <v>10.67741935483871</v>
          </cell>
          <cell r="M48">
            <v>0</v>
          </cell>
          <cell r="N48">
            <v>22.748625673592354</v>
          </cell>
          <cell r="O48">
            <v>104.56180875012235</v>
          </cell>
          <cell r="P48">
            <v>99.903229832962509</v>
          </cell>
          <cell r="Q48">
            <v>0.54031856645097065</v>
          </cell>
          <cell r="R48">
            <v>71.534193548387094</v>
          </cell>
          <cell r="S48">
            <v>64.806451612903231</v>
          </cell>
          <cell r="T48">
            <v>24.967741935483872</v>
          </cell>
          <cell r="U48">
            <v>15.903225806451612</v>
          </cell>
          <cell r="V48">
            <v>11.64516129032258</v>
          </cell>
          <cell r="W48">
            <v>0</v>
          </cell>
          <cell r="X48">
            <v>10.5</v>
          </cell>
        </row>
        <row r="49">
          <cell r="A49">
            <v>48</v>
          </cell>
          <cell r="B49" t="str">
            <v>Tennessee</v>
          </cell>
          <cell r="C49" t="str">
            <v>Vanderbilt</v>
          </cell>
          <cell r="D49">
            <v>20.649012498581907</v>
          </cell>
          <cell r="E49">
            <v>104.63085785458507</v>
          </cell>
          <cell r="F49">
            <v>93.935133911329061</v>
          </cell>
          <cell r="G49">
            <v>0.52050473186119872</v>
          </cell>
          <cell r="H49">
            <v>67.552258064516124</v>
          </cell>
          <cell r="I49">
            <v>61.354838709677416</v>
          </cell>
          <cell r="J49">
            <v>23.322580645161292</v>
          </cell>
          <cell r="K49">
            <v>16</v>
          </cell>
          <cell r="L49">
            <v>11.935483870967742</v>
          </cell>
          <cell r="M49">
            <v>0</v>
          </cell>
          <cell r="N49">
            <v>19.188801343657655</v>
          </cell>
          <cell r="O49">
            <v>100.6501092787602</v>
          </cell>
          <cell r="P49">
            <v>97.808224636267653</v>
          </cell>
          <cell r="Q49">
            <v>0.55637126376507606</v>
          </cell>
          <cell r="R49">
            <v>70.905806451612904</v>
          </cell>
          <cell r="S49">
            <v>61.516129032258064</v>
          </cell>
          <cell r="T49">
            <v>23.612903225806452</v>
          </cell>
          <cell r="U49">
            <v>10.741935483870968</v>
          </cell>
          <cell r="V49">
            <v>9.741935483870968</v>
          </cell>
          <cell r="W49">
            <v>0</v>
          </cell>
          <cell r="X49">
            <v>1.5</v>
          </cell>
        </row>
        <row r="50">
          <cell r="A50">
            <v>49</v>
          </cell>
          <cell r="B50" t="str">
            <v>Ole Miss</v>
          </cell>
          <cell r="C50" t="str">
            <v>Alabama</v>
          </cell>
          <cell r="D50">
            <v>8.9278178203979799</v>
          </cell>
          <cell r="E50">
            <v>100.09953473783261</v>
          </cell>
          <cell r="F50">
            <v>93.948889412718557</v>
          </cell>
          <cell r="G50">
            <v>0.50161812297734631</v>
          </cell>
          <cell r="H50">
            <v>68.278709677419357</v>
          </cell>
          <cell r="I50">
            <v>59.806451612903224</v>
          </cell>
          <cell r="J50">
            <v>20.35483870967742</v>
          </cell>
          <cell r="K50">
            <v>10.225806451612904</v>
          </cell>
          <cell r="L50">
            <v>9.741935483870968</v>
          </cell>
          <cell r="M50">
            <v>0</v>
          </cell>
          <cell r="N50">
            <v>20.283548880532447</v>
          </cell>
          <cell r="O50">
            <v>102.2718253026347</v>
          </cell>
          <cell r="P50">
            <v>104.01809972205511</v>
          </cell>
          <cell r="Q50">
            <v>0.55626223091976512</v>
          </cell>
          <cell r="R50">
            <v>74.289032258064523</v>
          </cell>
          <cell r="S50">
            <v>65.935483870967744</v>
          </cell>
          <cell r="T50">
            <v>24.483870967741936</v>
          </cell>
          <cell r="U50">
            <v>12.35483870967742</v>
          </cell>
          <cell r="V50">
            <v>9.935483870967742</v>
          </cell>
          <cell r="W50">
            <v>0</v>
          </cell>
          <cell r="X50">
            <v>10.5</v>
          </cell>
        </row>
        <row r="51">
          <cell r="A51">
            <v>50</v>
          </cell>
          <cell r="B51" t="str">
            <v>Oklahoma</v>
          </cell>
          <cell r="C51" t="str">
            <v>Arkansas</v>
          </cell>
          <cell r="D51">
            <v>12.428734007880106</v>
          </cell>
          <cell r="E51">
            <v>101.17459989674755</v>
          </cell>
          <cell r="F51">
            <v>99.400305910729628</v>
          </cell>
          <cell r="G51">
            <v>0.55080213903743314</v>
          </cell>
          <cell r="H51">
            <v>68.590967741935486</v>
          </cell>
          <cell r="I51">
            <v>60.322580645161288</v>
          </cell>
          <cell r="J51">
            <v>21.870967741935484</v>
          </cell>
          <cell r="K51">
            <v>11.516129032258064</v>
          </cell>
          <cell r="L51">
            <v>10.161290322580646</v>
          </cell>
          <cell r="M51">
            <v>0</v>
          </cell>
          <cell r="N51">
            <v>20.289786813604461</v>
          </cell>
          <cell r="O51">
            <v>101.81190917064613</v>
          </cell>
          <cell r="P51">
            <v>97.741343816793645</v>
          </cell>
          <cell r="Q51">
            <v>0.56654947262682065</v>
          </cell>
          <cell r="R51">
            <v>72.56258064516129</v>
          </cell>
          <cell r="S51">
            <v>64.225806451612897</v>
          </cell>
          <cell r="T51">
            <v>23.419354838709676</v>
          </cell>
          <cell r="U51">
            <v>11</v>
          </cell>
          <cell r="V51">
            <v>9.0322580645161299</v>
          </cell>
          <cell r="W51">
            <v>0</v>
          </cell>
          <cell r="X51">
            <v>6.5</v>
          </cell>
        </row>
        <row r="52">
          <cell r="A52">
            <v>51</v>
          </cell>
          <cell r="B52" t="str">
            <v>Umass</v>
          </cell>
          <cell r="C52" t="str">
            <v>Toledo</v>
          </cell>
          <cell r="D52">
            <v>1.9653328411701338</v>
          </cell>
          <cell r="E52">
            <v>98.035528511139475</v>
          </cell>
          <cell r="F52">
            <v>92.56634666376938</v>
          </cell>
          <cell r="G52">
            <v>0.53268318397469694</v>
          </cell>
          <cell r="H52">
            <v>72.318709677419363</v>
          </cell>
          <cell r="I52">
            <v>61.193548387096776</v>
          </cell>
          <cell r="J52">
            <v>22.64516129032258</v>
          </cell>
          <cell r="K52">
            <v>11.935483870967742</v>
          </cell>
          <cell r="L52">
            <v>13.096774193548388</v>
          </cell>
          <cell r="M52">
            <v>0</v>
          </cell>
          <cell r="N52">
            <v>4.1368006701786264</v>
          </cell>
          <cell r="O52">
            <v>100.01830473218929</v>
          </cell>
          <cell r="P52">
            <v>101.61078845085268</v>
          </cell>
          <cell r="Q52">
            <v>0.54476439790575915</v>
          </cell>
          <cell r="R52">
            <v>69.429677419354846</v>
          </cell>
          <cell r="S52">
            <v>61.612903225806448</v>
          </cell>
          <cell r="T52">
            <v>18.64516129032258</v>
          </cell>
          <cell r="U52">
            <v>10.516129032258064</v>
          </cell>
          <cell r="V52">
            <v>10.129032258064516</v>
          </cell>
          <cell r="W52">
            <v>0</v>
          </cell>
          <cell r="X52">
            <v>3</v>
          </cell>
        </row>
        <row r="53">
          <cell r="A53">
            <v>52</v>
          </cell>
          <cell r="B53" t="str">
            <v>Kent State</v>
          </cell>
          <cell r="C53" t="str">
            <v>Akron</v>
          </cell>
          <cell r="D53">
            <v>4.4847029976942387</v>
          </cell>
          <cell r="E53">
            <v>98.659971577451444</v>
          </cell>
          <cell r="F53">
            <v>95.854047743121285</v>
          </cell>
          <cell r="G53">
            <v>0.53807773109243695</v>
          </cell>
          <cell r="H53">
            <v>73.642580645161289</v>
          </cell>
          <cell r="I53">
            <v>61.41935483870968</v>
          </cell>
          <cell r="J53">
            <v>26.387096774193548</v>
          </cell>
          <cell r="K53">
            <v>12.96774193548387</v>
          </cell>
          <cell r="L53">
            <v>13.580645161290322</v>
          </cell>
          <cell r="M53">
            <v>0</v>
          </cell>
          <cell r="N53">
            <v>10.49945141256813</v>
          </cell>
          <cell r="O53">
            <v>99.8801284338209</v>
          </cell>
          <cell r="P53">
            <v>94.797305672709399</v>
          </cell>
          <cell r="Q53">
            <v>0.59409687184661952</v>
          </cell>
          <cell r="R53">
            <v>71.441290322580642</v>
          </cell>
          <cell r="S53">
            <v>63.935483870967744</v>
          </cell>
          <cell r="T53">
            <v>17.64516129032258</v>
          </cell>
          <cell r="U53">
            <v>11.35483870967742</v>
          </cell>
          <cell r="V53">
            <v>11.096774193548388</v>
          </cell>
          <cell r="W53">
            <v>0</v>
          </cell>
          <cell r="X53">
            <v>7</v>
          </cell>
        </row>
        <row r="54">
          <cell r="A54">
            <v>53</v>
          </cell>
          <cell r="B54" t="str">
            <v>Seton Hall</v>
          </cell>
          <cell r="C54" t="str">
            <v>St. John's</v>
          </cell>
          <cell r="D54">
            <v>9.7071392836284129</v>
          </cell>
          <cell r="E54">
            <v>101.21709106603365</v>
          </cell>
          <cell r="F54">
            <v>89.560914057491601</v>
          </cell>
          <cell r="G54">
            <v>0.47830923248053392</v>
          </cell>
          <cell r="H54">
            <v>65.761290322580649</v>
          </cell>
          <cell r="I54">
            <v>58</v>
          </cell>
          <cell r="J54">
            <v>20.64516129032258</v>
          </cell>
          <cell r="K54">
            <v>12.516129032258064</v>
          </cell>
          <cell r="L54">
            <v>11.193548387096774</v>
          </cell>
          <cell r="M54">
            <v>0</v>
          </cell>
          <cell r="N54">
            <v>15.109788733361889</v>
          </cell>
          <cell r="O54">
            <v>102.58678864787763</v>
          </cell>
          <cell r="P54">
            <v>99.76074998519745</v>
          </cell>
          <cell r="Q54">
            <v>0.50967573221757323</v>
          </cell>
          <cell r="R54">
            <v>70.571612903225812</v>
          </cell>
          <cell r="S54">
            <v>61.677419354838712</v>
          </cell>
          <cell r="T54">
            <v>26.225806451612904</v>
          </cell>
          <cell r="U54">
            <v>13.193548387096774</v>
          </cell>
          <cell r="V54">
            <v>10.548387096774194</v>
          </cell>
          <cell r="W54">
            <v>0</v>
          </cell>
          <cell r="X54">
            <v>7.5</v>
          </cell>
        </row>
        <row r="55">
          <cell r="A55">
            <v>54</v>
          </cell>
          <cell r="B55" t="str">
            <v>Georgetown</v>
          </cell>
          <cell r="C55" t="str">
            <v>Uconn</v>
          </cell>
          <cell r="D55">
            <v>4.8967002257276384</v>
          </cell>
          <cell r="E55">
            <v>100.17815881645672</v>
          </cell>
          <cell r="F55">
            <v>97.299068250229467</v>
          </cell>
          <cell r="G55">
            <v>0.49889380530973454</v>
          </cell>
          <cell r="H55">
            <v>67.492903225806458</v>
          </cell>
          <cell r="I55">
            <v>58.322580645161288</v>
          </cell>
          <cell r="J55">
            <v>22.161290322580644</v>
          </cell>
          <cell r="K55">
            <v>11.161290322580646</v>
          </cell>
          <cell r="L55">
            <v>10.580645161290322</v>
          </cell>
          <cell r="M55">
            <v>0</v>
          </cell>
          <cell r="N55">
            <v>18.208291246988694</v>
          </cell>
          <cell r="O55">
            <v>99.985237449118031</v>
          </cell>
          <cell r="P55">
            <v>95.057403075511033</v>
          </cell>
          <cell r="Q55">
            <v>0.55555555555555558</v>
          </cell>
          <cell r="R55">
            <v>66.338064516129037</v>
          </cell>
          <cell r="S55">
            <v>58.645161290322584</v>
          </cell>
          <cell r="T55">
            <v>18.29032258064516</v>
          </cell>
          <cell r="U55">
            <v>11.387096774193548</v>
          </cell>
          <cell r="V55">
            <v>11.03225806451613</v>
          </cell>
          <cell r="W55">
            <v>0</v>
          </cell>
          <cell r="X55">
            <v>13.5</v>
          </cell>
        </row>
        <row r="56">
          <cell r="A56">
            <v>55</v>
          </cell>
          <cell r="B56" t="str">
            <v>Miami</v>
          </cell>
          <cell r="C56" t="str">
            <v>Virginia</v>
          </cell>
          <cell r="D56">
            <v>11.929329589884304</v>
          </cell>
          <cell r="E56">
            <v>100.61828618286182</v>
          </cell>
          <cell r="F56">
            <v>99.00132783057046</v>
          </cell>
          <cell r="G56">
            <v>0.56159225389994616</v>
          </cell>
          <cell r="H56">
            <v>68.91096774193548</v>
          </cell>
          <cell r="I56">
            <v>59.967741935483872</v>
          </cell>
          <cell r="J56">
            <v>22.451612903225808</v>
          </cell>
          <cell r="K56">
            <v>12.387096774193548</v>
          </cell>
          <cell r="L56">
            <v>11.451612903225806</v>
          </cell>
          <cell r="M56">
            <v>0</v>
          </cell>
          <cell r="N56">
            <v>13.035509619415494</v>
          </cell>
          <cell r="O56">
            <v>102.89121915051371</v>
          </cell>
          <cell r="P56">
            <v>105.11224188648033</v>
          </cell>
          <cell r="Q56">
            <v>0.54407859798194369</v>
          </cell>
          <cell r="R56">
            <v>67.184516129032261</v>
          </cell>
          <cell r="S56">
            <v>60.741935483870968</v>
          </cell>
          <cell r="T56">
            <v>20.580645161290324</v>
          </cell>
          <cell r="U56">
            <v>13.451612903225806</v>
          </cell>
          <cell r="V56">
            <v>10.838709677419354</v>
          </cell>
          <cell r="W56">
            <v>0</v>
          </cell>
          <cell r="X56">
            <v>4</v>
          </cell>
        </row>
        <row r="57">
          <cell r="A57">
            <v>56</v>
          </cell>
          <cell r="B57" t="str">
            <v>Clemson</v>
          </cell>
          <cell r="C57" t="str">
            <v>Duke</v>
          </cell>
          <cell r="D57">
            <v>10.069036604361182</v>
          </cell>
          <cell r="E57">
            <v>98.878088338649505</v>
          </cell>
          <cell r="F57">
            <v>105.06451978578953</v>
          </cell>
          <cell r="G57">
            <v>0.53058280438545879</v>
          </cell>
          <cell r="H57">
            <v>65.505806451612912</v>
          </cell>
          <cell r="I57">
            <v>55.903225806451616</v>
          </cell>
          <cell r="J57">
            <v>20.870967741935484</v>
          </cell>
          <cell r="K57">
            <v>9.32258064516129</v>
          </cell>
          <cell r="L57">
            <v>9.741935483870968</v>
          </cell>
          <cell r="M57">
            <v>0</v>
          </cell>
          <cell r="N57">
            <v>23.818031475685999</v>
          </cell>
          <cell r="O57">
            <v>101.49806376319559</v>
          </cell>
          <cell r="P57">
            <v>100.14794611787336</v>
          </cell>
          <cell r="Q57">
            <v>0.57475083056478404</v>
          </cell>
          <cell r="R57">
            <v>66.400000000000006</v>
          </cell>
          <cell r="S57">
            <v>58.258064516129032</v>
          </cell>
          <cell r="T57">
            <v>22.096774193548388</v>
          </cell>
          <cell r="U57">
            <v>12</v>
          </cell>
          <cell r="V57">
            <v>10.419354838709678</v>
          </cell>
          <cell r="W57">
            <v>0</v>
          </cell>
          <cell r="X57">
            <v>11.5</v>
          </cell>
        </row>
        <row r="58">
          <cell r="A58">
            <v>57</v>
          </cell>
          <cell r="B58" t="str">
            <v>Iowa State</v>
          </cell>
          <cell r="C58" t="str">
            <v>Arizona</v>
          </cell>
          <cell r="D58">
            <v>19.724267702693741</v>
          </cell>
          <cell r="E58">
            <v>101.38630280766203</v>
          </cell>
          <cell r="F58">
            <v>95.516490153604366</v>
          </cell>
          <cell r="G58">
            <v>0.56290322580645158</v>
          </cell>
          <cell r="H58">
            <v>67.727741935483877</v>
          </cell>
          <cell r="I58">
            <v>60</v>
          </cell>
          <cell r="J58">
            <v>20.93548387096774</v>
          </cell>
          <cell r="K58">
            <v>11.806451612903226</v>
          </cell>
          <cell r="L58">
            <v>10.32258064516129</v>
          </cell>
          <cell r="M58">
            <v>0</v>
          </cell>
          <cell r="N58">
            <v>23.726370739322146</v>
          </cell>
          <cell r="O58">
            <v>101.71571463594017</v>
          </cell>
          <cell r="P58">
            <v>98.8245285938752</v>
          </cell>
          <cell r="Q58">
            <v>0.54952581664910427</v>
          </cell>
          <cell r="R58">
            <v>70.829677419354852</v>
          </cell>
          <cell r="S58">
            <v>61.225806451612904</v>
          </cell>
          <cell r="T58">
            <v>26.225806451612904</v>
          </cell>
          <cell r="U58">
            <v>12.903225806451612</v>
          </cell>
          <cell r="V58">
            <v>10.96774193548387</v>
          </cell>
          <cell r="W58">
            <v>0</v>
          </cell>
          <cell r="X58">
            <v>3.5</v>
          </cell>
        </row>
        <row r="59">
          <cell r="A59">
            <v>58</v>
          </cell>
          <cell r="B59" t="str">
            <v>Kansas</v>
          </cell>
          <cell r="C59" t="str">
            <v>Houston</v>
          </cell>
          <cell r="D59">
            <v>17.202083243787136</v>
          </cell>
          <cell r="E59">
            <v>98.411155715191214</v>
          </cell>
          <cell r="F59">
            <v>106.47134076078173</v>
          </cell>
          <cell r="G59">
            <v>0.5253682487725041</v>
          </cell>
          <cell r="H59">
            <v>68.199999999999989</v>
          </cell>
          <cell r="I59">
            <v>59.12903225806452</v>
          </cell>
          <cell r="J59">
            <v>18.70967741935484</v>
          </cell>
          <cell r="K59">
            <v>9.935483870967742</v>
          </cell>
          <cell r="L59">
            <v>10.774193548387096</v>
          </cell>
          <cell r="M59">
            <v>0</v>
          </cell>
          <cell r="N59">
            <v>20.523299572994468</v>
          </cell>
          <cell r="O59">
            <v>105.83703703703704</v>
          </cell>
          <cell r="P59">
            <v>98.084829653904706</v>
          </cell>
          <cell r="Q59">
            <v>0.52282491944146081</v>
          </cell>
          <cell r="R59">
            <v>64.807999999999993</v>
          </cell>
          <cell r="S59">
            <v>62.06666666666667</v>
          </cell>
          <cell r="T59">
            <v>16.533333333333335</v>
          </cell>
          <cell r="U59">
            <v>12.833333333333334</v>
          </cell>
          <cell r="V59">
            <v>8.3000000000000007</v>
          </cell>
          <cell r="W59">
            <v>0</v>
          </cell>
          <cell r="X59">
            <v>5.5</v>
          </cell>
        </row>
        <row r="60">
          <cell r="A60">
            <v>59</v>
          </cell>
          <cell r="B60" t="str">
            <v>UT Arlington</v>
          </cell>
          <cell r="C60" t="str">
            <v>Utah Valley</v>
          </cell>
          <cell r="D60">
            <v>3.3990966185562335</v>
          </cell>
          <cell r="E60">
            <v>96.820667384284164</v>
          </cell>
          <cell r="F60">
            <v>94.886171282090174</v>
          </cell>
          <cell r="G60">
            <v>0.4855159927579964</v>
          </cell>
          <cell r="H60">
            <v>67.382666666666665</v>
          </cell>
          <cell r="I60">
            <v>55.233333333333334</v>
          </cell>
          <cell r="J60">
            <v>23.066666666666666</v>
          </cell>
          <cell r="K60">
            <v>12.1</v>
          </cell>
          <cell r="L60">
            <v>14.1</v>
          </cell>
          <cell r="M60">
            <v>0</v>
          </cell>
          <cell r="N60">
            <v>7.1660953976463073</v>
          </cell>
          <cell r="O60">
            <v>96.788608522667772</v>
          </cell>
          <cell r="P60">
            <v>87.924687269369926</v>
          </cell>
          <cell r="Q60">
            <v>0.56105144149236852</v>
          </cell>
          <cell r="R60">
            <v>70.398666666666671</v>
          </cell>
          <cell r="S60">
            <v>58.966666666666669</v>
          </cell>
          <cell r="T60">
            <v>21.133333333333333</v>
          </cell>
          <cell r="U60">
            <v>11.933333333333334</v>
          </cell>
          <cell r="V60">
            <v>14.066666666666666</v>
          </cell>
          <cell r="W60">
            <v>0</v>
          </cell>
          <cell r="X60">
            <v>8.5</v>
          </cell>
        </row>
        <row r="61">
          <cell r="A61">
            <v>60</v>
          </cell>
          <cell r="B61" t="str">
            <v>Utah Tech</v>
          </cell>
          <cell r="C61" t="str">
            <v>California Baptist</v>
          </cell>
          <cell r="D61">
            <v>1.9865779119757374</v>
          </cell>
          <cell r="E61">
            <v>96.393569131832805</v>
          </cell>
          <cell r="F61">
            <v>98.645208978051656</v>
          </cell>
          <cell r="G61">
            <v>0.5346869712351946</v>
          </cell>
          <cell r="H61">
            <v>69.688000000000002</v>
          </cell>
          <cell r="I61">
            <v>59.1</v>
          </cell>
          <cell r="J61">
            <v>18.533333333333335</v>
          </cell>
          <cell r="K61">
            <v>9.6999999999999993</v>
          </cell>
          <cell r="L61">
            <v>12.133333333333333</v>
          </cell>
          <cell r="M61">
            <v>0</v>
          </cell>
          <cell r="N61">
            <v>4.601636720836713</v>
          </cell>
          <cell r="O61">
            <v>101.16726287262874</v>
          </cell>
          <cell r="P61">
            <v>89.920292368090941</v>
          </cell>
          <cell r="Q61">
            <v>0.48252536640360766</v>
          </cell>
          <cell r="R61">
            <v>67.391999999999996</v>
          </cell>
          <cell r="S61">
            <v>59.133333333333333</v>
          </cell>
          <cell r="T61">
            <v>21.8</v>
          </cell>
          <cell r="U61">
            <v>13.866666666666667</v>
          </cell>
          <cell r="V61">
            <v>12.533333333333333</v>
          </cell>
          <cell r="W61">
            <v>0</v>
          </cell>
          <cell r="X61">
            <v>5.5</v>
          </cell>
        </row>
        <row r="62">
          <cell r="A62">
            <v>61</v>
          </cell>
          <cell r="B62" t="str">
            <v>CSU Northridge</v>
          </cell>
          <cell r="C62" t="str">
            <v>UC irvine</v>
          </cell>
          <cell r="D62">
            <v>-6.5523774676039676E-2</v>
          </cell>
          <cell r="E62">
            <v>99.39542792367277</v>
          </cell>
          <cell r="F62">
            <v>96.543232494052162</v>
          </cell>
          <cell r="G62">
            <v>0.50369094488188981</v>
          </cell>
          <cell r="H62">
            <v>75.548387096774192</v>
          </cell>
          <cell r="I62">
            <v>65.548387096774192</v>
          </cell>
          <cell r="J62">
            <v>22.580645161290324</v>
          </cell>
          <cell r="K62">
            <v>13.258064516129032</v>
          </cell>
          <cell r="L62">
            <v>13.32258064516129</v>
          </cell>
          <cell r="M62">
            <v>0</v>
          </cell>
          <cell r="N62">
            <v>5.2870372643884913</v>
          </cell>
          <cell r="O62">
            <v>98.000795228628249</v>
          </cell>
          <cell r="P62">
            <v>92.824900535566286</v>
          </cell>
          <cell r="Q62">
            <v>0.51370585134422775</v>
          </cell>
          <cell r="R62">
            <v>71.811612903225807</v>
          </cell>
          <cell r="S62">
            <v>61.193548387096776</v>
          </cell>
          <cell r="T62">
            <v>21.419354838709676</v>
          </cell>
          <cell r="U62">
            <v>11.548387096774194</v>
          </cell>
          <cell r="V62">
            <v>12.741935483870968</v>
          </cell>
          <cell r="W62">
            <v>0</v>
          </cell>
          <cell r="X62">
            <v>4.5</v>
          </cell>
        </row>
        <row r="63">
          <cell r="A63">
            <v>62</v>
          </cell>
          <cell r="B63" t="str">
            <v>CSU Fullerton</v>
          </cell>
          <cell r="C63" t="str">
            <v>Hawaii</v>
          </cell>
          <cell r="D63">
            <v>1.6380753803370078</v>
          </cell>
          <cell r="E63">
            <v>97.409523809523805</v>
          </cell>
          <cell r="F63">
            <v>90.200910338078543</v>
          </cell>
          <cell r="G63">
            <v>0.52838874680306902</v>
          </cell>
          <cell r="H63">
            <v>75.224516129032267</v>
          </cell>
          <cell r="I63">
            <v>63.064516129032256</v>
          </cell>
          <cell r="J63">
            <v>23.677419354838708</v>
          </cell>
          <cell r="K63">
            <v>9.741935483870968</v>
          </cell>
          <cell r="L63">
            <v>11.483870967741936</v>
          </cell>
          <cell r="M63">
            <v>0</v>
          </cell>
          <cell r="N63">
            <v>2.4205256715728276</v>
          </cell>
          <cell r="O63">
            <v>96.251520482533294</v>
          </cell>
          <cell r="P63">
            <v>92.252558584997232</v>
          </cell>
          <cell r="Q63">
            <v>0.52753872633390708</v>
          </cell>
          <cell r="R63">
            <v>71.861333333333334</v>
          </cell>
          <cell r="S63">
            <v>58.1</v>
          </cell>
          <cell r="T63">
            <v>25.366666666666667</v>
          </cell>
          <cell r="U63">
            <v>10.733333333333333</v>
          </cell>
          <cell r="V63">
            <v>13.333333333333334</v>
          </cell>
          <cell r="W63">
            <v>0</v>
          </cell>
          <cell r="X63">
            <v>4</v>
          </cell>
        </row>
        <row r="64">
          <cell r="A64">
            <v>63</v>
          </cell>
          <cell r="B64" t="str">
            <v>Nevada</v>
          </cell>
          <cell r="C64" t="str">
            <v>Utah State</v>
          </cell>
          <cell r="D64">
            <v>9.2097769172278117</v>
          </cell>
          <cell r="E64">
            <v>101.36929460580913</v>
          </cell>
          <cell r="F64">
            <v>93.092548572138085</v>
          </cell>
          <cell r="G64">
            <v>0.49772598067083568</v>
          </cell>
          <cell r="H64">
            <v>66.516129032258064</v>
          </cell>
          <cell r="I64">
            <v>56.741935483870968</v>
          </cell>
          <cell r="J64">
            <v>25.806451612903224</v>
          </cell>
          <cell r="K64">
            <v>11.419354838709678</v>
          </cell>
          <cell r="L64">
            <v>9.8387096774193541</v>
          </cell>
          <cell r="M64">
            <v>0</v>
          </cell>
          <cell r="N64">
            <v>16.347492910416953</v>
          </cell>
          <cell r="O64">
            <v>99.814093598708979</v>
          </cell>
          <cell r="P64">
            <v>89.773356716311071</v>
          </cell>
          <cell r="Q64">
            <v>0.57657142857142862</v>
          </cell>
          <cell r="R64">
            <v>67.801333333333332</v>
          </cell>
          <cell r="S64">
            <v>58.333333333333336</v>
          </cell>
          <cell r="T64">
            <v>22.2</v>
          </cell>
          <cell r="U64">
            <v>10.766666666666667</v>
          </cell>
          <cell r="V64">
            <v>10.466666666666667</v>
          </cell>
          <cell r="W64">
            <v>0</v>
          </cell>
          <cell r="X64">
            <v>6.5</v>
          </cell>
        </row>
        <row r="65">
          <cell r="A65">
            <v>64</v>
          </cell>
          <cell r="B65" t="str">
            <v>New Mexico</v>
          </cell>
          <cell r="C65" t="str">
            <v>San Diego State</v>
          </cell>
          <cell r="D65">
            <v>12.649658974309501</v>
          </cell>
          <cell r="E65">
            <v>99.080478410703407</v>
          </cell>
          <cell r="F65">
            <v>89.11076612086076</v>
          </cell>
          <cell r="G65">
            <v>0.53873050026896185</v>
          </cell>
          <cell r="H65">
            <v>69.966451612903228</v>
          </cell>
          <cell r="I65">
            <v>59.967741935483872</v>
          </cell>
          <cell r="J65">
            <v>22.06451612903226</v>
          </cell>
          <cell r="K65">
            <v>10.419354838709678</v>
          </cell>
          <cell r="L65">
            <v>10.709677419354838</v>
          </cell>
          <cell r="M65">
            <v>0</v>
          </cell>
          <cell r="N65">
            <v>14.550197800997752</v>
          </cell>
          <cell r="O65">
            <v>96.841816840552212</v>
          </cell>
          <cell r="P65">
            <v>87.434270076584269</v>
          </cell>
          <cell r="Q65">
            <v>0.54383954154727798</v>
          </cell>
          <cell r="R65">
            <v>69.707999999999998</v>
          </cell>
          <cell r="S65">
            <v>58.166666666666664</v>
          </cell>
          <cell r="T65">
            <v>21.533333333333335</v>
          </cell>
          <cell r="U65">
            <v>9.6999999999999993</v>
          </cell>
          <cell r="V65">
            <v>11.766666666666667</v>
          </cell>
          <cell r="W65">
            <v>0</v>
          </cell>
          <cell r="X65">
            <v>1.5</v>
          </cell>
        </row>
        <row r="66">
          <cell r="A66">
            <v>65</v>
          </cell>
          <cell r="B66" t="str">
            <v>Prairie View A&amp;M</v>
          </cell>
          <cell r="C66" t="str">
            <v>Alabama A&amp;M</v>
          </cell>
          <cell r="D66">
            <v>-10.748183340293197</v>
          </cell>
          <cell r="E66">
            <v>96.942723004694827</v>
          </cell>
          <cell r="F66">
            <v>93.291737667336207</v>
          </cell>
          <cell r="G66">
            <v>0.49388297872340425</v>
          </cell>
          <cell r="H66">
            <v>74.380645161290332</v>
          </cell>
          <cell r="I66">
            <v>60.645161290322584</v>
          </cell>
          <cell r="J66">
            <v>26.451612903225808</v>
          </cell>
          <cell r="K66">
            <v>10.161290322580646</v>
          </cell>
          <cell r="L66">
            <v>12.258064516129032</v>
          </cell>
          <cell r="M66">
            <v>0</v>
          </cell>
          <cell r="N66">
            <v>-12.778230890104188</v>
          </cell>
          <cell r="O66">
            <v>96.92565895642818</v>
          </cell>
          <cell r="P66">
            <v>96.855429590956433</v>
          </cell>
          <cell r="Q66">
            <v>0.49847094801223241</v>
          </cell>
          <cell r="R66">
            <v>66.989333333333335</v>
          </cell>
          <cell r="S66">
            <v>54.5</v>
          </cell>
          <cell r="T66">
            <v>24.066666666666666</v>
          </cell>
          <cell r="U66">
            <v>9.3333333333333339</v>
          </cell>
          <cell r="V66">
            <v>11.233333333333333</v>
          </cell>
          <cell r="W66">
            <v>0</v>
          </cell>
          <cell r="X66">
            <v>-1</v>
          </cell>
        </row>
        <row r="67">
          <cell r="A67">
            <v>66</v>
          </cell>
          <cell r="B67" t="str">
            <v>Southern</v>
          </cell>
          <cell r="C67" t="str">
            <v>Florida A&amp;M</v>
          </cell>
          <cell r="D67">
            <v>-6.7092460643817606</v>
          </cell>
          <cell r="E67">
            <v>99.018646109371232</v>
          </cell>
          <cell r="F67">
            <v>93.207129449722274</v>
          </cell>
          <cell r="G67">
            <v>0.50943396226415094</v>
          </cell>
          <cell r="H67">
            <v>72.842580645161291</v>
          </cell>
          <cell r="I67">
            <v>61.548387096774192</v>
          </cell>
          <cell r="J67">
            <v>24.93548387096774</v>
          </cell>
          <cell r="K67">
            <v>11.67741935483871</v>
          </cell>
          <cell r="L67">
            <v>12</v>
          </cell>
          <cell r="M67">
            <v>0</v>
          </cell>
          <cell r="N67">
            <v>-14.324192454791095</v>
          </cell>
          <cell r="O67">
            <v>93.774164408310739</v>
          </cell>
          <cell r="P67">
            <v>93.090341388988747</v>
          </cell>
          <cell r="Q67">
            <v>0.49171974522292994</v>
          </cell>
          <cell r="R67">
            <v>69.874285714285719</v>
          </cell>
          <cell r="S67">
            <v>56.071428571428569</v>
          </cell>
          <cell r="T67">
            <v>21.142857142857142</v>
          </cell>
          <cell r="U67">
            <v>10.642857142857142</v>
          </cell>
          <cell r="V67">
            <v>15.142857142857142</v>
          </cell>
          <cell r="W67">
            <v>0</v>
          </cell>
          <cell r="X67">
            <v>-3</v>
          </cell>
        </row>
        <row r="68">
          <cell r="A68">
            <v>67</v>
          </cell>
          <cell r="B68" t="str">
            <v>South Carolina State</v>
          </cell>
          <cell r="C68" t="str">
            <v>Howard</v>
          </cell>
          <cell r="D68">
            <v>-15.059792168727887</v>
          </cell>
          <cell r="E68">
            <v>94.89192336191384</v>
          </cell>
          <cell r="F68">
            <v>88.02533549738591</v>
          </cell>
          <cell r="G68">
            <v>0.46562123039806996</v>
          </cell>
          <cell r="H68">
            <v>68.835999999999999</v>
          </cell>
          <cell r="I68">
            <v>55.266666666666666</v>
          </cell>
          <cell r="J68">
            <v>22.733333333333334</v>
          </cell>
          <cell r="K68">
            <v>11</v>
          </cell>
          <cell r="L68">
            <v>14.566666666666666</v>
          </cell>
          <cell r="M68">
            <v>0</v>
          </cell>
          <cell r="N68">
            <v>-7.0667288784066029</v>
          </cell>
          <cell r="O68">
            <v>97.771296389419689</v>
          </cell>
          <cell r="P68">
            <v>101.22012384797286</v>
          </cell>
          <cell r="Q68">
            <v>0.52172686230248311</v>
          </cell>
          <cell r="R68">
            <v>69.380645161290332</v>
          </cell>
          <cell r="S68">
            <v>57.161290322580648</v>
          </cell>
          <cell r="T68">
            <v>24.838709677419356</v>
          </cell>
          <cell r="U68">
            <v>12.290322580645162</v>
          </cell>
          <cell r="V68">
            <v>13.580645161290322</v>
          </cell>
          <cell r="W68">
            <v>0</v>
          </cell>
          <cell r="X68">
            <v>15</v>
          </cell>
        </row>
        <row r="69">
          <cell r="A69">
            <v>68</v>
          </cell>
          <cell r="B69" t="str">
            <v>Delaware State</v>
          </cell>
          <cell r="C69" t="str">
            <v>North Carolina Central</v>
          </cell>
          <cell r="D69">
            <v>-19.863634651465969</v>
          </cell>
          <cell r="E69">
            <v>94.855855335374656</v>
          </cell>
          <cell r="F69">
            <v>100.4032468743993</v>
          </cell>
          <cell r="G69">
            <v>0.43796526054590573</v>
          </cell>
          <cell r="H69">
            <v>66.882758620689657</v>
          </cell>
          <cell r="I69">
            <v>55.586206896551722</v>
          </cell>
          <cell r="J69">
            <v>17.758620689655171</v>
          </cell>
          <cell r="K69">
            <v>9.6551724137931032</v>
          </cell>
          <cell r="L69">
            <v>13.137931034482758</v>
          </cell>
          <cell r="M69">
            <v>0</v>
          </cell>
          <cell r="N69">
            <v>-12.049706064548028</v>
          </cell>
          <cell r="O69">
            <v>97.391178918169217</v>
          </cell>
          <cell r="P69">
            <v>102.17668911130822</v>
          </cell>
          <cell r="Q69">
            <v>0.49514563106796117</v>
          </cell>
          <cell r="R69">
            <v>68.108965517241387</v>
          </cell>
          <cell r="S69">
            <v>56.827586206896555</v>
          </cell>
          <cell r="T69">
            <v>22.03448275862069</v>
          </cell>
          <cell r="U69">
            <v>10.689655172413794</v>
          </cell>
          <cell r="V69">
            <v>12.275862068965518</v>
          </cell>
          <cell r="W69">
            <v>0</v>
          </cell>
          <cell r="X69">
            <v>4.5</v>
          </cell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  <row r="182"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</row>
        <row r="183"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</row>
        <row r="184"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</row>
        <row r="185"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</row>
        <row r="186"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</row>
        <row r="187">
          <cell r="D187"/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</row>
        <row r="188"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</row>
        <row r="189">
          <cell r="D189"/>
          <cell r="E189"/>
          <cell r="F189"/>
          <cell r="G189"/>
          <cell r="H189"/>
          <cell r="I189"/>
          <cell r="J189"/>
          <cell r="K189"/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</row>
        <row r="190">
          <cell r="D190"/>
          <cell r="E190"/>
          <cell r="F190"/>
          <cell r="G190"/>
          <cell r="H190"/>
          <cell r="I190"/>
          <cell r="J190"/>
          <cell r="K190"/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</row>
        <row r="191">
          <cell r="D191"/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</row>
        <row r="192">
          <cell r="D192"/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</row>
        <row r="193">
          <cell r="D193"/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</row>
        <row r="194"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</row>
        <row r="195">
          <cell r="D195"/>
          <cell r="E195"/>
          <cell r="F195"/>
          <cell r="G195"/>
          <cell r="H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</row>
        <row r="196">
          <cell r="D196"/>
          <cell r="E196"/>
          <cell r="F196"/>
          <cell r="G196"/>
          <cell r="H196"/>
          <cell r="I196"/>
          <cell r="J196"/>
          <cell r="K196"/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</row>
        <row r="197">
          <cell r="D197"/>
          <cell r="E197"/>
          <cell r="F197"/>
          <cell r="G197"/>
          <cell r="H197"/>
          <cell r="I197"/>
          <cell r="J197"/>
          <cell r="K197"/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Duke</v>
          </cell>
          <cell r="B3">
            <v>23.806844554428128</v>
          </cell>
          <cell r="C3">
            <v>24.792677294179789</v>
          </cell>
          <cell r="D3">
            <v>2</v>
          </cell>
          <cell r="E3">
            <v>23.818031475685999</v>
          </cell>
          <cell r="F3">
            <v>2</v>
          </cell>
          <cell r="G3">
            <v>2.4311706039062191</v>
          </cell>
        </row>
        <row r="4">
          <cell r="A4" t="str">
            <v>Michigan</v>
          </cell>
          <cell r="B4">
            <v>22.170536690416185</v>
          </cell>
          <cell r="C4">
            <v>27.037307761544042</v>
          </cell>
          <cell r="D4">
            <v>1</v>
          </cell>
          <cell r="E4">
            <v>23.915638484765847</v>
          </cell>
          <cell r="F4">
            <v>1</v>
          </cell>
          <cell r="G4">
            <v>2.4415313177677405</v>
          </cell>
        </row>
        <row r="5">
          <cell r="A5" t="str">
            <v>Arizona</v>
          </cell>
          <cell r="B5">
            <v>23.347924269841325</v>
          </cell>
          <cell r="C5">
            <v>23.736074494949857</v>
          </cell>
          <cell r="D5">
            <v>3</v>
          </cell>
          <cell r="E5">
            <v>23.726370739322146</v>
          </cell>
          <cell r="F5">
            <v>3</v>
          </cell>
          <cell r="G5">
            <v>2.4214410704356735</v>
          </cell>
        </row>
        <row r="6">
          <cell r="A6" t="str">
            <v>Florida</v>
          </cell>
          <cell r="B6">
            <v>23.898506089170024</v>
          </cell>
          <cell r="C6">
            <v>22.719141560372414</v>
          </cell>
          <cell r="D6">
            <v>4</v>
          </cell>
          <cell r="E6">
            <v>22.748625673592354</v>
          </cell>
          <cell r="F6">
            <v>4</v>
          </cell>
          <cell r="G6">
            <v>2.3176561378674214</v>
          </cell>
        </row>
        <row r="7">
          <cell r="A7" t="str">
            <v>Gonzaga</v>
          </cell>
          <cell r="B7">
            <v>23.269796454268604</v>
          </cell>
          <cell r="C7">
            <v>21.295519621916149</v>
          </cell>
          <cell r="D7">
            <v>5</v>
          </cell>
          <cell r="E7">
            <v>21.344876542724961</v>
          </cell>
          <cell r="F7">
            <v>5</v>
          </cell>
          <cell r="G7">
            <v>2.1686520528597688</v>
          </cell>
        </row>
        <row r="8">
          <cell r="A8" t="str">
            <v>Purdue</v>
          </cell>
          <cell r="B8">
            <v>25.133558227306281</v>
          </cell>
          <cell r="C8">
            <v>20.712213799030536</v>
          </cell>
          <cell r="D8">
            <v>6</v>
          </cell>
          <cell r="E8">
            <v>20.822747409737431</v>
          </cell>
          <cell r="F8">
            <v>6</v>
          </cell>
          <cell r="G8">
            <v>2.1132294905187523</v>
          </cell>
        </row>
        <row r="9">
          <cell r="A9" t="str">
            <v>Tennessee</v>
          </cell>
          <cell r="B9">
            <v>21.154185097948655</v>
          </cell>
          <cell r="C9">
            <v>20.636059355008403</v>
          </cell>
          <cell r="D9">
            <v>7</v>
          </cell>
          <cell r="E9">
            <v>20.649012498581907</v>
          </cell>
          <cell r="F9">
            <v>7</v>
          </cell>
          <cell r="G9">
            <v>2.0947880105552925</v>
          </cell>
        </row>
        <row r="10">
          <cell r="A10" t="str">
            <v>Houston</v>
          </cell>
          <cell r="B10">
            <v>24.989412990794982</v>
          </cell>
          <cell r="C10">
            <v>20.408783844332916</v>
          </cell>
          <cell r="D10">
            <v>8</v>
          </cell>
          <cell r="E10">
            <v>20.523299572994468</v>
          </cell>
          <cell r="F10">
            <v>8</v>
          </cell>
          <cell r="G10">
            <v>2.0814439314467861</v>
          </cell>
        </row>
        <row r="11">
          <cell r="A11" t="str">
            <v>Michigan State</v>
          </cell>
          <cell r="B11">
            <v>20.512921474156744</v>
          </cell>
          <cell r="C11">
            <v>20.334850309246384</v>
          </cell>
          <cell r="D11">
            <v>9</v>
          </cell>
          <cell r="E11">
            <v>20.339302088369145</v>
          </cell>
          <cell r="F11">
            <v>9</v>
          </cell>
          <cell r="G11">
            <v>2.0619131077137984</v>
          </cell>
        </row>
        <row r="12">
          <cell r="A12" t="str">
            <v>Arkansas</v>
          </cell>
          <cell r="B12">
            <v>19.897498939026178</v>
          </cell>
          <cell r="C12">
            <v>20.299845477055186</v>
          </cell>
          <cell r="D12">
            <v>11</v>
          </cell>
          <cell r="E12">
            <v>20.289786813604461</v>
          </cell>
          <cell r="F12">
            <v>10</v>
          </cell>
          <cell r="G12">
            <v>2.0566571983436854</v>
          </cell>
        </row>
        <row r="13">
          <cell r="A13" t="str">
            <v>Alabama</v>
          </cell>
          <cell r="B13">
            <v>19.611532443464291</v>
          </cell>
          <cell r="C13">
            <v>20.300780071226502</v>
          </cell>
          <cell r="D13">
            <v>10</v>
          </cell>
          <cell r="E13">
            <v>20.283548880532447</v>
          </cell>
          <cell r="F13">
            <v>11</v>
          </cell>
          <cell r="G13">
            <v>2.0559950590131626</v>
          </cell>
        </row>
        <row r="14">
          <cell r="A14" t="str">
            <v>Iowa State</v>
          </cell>
          <cell r="B14">
            <v>20.841253854011949</v>
          </cell>
          <cell r="C14">
            <v>19.695627032147122</v>
          </cell>
          <cell r="D14">
            <v>13</v>
          </cell>
          <cell r="E14">
            <v>19.724267702693741</v>
          </cell>
          <cell r="F14">
            <v>12</v>
          </cell>
          <cell r="G14">
            <v>1.996628909938958</v>
          </cell>
        </row>
        <row r="15">
          <cell r="A15" t="str">
            <v>Vanderbilt</v>
          </cell>
          <cell r="B15">
            <v>19.814939133924728</v>
          </cell>
          <cell r="C15">
            <v>19.172746528522602</v>
          </cell>
          <cell r="D15">
            <v>14</v>
          </cell>
          <cell r="E15">
            <v>19.188801343657655</v>
          </cell>
          <cell r="F15">
            <v>13</v>
          </cell>
          <cell r="G15">
            <v>1.9397906379670637</v>
          </cell>
        </row>
        <row r="16">
          <cell r="A16" t="str">
            <v>Illinois</v>
          </cell>
          <cell r="B16">
            <v>22.357214477641335</v>
          </cell>
          <cell r="C16">
            <v>18.967416731906201</v>
          </cell>
          <cell r="D16">
            <v>15</v>
          </cell>
          <cell r="E16">
            <v>19.052161675549581</v>
          </cell>
          <cell r="F16">
            <v>14</v>
          </cell>
          <cell r="G16">
            <v>1.9252867153825399</v>
          </cell>
        </row>
        <row r="17">
          <cell r="A17" t="str">
            <v>Kentucky</v>
          </cell>
          <cell r="B17">
            <v>21.963932506439889</v>
          </cell>
          <cell r="C17">
            <v>18.469668343353241</v>
          </cell>
          <cell r="D17">
            <v>16</v>
          </cell>
          <cell r="E17">
            <v>18.55702494743041</v>
          </cell>
          <cell r="F17">
            <v>15</v>
          </cell>
          <cell r="G17">
            <v>1.8727293221099315</v>
          </cell>
        </row>
        <row r="18">
          <cell r="A18" t="str">
            <v>UConn</v>
          </cell>
          <cell r="B18">
            <v>23.8885224238179</v>
          </cell>
          <cell r="C18">
            <v>18.062644293736664</v>
          </cell>
          <cell r="D18">
            <v>17</v>
          </cell>
          <cell r="E18">
            <v>18.208291246988694</v>
          </cell>
          <cell r="F18">
            <v>16</v>
          </cell>
          <cell r="G18">
            <v>1.8357122050175474</v>
          </cell>
        </row>
        <row r="19">
          <cell r="A19" t="str">
            <v>Texas Tech</v>
          </cell>
          <cell r="B19">
            <v>21.610552058212996</v>
          </cell>
          <cell r="C19">
            <v>19.873995553351062</v>
          </cell>
          <cell r="D19">
            <v>12</v>
          </cell>
          <cell r="E19">
            <v>17.917409465972611</v>
          </cell>
          <cell r="F19">
            <v>17</v>
          </cell>
          <cell r="G19">
            <v>1.8048359090522448</v>
          </cell>
        </row>
        <row r="20">
          <cell r="A20" t="str">
            <v>Louisville</v>
          </cell>
          <cell r="B20">
            <v>21.158267596654795</v>
          </cell>
          <cell r="C20">
            <v>17.530348507737841</v>
          </cell>
          <cell r="D20">
            <v>18</v>
          </cell>
          <cell r="E20">
            <v>17.621046484960765</v>
          </cell>
          <cell r="F20">
            <v>18</v>
          </cell>
          <cell r="G20">
            <v>1.7733777988780117</v>
          </cell>
        </row>
        <row r="21">
          <cell r="A21" t="str">
            <v>Auburn</v>
          </cell>
          <cell r="B21">
            <v>20.255824923422399</v>
          </cell>
          <cell r="C21">
            <v>17.510755815323769</v>
          </cell>
          <cell r="D21">
            <v>19</v>
          </cell>
          <cell r="E21">
            <v>17.579382543026234</v>
          </cell>
          <cell r="F21">
            <v>19</v>
          </cell>
          <cell r="G21">
            <v>1.7689552867572522</v>
          </cell>
        </row>
        <row r="22">
          <cell r="A22" t="str">
            <v>Kansas</v>
          </cell>
          <cell r="B22">
            <v>19.619972109714087</v>
          </cell>
          <cell r="C22">
            <v>17.140086093378756</v>
          </cell>
          <cell r="D22">
            <v>20</v>
          </cell>
          <cell r="E22">
            <v>17.202083243787136</v>
          </cell>
          <cell r="F22">
            <v>20</v>
          </cell>
          <cell r="G22">
            <v>1.7289060104151099</v>
          </cell>
        </row>
        <row r="23">
          <cell r="A23" t="str">
            <v>BYU</v>
          </cell>
          <cell r="B23">
            <v>22.353677530978857</v>
          </cell>
          <cell r="C23">
            <v>16.451748370473521</v>
          </cell>
          <cell r="D23">
            <v>21</v>
          </cell>
          <cell r="E23">
            <v>16.599296599486156</v>
          </cell>
          <cell r="F23">
            <v>21</v>
          </cell>
          <cell r="G23">
            <v>1.6649218764884148</v>
          </cell>
        </row>
        <row r="24">
          <cell r="A24" t="str">
            <v>Utah State</v>
          </cell>
          <cell r="B24">
            <v>17.85964083250806</v>
          </cell>
          <cell r="C24">
            <v>16.308719886773591</v>
          </cell>
          <cell r="D24">
            <v>22</v>
          </cell>
          <cell r="E24">
            <v>16.347492910416953</v>
          </cell>
          <cell r="F24">
            <v>22</v>
          </cell>
          <cell r="G24">
            <v>1.6381936118246825</v>
          </cell>
        </row>
        <row r="25">
          <cell r="A25" t="str">
            <v>Iowa</v>
          </cell>
          <cell r="B25">
            <v>20.435850766301293</v>
          </cell>
          <cell r="C25">
            <v>16.022411657826385</v>
          </cell>
          <cell r="D25">
            <v>24</v>
          </cell>
          <cell r="E25">
            <v>16.132747635538259</v>
          </cell>
          <cell r="F25">
            <v>23</v>
          </cell>
          <cell r="G25">
            <v>1.6153989952586549</v>
          </cell>
        </row>
        <row r="26">
          <cell r="A26" t="str">
            <v>Nebraska</v>
          </cell>
          <cell r="B26">
            <v>16.206376355863735</v>
          </cell>
          <cell r="C26">
            <v>16.034189044440076</v>
          </cell>
          <cell r="D26">
            <v>23</v>
          </cell>
          <cell r="E26">
            <v>16.038493727225667</v>
          </cell>
          <cell r="F26">
            <v>25</v>
          </cell>
          <cell r="G26">
            <v>1.6053942037630158</v>
          </cell>
        </row>
        <row r="27">
          <cell r="A27" t="str">
            <v>UCLA</v>
          </cell>
          <cell r="B27">
            <v>22.200725869750766</v>
          </cell>
          <cell r="C27">
            <v>15.883734560441642</v>
          </cell>
          <cell r="D27">
            <v>25</v>
          </cell>
          <cell r="E27">
            <v>16.04165934317437</v>
          </cell>
          <cell r="F27">
            <v>24</v>
          </cell>
          <cell r="G27">
            <v>1.6057302251343206</v>
          </cell>
        </row>
        <row r="28">
          <cell r="A28" t="str">
            <v>Wisconsin</v>
          </cell>
          <cell r="B28">
            <v>20.84233967694907</v>
          </cell>
          <cell r="C28">
            <v>15.866761959600353</v>
          </cell>
          <cell r="D28">
            <v>26</v>
          </cell>
          <cell r="E28">
            <v>15.99115140253407</v>
          </cell>
          <cell r="F28">
            <v>26</v>
          </cell>
          <cell r="G28">
            <v>1.6003689470289668</v>
          </cell>
        </row>
        <row r="29">
          <cell r="A29" t="str">
            <v>Santa Clara</v>
          </cell>
          <cell r="B29">
            <v>15.533209820599076</v>
          </cell>
          <cell r="C29">
            <v>15.507218102709846</v>
          </cell>
          <cell r="D29">
            <v>27</v>
          </cell>
          <cell r="E29">
            <v>15.507867895657077</v>
          </cell>
          <cell r="F29">
            <v>27</v>
          </cell>
          <cell r="G29">
            <v>1.5490697403844012</v>
          </cell>
        </row>
        <row r="30">
          <cell r="A30" t="str">
            <v>Texas</v>
          </cell>
          <cell r="B30">
            <v>16.253714630756026</v>
          </cell>
          <cell r="C30">
            <v>15.322142645209601</v>
          </cell>
          <cell r="D30">
            <v>28</v>
          </cell>
          <cell r="E30">
            <v>15.345431944848261</v>
          </cell>
          <cell r="F30">
            <v>28</v>
          </cell>
          <cell r="G30">
            <v>1.5318276137889888</v>
          </cell>
        </row>
        <row r="31">
          <cell r="A31" t="str">
            <v>St. John's</v>
          </cell>
          <cell r="B31">
            <v>23.036885093583159</v>
          </cell>
          <cell r="C31">
            <v>14.906529852330575</v>
          </cell>
          <cell r="D31">
            <v>30</v>
          </cell>
          <cell r="E31">
            <v>15.109788733361889</v>
          </cell>
          <cell r="F31">
            <v>29</v>
          </cell>
          <cell r="G31">
            <v>1.5068147390924282</v>
          </cell>
        </row>
        <row r="32">
          <cell r="A32" t="str">
            <v>Saint Mary's</v>
          </cell>
          <cell r="B32">
            <v>18.3754884225479</v>
          </cell>
          <cell r="C32">
            <v>14.965205434953242</v>
          </cell>
          <cell r="D32">
            <v>29</v>
          </cell>
          <cell r="E32">
            <v>15.050462509643108</v>
          </cell>
          <cell r="F32">
            <v>30</v>
          </cell>
          <cell r="G32">
            <v>1.5005174246451425</v>
          </cell>
        </row>
        <row r="33">
          <cell r="A33" t="str">
            <v>Ohio State</v>
          </cell>
          <cell r="B33">
            <v>19.539372034863764</v>
          </cell>
          <cell r="C33">
            <v>14.51800322601054</v>
          </cell>
          <cell r="D33">
            <v>31</v>
          </cell>
          <cell r="E33">
            <v>14.643537446231871</v>
          </cell>
          <cell r="F33">
            <v>31</v>
          </cell>
          <cell r="G33">
            <v>1.4573234554329897</v>
          </cell>
        </row>
        <row r="34">
          <cell r="A34" t="str">
            <v>Georgia</v>
          </cell>
          <cell r="B34">
            <v>17.950699951149623</v>
          </cell>
          <cell r="C34">
            <v>14.464473572995207</v>
          </cell>
          <cell r="D34">
            <v>32</v>
          </cell>
          <cell r="E34">
            <v>14.551629232449068</v>
          </cell>
          <cell r="F34">
            <v>32</v>
          </cell>
          <cell r="G34">
            <v>1.4475676529193795</v>
          </cell>
        </row>
        <row r="35">
          <cell r="A35" t="str">
            <v>San Diego State</v>
          </cell>
          <cell r="B35">
            <v>18.448153521291179</v>
          </cell>
          <cell r="C35">
            <v>14.450250218426126</v>
          </cell>
          <cell r="D35">
            <v>34</v>
          </cell>
          <cell r="E35">
            <v>14.550197800997752</v>
          </cell>
          <cell r="F35">
            <v>33</v>
          </cell>
          <cell r="G35">
            <v>1.4474157104326741</v>
          </cell>
        </row>
        <row r="36">
          <cell r="A36" t="str">
            <v>North Carolina</v>
          </cell>
          <cell r="B36">
            <v>18.770883806676974</v>
          </cell>
          <cell r="C36">
            <v>14.017199226064387</v>
          </cell>
          <cell r="D36">
            <v>35</v>
          </cell>
          <cell r="E36">
            <v>14.136041340579702</v>
          </cell>
          <cell r="F36">
            <v>34</v>
          </cell>
          <cell r="G36">
            <v>1.4034541484429846</v>
          </cell>
        </row>
        <row r="37">
          <cell r="A37" t="str">
            <v>Baylor</v>
          </cell>
          <cell r="B37">
            <v>19.16475956028432</v>
          </cell>
          <cell r="C37">
            <v>13.862288459386116</v>
          </cell>
          <cell r="D37">
            <v>36</v>
          </cell>
          <cell r="E37">
            <v>13.994850236908572</v>
          </cell>
          <cell r="F37">
            <v>35</v>
          </cell>
          <cell r="G37">
            <v>1.3884671035707019</v>
          </cell>
        </row>
        <row r="38">
          <cell r="A38" t="str">
            <v>Texas A&amp;M</v>
          </cell>
          <cell r="B38">
            <v>16.014733241007438</v>
          </cell>
          <cell r="C38">
            <v>13.70633654388131</v>
          </cell>
          <cell r="D38">
            <v>37</v>
          </cell>
          <cell r="E38">
            <v>13.764046461309464</v>
          </cell>
          <cell r="F38">
            <v>36</v>
          </cell>
          <cell r="G38">
            <v>1.3639679215992009</v>
          </cell>
        </row>
        <row r="39">
          <cell r="A39" t="str">
            <v>SMU</v>
          </cell>
          <cell r="B39">
            <v>19.201852273032792</v>
          </cell>
          <cell r="C39">
            <v>13.385001058285397</v>
          </cell>
          <cell r="D39">
            <v>38</v>
          </cell>
          <cell r="E39">
            <v>13.530422338654081</v>
          </cell>
          <cell r="F39">
            <v>37</v>
          </cell>
          <cell r="G39">
            <v>1.3391693675937064</v>
          </cell>
        </row>
        <row r="40">
          <cell r="A40" t="str">
            <v>Indiana</v>
          </cell>
          <cell r="B40">
            <v>18.769900205372554</v>
          </cell>
          <cell r="C40">
            <v>13.07976100288046</v>
          </cell>
          <cell r="D40">
            <v>39</v>
          </cell>
          <cell r="E40">
            <v>13.222014482942763</v>
          </cell>
          <cell r="F40">
            <v>38</v>
          </cell>
          <cell r="G40">
            <v>1.3064327273073886</v>
          </cell>
        </row>
        <row r="41">
          <cell r="A41" t="str">
            <v>Virginia</v>
          </cell>
          <cell r="B41">
            <v>17.976536937098711</v>
          </cell>
          <cell r="C41">
            <v>12.908816611269771</v>
          </cell>
          <cell r="D41">
            <v>40</v>
          </cell>
          <cell r="E41">
            <v>13.035509619415494</v>
          </cell>
          <cell r="F41">
            <v>39</v>
          </cell>
          <cell r="G41">
            <v>1.2866357522437701</v>
          </cell>
        </row>
        <row r="42">
          <cell r="A42" t="str">
            <v>Cincinnati</v>
          </cell>
          <cell r="B42">
            <v>17.830958402823203</v>
          </cell>
          <cell r="C42">
            <v>12.886750396568385</v>
          </cell>
          <cell r="D42">
            <v>41</v>
          </cell>
          <cell r="E42">
            <v>13.010355596724756</v>
          </cell>
          <cell r="F42">
            <v>40</v>
          </cell>
          <cell r="G42">
            <v>1.2839657223553247</v>
          </cell>
        </row>
        <row r="43">
          <cell r="A43" t="str">
            <v>Saint Louis</v>
          </cell>
          <cell r="B43">
            <v>13.200856043417884</v>
          </cell>
          <cell r="C43">
            <v>14.455837219123424</v>
          </cell>
          <cell r="D43">
            <v>33</v>
          </cell>
          <cell r="E43">
            <v>12.924462689730786</v>
          </cell>
          <cell r="F43">
            <v>41</v>
          </cell>
          <cell r="G43">
            <v>1.2748484280084527</v>
          </cell>
        </row>
        <row r="44">
          <cell r="A44" t="str">
            <v>NC State</v>
          </cell>
          <cell r="B44">
            <v>18.268501706355732</v>
          </cell>
          <cell r="C44">
            <v>12.68906042635469</v>
          </cell>
          <cell r="D44">
            <v>42</v>
          </cell>
          <cell r="E44">
            <v>12.828546458354715</v>
          </cell>
          <cell r="F44">
            <v>42</v>
          </cell>
          <cell r="G44">
            <v>1.2646671855205285</v>
          </cell>
        </row>
        <row r="45">
          <cell r="A45" t="str">
            <v>UCF</v>
          </cell>
          <cell r="B45">
            <v>12.869455518949275</v>
          </cell>
          <cell r="C45">
            <v>12.683551515631885</v>
          </cell>
          <cell r="D45">
            <v>43</v>
          </cell>
          <cell r="E45">
            <v>12.68819911571482</v>
          </cell>
          <cell r="F45">
            <v>43</v>
          </cell>
          <cell r="G45">
            <v>1.2497697035463875</v>
          </cell>
        </row>
        <row r="46">
          <cell r="A46" t="str">
            <v>New Mexico</v>
          </cell>
          <cell r="B46">
            <v>12.32632888000543</v>
          </cell>
          <cell r="C46">
            <v>12.657949489548066</v>
          </cell>
          <cell r="D46">
            <v>44</v>
          </cell>
          <cell r="E46">
            <v>12.649658974309501</v>
          </cell>
          <cell r="F46">
            <v>44</v>
          </cell>
          <cell r="G46">
            <v>1.2456787742058886</v>
          </cell>
        </row>
        <row r="47">
          <cell r="A47" t="str">
            <v>TCU</v>
          </cell>
          <cell r="B47">
            <v>15.486595932014291</v>
          </cell>
          <cell r="C47">
            <v>12.466905282205689</v>
          </cell>
          <cell r="D47">
            <v>45</v>
          </cell>
          <cell r="E47">
            <v>12.542397548450904</v>
          </cell>
          <cell r="F47">
            <v>45</v>
          </cell>
          <cell r="G47">
            <v>1.234293270724365</v>
          </cell>
        </row>
        <row r="48">
          <cell r="A48" t="str">
            <v>Villanova</v>
          </cell>
          <cell r="B48">
            <v>15.786076207910773</v>
          </cell>
          <cell r="C48">
            <v>12.350449546690045</v>
          </cell>
          <cell r="D48">
            <v>46</v>
          </cell>
          <cell r="E48">
            <v>12.436340213220562</v>
          </cell>
          <cell r="F48">
            <v>46</v>
          </cell>
          <cell r="G48">
            <v>1.2230355781304028</v>
          </cell>
        </row>
        <row r="49">
          <cell r="A49" t="str">
            <v>Oklahoma</v>
          </cell>
          <cell r="B49">
            <v>18.852287045547964</v>
          </cell>
          <cell r="C49">
            <v>12.264027519734777</v>
          </cell>
          <cell r="D49">
            <v>47</v>
          </cell>
          <cell r="E49">
            <v>12.428734007880106</v>
          </cell>
          <cell r="F49">
            <v>47</v>
          </cell>
          <cell r="G49">
            <v>1.2222282004856275</v>
          </cell>
        </row>
        <row r="50">
          <cell r="A50" t="str">
            <v>Missouri</v>
          </cell>
          <cell r="B50">
            <v>20.470260700429062</v>
          </cell>
          <cell r="C50">
            <v>11.947838643709252</v>
          </cell>
          <cell r="D50">
            <v>49</v>
          </cell>
          <cell r="E50">
            <v>12.160899195127248</v>
          </cell>
          <cell r="F50">
            <v>48</v>
          </cell>
          <cell r="G50">
            <v>1.1937982764131005</v>
          </cell>
        </row>
        <row r="51">
          <cell r="A51" t="str">
            <v>LSU</v>
          </cell>
          <cell r="B51">
            <v>13.241259481143162</v>
          </cell>
          <cell r="C51">
            <v>12.060450445073299</v>
          </cell>
          <cell r="D51">
            <v>48</v>
          </cell>
          <cell r="E51">
            <v>12.089970670975044</v>
          </cell>
          <cell r="F51">
            <v>49</v>
          </cell>
          <cell r="G51">
            <v>1.1862694098871338</v>
          </cell>
        </row>
        <row r="52">
          <cell r="A52" t="str">
            <v>Miami</v>
          </cell>
          <cell r="B52">
            <v>15.666562444013055</v>
          </cell>
          <cell r="C52">
            <v>11.833503106445106</v>
          </cell>
          <cell r="D52">
            <v>50</v>
          </cell>
          <cell r="E52">
            <v>11.929329589884304</v>
          </cell>
          <cell r="F52">
            <v>50</v>
          </cell>
          <cell r="G52">
            <v>1.1692178037445353</v>
          </cell>
        </row>
        <row r="53">
          <cell r="A53" t="str">
            <v>Arizona State</v>
          </cell>
          <cell r="B53">
            <v>14.405762229379153</v>
          </cell>
          <cell r="C53">
            <v>11.607560198982799</v>
          </cell>
          <cell r="D53">
            <v>51</v>
          </cell>
          <cell r="E53">
            <v>11.677515249742708</v>
          </cell>
          <cell r="F53">
            <v>51</v>
          </cell>
          <cell r="G53">
            <v>1.1424884084989479</v>
          </cell>
        </row>
        <row r="54">
          <cell r="A54" t="str">
            <v>Stanford</v>
          </cell>
          <cell r="B54">
            <v>12.773932093692459</v>
          </cell>
          <cell r="C54">
            <v>11.603490246940151</v>
          </cell>
          <cell r="D54">
            <v>52</v>
          </cell>
          <cell r="E54">
            <v>11.632751293108958</v>
          </cell>
          <cell r="F54">
            <v>52</v>
          </cell>
          <cell r="G54">
            <v>1.137736838397948</v>
          </cell>
        </row>
        <row r="55">
          <cell r="A55" t="str">
            <v>Boise State</v>
          </cell>
          <cell r="B55">
            <v>14.656697145610531</v>
          </cell>
          <cell r="C55">
            <v>11.514871677907085</v>
          </cell>
          <cell r="D55">
            <v>53</v>
          </cell>
          <cell r="E55">
            <v>11.59341731459967</v>
          </cell>
          <cell r="F55">
            <v>53</v>
          </cell>
          <cell r="G55">
            <v>1.1335616454460096</v>
          </cell>
        </row>
        <row r="56">
          <cell r="A56" t="str">
            <v>Washington</v>
          </cell>
          <cell r="B56">
            <v>17.70257354068773</v>
          </cell>
          <cell r="C56">
            <v>11.416075447717795</v>
          </cell>
          <cell r="D56">
            <v>54</v>
          </cell>
          <cell r="E56">
            <v>11.573237900042043</v>
          </cell>
          <cell r="F56">
            <v>54</v>
          </cell>
          <cell r="G56">
            <v>1.1314196564423966</v>
          </cell>
        </row>
        <row r="57">
          <cell r="A57" t="str">
            <v>South Florida</v>
          </cell>
          <cell r="B57">
            <v>14.502100434073014</v>
          </cell>
          <cell r="C57">
            <v>10.563974582963146</v>
          </cell>
          <cell r="D57">
            <v>57</v>
          </cell>
          <cell r="E57">
            <v>10.662427729240893</v>
          </cell>
          <cell r="F57">
            <v>55</v>
          </cell>
          <cell r="G57">
            <v>1.0347396777114179</v>
          </cell>
        </row>
        <row r="58">
          <cell r="A58" t="str">
            <v>Wake Forest</v>
          </cell>
          <cell r="B58">
            <v>13.974759095963076</v>
          </cell>
          <cell r="C58">
            <v>10.418508675036481</v>
          </cell>
          <cell r="D58">
            <v>58</v>
          </cell>
          <cell r="E58">
            <v>10.507414935559646</v>
          </cell>
          <cell r="F58">
            <v>56</v>
          </cell>
          <cell r="G58">
            <v>1.0182854986996155</v>
          </cell>
        </row>
        <row r="59">
          <cell r="A59" t="str">
            <v>Akron</v>
          </cell>
          <cell r="B59">
            <v>14.017497672961843</v>
          </cell>
          <cell r="C59">
            <v>10.40924509819906</v>
          </cell>
          <cell r="D59">
            <v>59</v>
          </cell>
          <cell r="E59">
            <v>10.49945141256813</v>
          </cell>
          <cell r="F59">
            <v>57</v>
          </cell>
          <cell r="G59">
            <v>1.017440192775148</v>
          </cell>
        </row>
        <row r="60">
          <cell r="A60" t="str">
            <v>Oklahoma State</v>
          </cell>
          <cell r="B60">
            <v>14.223680468275028</v>
          </cell>
          <cell r="C60">
            <v>10.299217156386003</v>
          </cell>
          <cell r="D60">
            <v>60</v>
          </cell>
          <cell r="E60">
            <v>10.397328739183228</v>
          </cell>
          <cell r="F60">
            <v>58</v>
          </cell>
          <cell r="G60">
            <v>1.0066001536458984</v>
          </cell>
        </row>
        <row r="61">
          <cell r="A61" t="str">
            <v>Clemson</v>
          </cell>
          <cell r="B61">
            <v>19.851444098386473</v>
          </cell>
          <cell r="C61">
            <v>9.8182056429759186</v>
          </cell>
          <cell r="D61">
            <v>63</v>
          </cell>
          <cell r="E61">
            <v>10.069036604361182</v>
          </cell>
          <cell r="F61">
            <v>59</v>
          </cell>
          <cell r="G61">
            <v>0.9717528521667933</v>
          </cell>
        </row>
        <row r="62">
          <cell r="A62" t="str">
            <v>VCU</v>
          </cell>
          <cell r="B62">
            <v>15.866511896233263</v>
          </cell>
          <cell r="C62">
            <v>9.8977140648911703</v>
          </cell>
          <cell r="D62">
            <v>62</v>
          </cell>
          <cell r="E62">
            <v>10.046934010674722</v>
          </cell>
          <cell r="F62">
            <v>60</v>
          </cell>
          <cell r="G62">
            <v>0.96940672302154351</v>
          </cell>
        </row>
        <row r="63">
          <cell r="A63" t="str">
            <v>Southern California</v>
          </cell>
          <cell r="B63">
            <v>19.752289936695011</v>
          </cell>
          <cell r="C63">
            <v>9.6232017836575388</v>
          </cell>
          <cell r="D63">
            <v>67</v>
          </cell>
          <cell r="E63">
            <v>9.8764289874834752</v>
          </cell>
          <cell r="F63">
            <v>61</v>
          </cell>
          <cell r="G63">
            <v>0.95130808672595302</v>
          </cell>
        </row>
        <row r="64">
          <cell r="A64" t="str">
            <v>Northwestern</v>
          </cell>
          <cell r="B64">
            <v>14.502255506436576</v>
          </cell>
          <cell r="C64">
            <v>9.7445524446949499</v>
          </cell>
          <cell r="D64">
            <v>66</v>
          </cell>
          <cell r="E64">
            <v>9.8634950212384904</v>
          </cell>
          <cell r="F64">
            <v>62</v>
          </cell>
          <cell r="G64">
            <v>0.94993518200709981</v>
          </cell>
        </row>
        <row r="65">
          <cell r="A65" t="str">
            <v>Colorado</v>
          </cell>
          <cell r="B65">
            <v>10.835928700083171</v>
          </cell>
          <cell r="C65">
            <v>9.7936261486961786</v>
          </cell>
          <cell r="D65">
            <v>64</v>
          </cell>
          <cell r="E65">
            <v>9.8196837124808525</v>
          </cell>
          <cell r="F65">
            <v>63</v>
          </cell>
          <cell r="G65">
            <v>0.94528473284145309</v>
          </cell>
        </row>
        <row r="66">
          <cell r="A66" t="str">
            <v>Seton Hall</v>
          </cell>
          <cell r="B66">
            <v>8.1076286972262395</v>
          </cell>
          <cell r="C66">
            <v>9.7481523755874431</v>
          </cell>
          <cell r="D66">
            <v>65</v>
          </cell>
          <cell r="E66">
            <v>9.7071392836284129</v>
          </cell>
          <cell r="F66">
            <v>64</v>
          </cell>
          <cell r="G66">
            <v>0.93333845321419207</v>
          </cell>
        </row>
        <row r="67">
          <cell r="A67" t="str">
            <v>High Point</v>
          </cell>
          <cell r="B67">
            <v>13.396471442361008</v>
          </cell>
          <cell r="C67">
            <v>9.5479479356045758</v>
          </cell>
          <cell r="D67">
            <v>68</v>
          </cell>
          <cell r="E67">
            <v>9.6441610232734867</v>
          </cell>
          <cell r="F67">
            <v>65</v>
          </cell>
          <cell r="G67">
            <v>0.92665348518592261</v>
          </cell>
        </row>
        <row r="68">
          <cell r="A68" t="str">
            <v>California</v>
          </cell>
          <cell r="B68">
            <v>11.900594442090167</v>
          </cell>
          <cell r="C68">
            <v>9.3739580853650093</v>
          </cell>
          <cell r="D68">
            <v>69</v>
          </cell>
          <cell r="E68">
            <v>9.4371239942831391</v>
          </cell>
          <cell r="F68">
            <v>66</v>
          </cell>
          <cell r="G68">
            <v>0.90467707758640559</v>
          </cell>
        </row>
        <row r="69">
          <cell r="A69" t="str">
            <v>West Virginia</v>
          </cell>
          <cell r="B69">
            <v>15.314260744597942</v>
          </cell>
          <cell r="C69">
            <v>9.0647328234381668</v>
          </cell>
          <cell r="D69">
            <v>72</v>
          </cell>
          <cell r="E69">
            <v>9.220971021467161</v>
          </cell>
          <cell r="F69">
            <v>67</v>
          </cell>
          <cell r="G69">
            <v>0.8817330377804985</v>
          </cell>
        </row>
        <row r="70">
          <cell r="A70" t="str">
            <v>Nevada</v>
          </cell>
          <cell r="B70">
            <v>14.187958711646898</v>
          </cell>
          <cell r="C70">
            <v>9.0821312301914254</v>
          </cell>
          <cell r="D70">
            <v>71</v>
          </cell>
          <cell r="E70">
            <v>9.2097769172278117</v>
          </cell>
          <cell r="F70">
            <v>68</v>
          </cell>
          <cell r="G70">
            <v>0.88054481459803158</v>
          </cell>
        </row>
        <row r="71">
          <cell r="A71" t="str">
            <v>Grand Canyon</v>
          </cell>
          <cell r="B71">
            <v>10.857794571237998</v>
          </cell>
          <cell r="C71">
            <v>9.1521479930344078</v>
          </cell>
          <cell r="D71">
            <v>70</v>
          </cell>
          <cell r="E71">
            <v>9.1947891574894971</v>
          </cell>
          <cell r="F71">
            <v>69</v>
          </cell>
          <cell r="G71">
            <v>0.87895390538425899</v>
          </cell>
        </row>
        <row r="72">
          <cell r="A72" t="str">
            <v>Oregon</v>
          </cell>
          <cell r="B72">
            <v>18.28693102974616</v>
          </cell>
          <cell r="C72">
            <v>8.9411813603282404</v>
          </cell>
          <cell r="D72">
            <v>74</v>
          </cell>
          <cell r="E72">
            <v>9.1748251020636893</v>
          </cell>
          <cell r="F72">
            <v>70</v>
          </cell>
          <cell r="G72">
            <v>0.87683477615642724</v>
          </cell>
        </row>
        <row r="73">
          <cell r="A73" t="str">
            <v>Ole Miss</v>
          </cell>
          <cell r="B73">
            <v>15.32419956436574</v>
          </cell>
          <cell r="C73">
            <v>8.7638080320911129</v>
          </cell>
          <cell r="D73">
            <v>76</v>
          </cell>
          <cell r="E73">
            <v>8.9278178203979799</v>
          </cell>
          <cell r="F73">
            <v>71</v>
          </cell>
          <cell r="G73">
            <v>0.85061563686329422</v>
          </cell>
        </row>
        <row r="74">
          <cell r="A74" t="str">
            <v>Sam Houston</v>
          </cell>
          <cell r="B74">
            <v>2.8248760712375889</v>
          </cell>
          <cell r="C74">
            <v>8.9080632625534779</v>
          </cell>
          <cell r="D74">
            <v>75</v>
          </cell>
          <cell r="E74">
            <v>8.7559835827705808</v>
          </cell>
          <cell r="F74">
            <v>73</v>
          </cell>
          <cell r="G74">
            <v>0.83237590813424611</v>
          </cell>
        </row>
        <row r="75">
          <cell r="A75" t="str">
            <v>Belmont</v>
          </cell>
          <cell r="B75">
            <v>11.38734507771372</v>
          </cell>
          <cell r="C75">
            <v>8.6448730754653393</v>
          </cell>
          <cell r="D75">
            <v>78</v>
          </cell>
          <cell r="E75">
            <v>8.7134348755215498</v>
          </cell>
          <cell r="F75">
            <v>74</v>
          </cell>
          <cell r="G75">
            <v>0.82785948062416614</v>
          </cell>
        </row>
        <row r="76">
          <cell r="A76" t="str">
            <v>Northern Iowa</v>
          </cell>
          <cell r="B76">
            <v>13.377766522114587</v>
          </cell>
          <cell r="C76">
            <v>8.6809648979343788</v>
          </cell>
          <cell r="D76">
            <v>77</v>
          </cell>
          <cell r="E76">
            <v>8.7983849385388844</v>
          </cell>
          <cell r="F76">
            <v>72</v>
          </cell>
          <cell r="G76">
            <v>0.83687669469247972</v>
          </cell>
        </row>
        <row r="77">
          <cell r="A77" t="str">
            <v>Kansas State</v>
          </cell>
          <cell r="B77">
            <v>15.543271889111036</v>
          </cell>
          <cell r="C77">
            <v>8.4204636034044604</v>
          </cell>
          <cell r="D77">
            <v>79</v>
          </cell>
          <cell r="E77">
            <v>8.5985338105471243</v>
          </cell>
          <cell r="F77">
            <v>75</v>
          </cell>
          <cell r="G77">
            <v>0.8156630505951481</v>
          </cell>
        </row>
        <row r="78">
          <cell r="A78" t="str">
            <v>Colorado State</v>
          </cell>
          <cell r="B78">
            <v>14.00215292190866</v>
          </cell>
          <cell r="C78">
            <v>8.3937700608953989</v>
          </cell>
          <cell r="D78">
            <v>80</v>
          </cell>
          <cell r="E78">
            <v>8.5339796324207295</v>
          </cell>
          <cell r="F78">
            <v>76</v>
          </cell>
          <cell r="G78">
            <v>0.80881080325719179</v>
          </cell>
        </row>
        <row r="79">
          <cell r="A79" t="str">
            <v>UNLV</v>
          </cell>
          <cell r="B79">
            <v>11.192165782512511</v>
          </cell>
          <cell r="C79">
            <v>8.1061677369854941</v>
          </cell>
          <cell r="D79">
            <v>81</v>
          </cell>
          <cell r="E79">
            <v>8.1833176881236689</v>
          </cell>
          <cell r="F79">
            <v>77</v>
          </cell>
          <cell r="G79">
            <v>0.77158900841646982</v>
          </cell>
        </row>
        <row r="80">
          <cell r="A80" t="str">
            <v>George Washington</v>
          </cell>
          <cell r="B80">
            <v>12.609131256265183</v>
          </cell>
          <cell r="C80">
            <v>8.0029632863853557</v>
          </cell>
          <cell r="D80">
            <v>82</v>
          </cell>
          <cell r="E80">
            <v>8.1181174856323501</v>
          </cell>
          <cell r="F80">
            <v>78</v>
          </cell>
          <cell r="G80">
            <v>0.76466818738021414</v>
          </cell>
        </row>
        <row r="81">
          <cell r="A81" t="str">
            <v>Miami (OH)</v>
          </cell>
          <cell r="B81">
            <v>13.525882252433213</v>
          </cell>
          <cell r="C81">
            <v>7.9320500716565334</v>
          </cell>
          <cell r="D81">
            <v>83</v>
          </cell>
          <cell r="E81">
            <v>8.0718958761759509</v>
          </cell>
          <cell r="F81">
            <v>79</v>
          </cell>
          <cell r="G81">
            <v>0.75976189146651607</v>
          </cell>
        </row>
        <row r="82">
          <cell r="A82" t="str">
            <v>Florida State</v>
          </cell>
          <cell r="B82">
            <v>14.489621953834808</v>
          </cell>
          <cell r="C82">
            <v>7.8561717941787439</v>
          </cell>
          <cell r="D82">
            <v>84</v>
          </cell>
          <cell r="E82">
            <v>8.0220080481701448</v>
          </cell>
          <cell r="F82">
            <v>80</v>
          </cell>
          <cell r="G82">
            <v>0.75446643660099388</v>
          </cell>
        </row>
        <row r="83">
          <cell r="A83" t="str">
            <v>Virginia Tech</v>
          </cell>
          <cell r="B83">
            <v>13.845209155066584</v>
          </cell>
          <cell r="C83">
            <v>7.692120978554307</v>
          </cell>
          <cell r="D83">
            <v>86</v>
          </cell>
          <cell r="E83">
            <v>7.8459481829671143</v>
          </cell>
          <cell r="F83">
            <v>81</v>
          </cell>
          <cell r="G83">
            <v>0.73577816920029526</v>
          </cell>
        </row>
        <row r="84">
          <cell r="A84" t="str">
            <v>Wichita State</v>
          </cell>
          <cell r="B84">
            <v>9.0210071949947395</v>
          </cell>
          <cell r="C84">
            <v>7.738768213669422</v>
          </cell>
          <cell r="D84">
            <v>85</v>
          </cell>
          <cell r="E84">
            <v>7.770824188202555</v>
          </cell>
          <cell r="F84">
            <v>82</v>
          </cell>
          <cell r="G84">
            <v>0.72780396508086254</v>
          </cell>
        </row>
        <row r="85">
          <cell r="A85" t="str">
            <v>Notre Dame</v>
          </cell>
          <cell r="B85">
            <v>16.090956511961046</v>
          </cell>
          <cell r="C85">
            <v>7.4152576910617043</v>
          </cell>
          <cell r="D85">
            <v>87</v>
          </cell>
          <cell r="E85">
            <v>7.632150161584188</v>
          </cell>
          <cell r="F85">
            <v>83</v>
          </cell>
          <cell r="G85">
            <v>0.71308410097107766</v>
          </cell>
        </row>
        <row r="86">
          <cell r="A86" t="str">
            <v>Minnesota</v>
          </cell>
          <cell r="B86">
            <v>15.757484874618889</v>
          </cell>
          <cell r="C86">
            <v>7.3616437943402939</v>
          </cell>
          <cell r="D86">
            <v>88</v>
          </cell>
          <cell r="E86">
            <v>7.5715398213472591</v>
          </cell>
          <cell r="F86">
            <v>84</v>
          </cell>
          <cell r="G86">
            <v>0.70665048110951045</v>
          </cell>
        </row>
        <row r="87">
          <cell r="A87" t="str">
            <v>Yale</v>
          </cell>
          <cell r="B87">
            <v>14.953359680962022</v>
          </cell>
          <cell r="C87">
            <v>7.2356865484603619</v>
          </cell>
          <cell r="D87">
            <v>90</v>
          </cell>
          <cell r="E87">
            <v>7.4286283767729033</v>
          </cell>
          <cell r="F87">
            <v>85</v>
          </cell>
          <cell r="G87">
            <v>0.69148082681183287</v>
          </cell>
        </row>
        <row r="88">
          <cell r="A88" t="str">
            <v>Middle Tennessee</v>
          </cell>
          <cell r="B88">
            <v>8.0494590269813031</v>
          </cell>
          <cell r="C88">
            <v>7.2536070487838016</v>
          </cell>
          <cell r="D88">
            <v>89</v>
          </cell>
          <cell r="E88">
            <v>7.273503348238739</v>
          </cell>
          <cell r="F88">
            <v>87</v>
          </cell>
          <cell r="G88">
            <v>0.67501473438103177</v>
          </cell>
        </row>
        <row r="89">
          <cell r="A89" t="str">
            <v>McNeese</v>
          </cell>
          <cell r="B89">
            <v>12.435400478194667</v>
          </cell>
          <cell r="C89">
            <v>10.732543334789003</v>
          </cell>
          <cell r="D89">
            <v>56</v>
          </cell>
          <cell r="E89">
            <v>7.2751147633741446</v>
          </cell>
          <cell r="F89">
            <v>86</v>
          </cell>
          <cell r="G89">
            <v>0.67518578163765253</v>
          </cell>
        </row>
        <row r="90">
          <cell r="A90" t="str">
            <v>Providence</v>
          </cell>
          <cell r="B90">
            <v>15.934601567729755</v>
          </cell>
          <cell r="C90">
            <v>6.9996399435822712</v>
          </cell>
          <cell r="D90">
            <v>92</v>
          </cell>
          <cell r="E90">
            <v>7.2230139841859584</v>
          </cell>
          <cell r="F90">
            <v>88</v>
          </cell>
          <cell r="G90">
            <v>0.66965542812902779</v>
          </cell>
        </row>
        <row r="91">
          <cell r="A91" t="str">
            <v>Dayton</v>
          </cell>
          <cell r="B91">
            <v>13.449405350407183</v>
          </cell>
          <cell r="C91">
            <v>7.0480482056745277</v>
          </cell>
          <cell r="D91">
            <v>91</v>
          </cell>
          <cell r="E91">
            <v>7.2080821342928445</v>
          </cell>
          <cell r="F91">
            <v>89</v>
          </cell>
          <cell r="G91">
            <v>0.66807045359057859</v>
          </cell>
        </row>
        <row r="92">
          <cell r="A92" t="str">
            <v>Utah Valley</v>
          </cell>
          <cell r="B92">
            <v>10.000620853136329</v>
          </cell>
          <cell r="C92">
            <v>11.195979360326049</v>
          </cell>
          <cell r="D92">
            <v>55</v>
          </cell>
          <cell r="E92">
            <v>7.1660953976463073</v>
          </cell>
          <cell r="F92">
            <v>90</v>
          </cell>
          <cell r="G92">
            <v>0.66361367770455626</v>
          </cell>
        </row>
        <row r="93">
          <cell r="A93" t="str">
            <v>Butler</v>
          </cell>
          <cell r="B93">
            <v>14.983715750485825</v>
          </cell>
          <cell r="C93">
            <v>6.8597685936187034</v>
          </cell>
          <cell r="D93">
            <v>93</v>
          </cell>
          <cell r="E93">
            <v>7.0628672725403812</v>
          </cell>
          <cell r="F93">
            <v>91</v>
          </cell>
          <cell r="G93">
            <v>0.65265629793473967</v>
          </cell>
        </row>
        <row r="94">
          <cell r="A94" t="str">
            <v>Creighton</v>
          </cell>
          <cell r="B94">
            <v>18.850264705579271</v>
          </cell>
          <cell r="C94">
            <v>6.7301873174317652</v>
          </cell>
          <cell r="D94">
            <v>94</v>
          </cell>
          <cell r="E94">
            <v>7.0331892521354531</v>
          </cell>
          <cell r="F94">
            <v>92</v>
          </cell>
          <cell r="G94">
            <v>0.64950605821025109</v>
          </cell>
        </row>
        <row r="95">
          <cell r="A95" t="str">
            <v>Utah</v>
          </cell>
          <cell r="B95">
            <v>14.027042917165174</v>
          </cell>
          <cell r="C95">
            <v>6.7248761186543948</v>
          </cell>
          <cell r="D95">
            <v>95</v>
          </cell>
          <cell r="E95">
            <v>6.9074302886171646</v>
          </cell>
          <cell r="F95">
            <v>93</v>
          </cell>
          <cell r="G95">
            <v>0.63615709230280681</v>
          </cell>
        </row>
        <row r="96">
          <cell r="A96" t="str">
            <v>Kennesaw State</v>
          </cell>
          <cell r="B96">
            <v>5.8133777351374993</v>
          </cell>
          <cell r="C96">
            <v>6.5081213042664867</v>
          </cell>
          <cell r="D96">
            <v>96</v>
          </cell>
          <cell r="E96">
            <v>6.490752715038262</v>
          </cell>
          <cell r="F96">
            <v>95</v>
          </cell>
          <cell r="G96">
            <v>0.59192792112891679</v>
          </cell>
        </row>
        <row r="97">
          <cell r="A97" t="str">
            <v>Mississippi State</v>
          </cell>
          <cell r="B97">
            <v>18.518577700746054</v>
          </cell>
          <cell r="C97">
            <v>6.185921878840225</v>
          </cell>
          <cell r="D97">
            <v>98</v>
          </cell>
          <cell r="E97">
            <v>6.4942382743878708</v>
          </cell>
          <cell r="F97">
            <v>94</v>
          </cell>
          <cell r="G97">
            <v>0.59229790360670287</v>
          </cell>
        </row>
        <row r="98">
          <cell r="A98" t="str">
            <v>Liberty</v>
          </cell>
          <cell r="B98">
            <v>12.531227606445631</v>
          </cell>
          <cell r="C98">
            <v>6.2970433523700908</v>
          </cell>
          <cell r="D98">
            <v>97</v>
          </cell>
          <cell r="E98">
            <v>6.4528979587219801</v>
          </cell>
          <cell r="F98">
            <v>96</v>
          </cell>
          <cell r="G98">
            <v>0.58790974351864111</v>
          </cell>
        </row>
        <row r="99">
          <cell r="A99" t="str">
            <v>South Carolina</v>
          </cell>
          <cell r="B99">
            <v>13.624333765068965</v>
          </cell>
          <cell r="C99">
            <v>6.0517025196749525</v>
          </cell>
          <cell r="D99">
            <v>99</v>
          </cell>
          <cell r="E99">
            <v>6.2410183008098024</v>
          </cell>
          <cell r="F99">
            <v>97</v>
          </cell>
          <cell r="G99">
            <v>0.56541930426228315</v>
          </cell>
        </row>
        <row r="100">
          <cell r="A100" t="str">
            <v>Xavier</v>
          </cell>
          <cell r="B100">
            <v>15.270434470611017</v>
          </cell>
          <cell r="C100">
            <v>5.9238785858658858</v>
          </cell>
          <cell r="D100">
            <v>100</v>
          </cell>
          <cell r="E100">
            <v>6.157542482984514</v>
          </cell>
          <cell r="F100">
            <v>98</v>
          </cell>
          <cell r="G100">
            <v>0.55655857724075553</v>
          </cell>
        </row>
        <row r="101">
          <cell r="A101" t="str">
            <v>Illinois State</v>
          </cell>
          <cell r="B101">
            <v>13.317375704818167</v>
          </cell>
          <cell r="C101">
            <v>5.7944814754963465</v>
          </cell>
          <cell r="D101">
            <v>101</v>
          </cell>
          <cell r="E101">
            <v>5.9825538312293922</v>
          </cell>
          <cell r="F101">
            <v>99</v>
          </cell>
          <cell r="G101">
            <v>0.53798401618269576</v>
          </cell>
        </row>
        <row r="102">
          <cell r="A102" t="str">
            <v>Syracuse</v>
          </cell>
          <cell r="B102">
            <v>13.526154656844779</v>
          </cell>
          <cell r="C102">
            <v>5.7308170353669841</v>
          </cell>
          <cell r="D102">
            <v>102</v>
          </cell>
          <cell r="E102">
            <v>5.9257004759039296</v>
          </cell>
          <cell r="F102">
            <v>100</v>
          </cell>
          <cell r="G102">
            <v>0.53194918987106632</v>
          </cell>
        </row>
        <row r="103">
          <cell r="A103" t="str">
            <v>Marquette</v>
          </cell>
          <cell r="B103">
            <v>19.034473302508317</v>
          </cell>
          <cell r="C103">
            <v>5.5576203023915518</v>
          </cell>
          <cell r="D103">
            <v>108</v>
          </cell>
          <cell r="E103">
            <v>5.8945416273944717</v>
          </cell>
          <cell r="F103">
            <v>101</v>
          </cell>
          <cell r="G103">
            <v>0.52864176434185162</v>
          </cell>
        </row>
        <row r="104">
          <cell r="A104" t="str">
            <v>Bradley</v>
          </cell>
          <cell r="B104">
            <v>14.741901139432152</v>
          </cell>
          <cell r="C104">
            <v>5.6244560380764614</v>
          </cell>
          <cell r="D104">
            <v>104</v>
          </cell>
          <cell r="E104">
            <v>5.8523921656103539</v>
          </cell>
          <cell r="F104">
            <v>102</v>
          </cell>
          <cell r="G104">
            <v>0.52416771563285847</v>
          </cell>
        </row>
        <row r="105">
          <cell r="A105" t="str">
            <v>Davidson</v>
          </cell>
          <cell r="B105">
            <v>9.0242862806618511</v>
          </cell>
          <cell r="C105">
            <v>5.6996671734619335</v>
          </cell>
          <cell r="D105">
            <v>103</v>
          </cell>
          <cell r="E105">
            <v>5.7827826511419316</v>
          </cell>
          <cell r="F105">
            <v>103</v>
          </cell>
          <cell r="G105">
            <v>0.51677885833412929</v>
          </cell>
        </row>
        <row r="106">
          <cell r="A106" t="str">
            <v>Murray State</v>
          </cell>
          <cell r="B106">
            <v>10.972565370614436</v>
          </cell>
          <cell r="C106">
            <v>5.5446168432912373</v>
          </cell>
          <cell r="D106">
            <v>109</v>
          </cell>
          <cell r="E106">
            <v>5.6803155564743175</v>
          </cell>
          <cell r="F106">
            <v>104</v>
          </cell>
          <cell r="G106">
            <v>0.50590225983899351</v>
          </cell>
        </row>
        <row r="107">
          <cell r="A107" t="str">
            <v>Seattle</v>
          </cell>
          <cell r="B107">
            <v>8.0547252401815363</v>
          </cell>
          <cell r="C107">
            <v>5.5855995566881784</v>
          </cell>
          <cell r="D107">
            <v>107</v>
          </cell>
          <cell r="E107">
            <v>5.6473276987755119</v>
          </cell>
          <cell r="F107">
            <v>105</v>
          </cell>
          <cell r="G107">
            <v>0.50240069004657917</v>
          </cell>
        </row>
        <row r="108">
          <cell r="A108" t="str">
            <v>Western Kentucky</v>
          </cell>
          <cell r="B108">
            <v>4.0080511882242069</v>
          </cell>
          <cell r="C108">
            <v>5.5950361502039154</v>
          </cell>
          <cell r="D108">
            <v>105</v>
          </cell>
          <cell r="E108">
            <v>5.5553615261544227</v>
          </cell>
          <cell r="F108">
            <v>106</v>
          </cell>
          <cell r="G108">
            <v>0.49263873536270075</v>
          </cell>
        </row>
        <row r="109">
          <cell r="A109" t="str">
            <v>Montana State</v>
          </cell>
          <cell r="B109">
            <v>5.7522786722706289</v>
          </cell>
          <cell r="C109">
            <v>5.5188511286520257</v>
          </cell>
          <cell r="D109">
            <v>110</v>
          </cell>
          <cell r="E109">
            <v>5.5246868172424906</v>
          </cell>
          <cell r="F109">
            <v>107</v>
          </cell>
          <cell r="G109">
            <v>0.48938269991178346</v>
          </cell>
        </row>
        <row r="110">
          <cell r="A110" t="str">
            <v>Washington State</v>
          </cell>
          <cell r="B110">
            <v>13.573021075172218</v>
          </cell>
          <cell r="C110">
            <v>5.3014352491649985</v>
          </cell>
          <cell r="D110">
            <v>112</v>
          </cell>
          <cell r="E110">
            <v>5.5082248948151795</v>
          </cell>
          <cell r="F110">
            <v>108</v>
          </cell>
          <cell r="G110">
            <v>0.4876353124086954</v>
          </cell>
        </row>
        <row r="111">
          <cell r="A111" t="str">
            <v>UT Rio Grande Valley</v>
          </cell>
          <cell r="B111">
            <v>2.1309102215605353</v>
          </cell>
          <cell r="C111">
            <v>5.593013600324471</v>
          </cell>
          <cell r="D111">
            <v>106</v>
          </cell>
          <cell r="E111">
            <v>5.5064610158553728</v>
          </cell>
          <cell r="F111">
            <v>109</v>
          </cell>
          <cell r="G111">
            <v>0.48744808153909702</v>
          </cell>
        </row>
        <row r="112">
          <cell r="A112" t="str">
            <v>Tulsa</v>
          </cell>
          <cell r="B112">
            <v>6.910260899305193</v>
          </cell>
          <cell r="C112">
            <v>9.922960809215585</v>
          </cell>
          <cell r="D112">
            <v>61</v>
          </cell>
          <cell r="E112">
            <v>5.3476433114678237</v>
          </cell>
          <cell r="F112">
            <v>113</v>
          </cell>
          <cell r="G112">
            <v>0.47059002178688186</v>
          </cell>
        </row>
        <row r="113">
          <cell r="A113" t="str">
            <v>San Francisco</v>
          </cell>
          <cell r="B113">
            <v>15.972807869851753</v>
          </cell>
          <cell r="C113">
            <v>5.1891072486727881</v>
          </cell>
          <cell r="D113">
            <v>115</v>
          </cell>
          <cell r="E113">
            <v>5.4586997642022625</v>
          </cell>
          <cell r="F113">
            <v>111</v>
          </cell>
          <cell r="G113">
            <v>0.4823783568675708</v>
          </cell>
        </row>
        <row r="114">
          <cell r="A114" t="str">
            <v>Maryland</v>
          </cell>
          <cell r="B114">
            <v>19.085855817119466</v>
          </cell>
          <cell r="C114">
            <v>5.1194159816522058</v>
          </cell>
          <cell r="D114">
            <v>117</v>
          </cell>
          <cell r="E114">
            <v>5.4685769775388877</v>
          </cell>
          <cell r="F114">
            <v>110</v>
          </cell>
          <cell r="G114">
            <v>0.48342679572554526</v>
          </cell>
        </row>
        <row r="115">
          <cell r="A115" t="str">
            <v>New Mexico State</v>
          </cell>
          <cell r="B115">
            <v>5.4820861231191262</v>
          </cell>
          <cell r="C115">
            <v>5.3881076741442673</v>
          </cell>
          <cell r="D115">
            <v>111</v>
          </cell>
          <cell r="E115">
            <v>5.3904571353686386</v>
          </cell>
          <cell r="F115">
            <v>112</v>
          </cell>
          <cell r="G115">
            <v>0.47513459069577074</v>
          </cell>
        </row>
        <row r="116">
          <cell r="A116" t="str">
            <v>UC Irvine</v>
          </cell>
          <cell r="B116">
            <v>9.7110414694150613</v>
          </cell>
          <cell r="C116">
            <v>5.1736012591313996</v>
          </cell>
          <cell r="D116">
            <v>116</v>
          </cell>
          <cell r="E116">
            <v>5.2870372643884913</v>
          </cell>
          <cell r="F116">
            <v>115</v>
          </cell>
          <cell r="G116">
            <v>0.46415685763211117</v>
          </cell>
        </row>
        <row r="117">
          <cell r="A117" t="str">
            <v>Bowling Green</v>
          </cell>
          <cell r="B117">
            <v>5.4136655374198615</v>
          </cell>
          <cell r="C117">
            <v>5.2682798929633927</v>
          </cell>
          <cell r="D117">
            <v>113</v>
          </cell>
          <cell r="E117">
            <v>5.2719145340748046</v>
          </cell>
          <cell r="F117">
            <v>117</v>
          </cell>
          <cell r="G117">
            <v>0.46255162166532843</v>
          </cell>
        </row>
        <row r="118">
          <cell r="A118" t="str">
            <v>UIC</v>
          </cell>
          <cell r="B118">
            <v>8.1779835340698366</v>
          </cell>
          <cell r="C118">
            <v>5.2368576560860589</v>
          </cell>
          <cell r="D118">
            <v>114</v>
          </cell>
          <cell r="E118">
            <v>5.3103858030356532</v>
          </cell>
          <cell r="F118">
            <v>114</v>
          </cell>
          <cell r="G118">
            <v>0.46663524038646875</v>
          </cell>
        </row>
        <row r="119">
          <cell r="A119" t="str">
            <v>Duquesne</v>
          </cell>
          <cell r="B119">
            <v>12.10720888603219</v>
          </cell>
          <cell r="C119">
            <v>5.0800610838773625</v>
          </cell>
          <cell r="D119">
            <v>118</v>
          </cell>
          <cell r="E119">
            <v>5.2557397789312335</v>
          </cell>
          <cell r="F119">
            <v>118</v>
          </cell>
          <cell r="G119">
            <v>0.46083471617460059</v>
          </cell>
        </row>
        <row r="120">
          <cell r="A120" t="str">
            <v>Memphis</v>
          </cell>
          <cell r="B120">
            <v>15.968957252141987</v>
          </cell>
          <cell r="C120">
            <v>5.0112667492086747</v>
          </cell>
          <cell r="D120">
            <v>119</v>
          </cell>
          <cell r="E120">
            <v>5.2852090117820074</v>
          </cell>
          <cell r="F120">
            <v>116</v>
          </cell>
          <cell r="G120">
            <v>0.46396279367808851</v>
          </cell>
        </row>
        <row r="121">
          <cell r="A121" t="str">
            <v>Pittsburgh</v>
          </cell>
          <cell r="B121">
            <v>15.627088080075735</v>
          </cell>
          <cell r="C121">
            <v>4.8903298487539946</v>
          </cell>
          <cell r="D121">
            <v>121</v>
          </cell>
          <cell r="E121">
            <v>5.158748804537038</v>
          </cell>
          <cell r="F121">
            <v>119</v>
          </cell>
          <cell r="G121">
            <v>0.45053939268992804</v>
          </cell>
        </row>
        <row r="122">
          <cell r="A122" t="str">
            <v>Winthrop</v>
          </cell>
          <cell r="B122">
            <v>9.6122619299645855</v>
          </cell>
          <cell r="C122">
            <v>4.8924881461476044</v>
          </cell>
          <cell r="D122">
            <v>120</v>
          </cell>
          <cell r="E122">
            <v>5.010482490743029</v>
          </cell>
          <cell r="F122">
            <v>120</v>
          </cell>
          <cell r="G122">
            <v>0.4348013338455512</v>
          </cell>
        </row>
        <row r="123">
          <cell r="A123" t="str">
            <v>George Mason</v>
          </cell>
          <cell r="B123">
            <v>12.882788610671113</v>
          </cell>
          <cell r="C123">
            <v>4.7334985099582738</v>
          </cell>
          <cell r="D123">
            <v>122</v>
          </cell>
          <cell r="E123">
            <v>4.9372307624760952</v>
          </cell>
          <cell r="F123">
            <v>121</v>
          </cell>
          <cell r="G123">
            <v>0.42702586563286615</v>
          </cell>
        </row>
        <row r="124">
          <cell r="A124" t="str">
            <v>Georgetown</v>
          </cell>
          <cell r="B124">
            <v>13.480335110241374</v>
          </cell>
          <cell r="C124">
            <v>4.6766070235606199</v>
          </cell>
          <cell r="D124">
            <v>123</v>
          </cell>
          <cell r="E124">
            <v>4.8967002257276384</v>
          </cell>
          <cell r="F124">
            <v>122</v>
          </cell>
          <cell r="G124">
            <v>0.42272366133562028</v>
          </cell>
        </row>
        <row r="125">
          <cell r="A125" t="str">
            <v>Southern Illinois</v>
          </cell>
          <cell r="B125">
            <v>4.9268342073308489</v>
          </cell>
          <cell r="C125">
            <v>4.6515187460115719</v>
          </cell>
          <cell r="D125">
            <v>124</v>
          </cell>
          <cell r="E125">
            <v>4.6584016325445541</v>
          </cell>
          <cell r="F125">
            <v>123</v>
          </cell>
          <cell r="G125">
            <v>0.39742892522140033</v>
          </cell>
        </row>
        <row r="126">
          <cell r="A126" t="str">
            <v>Jacksonville State</v>
          </cell>
          <cell r="B126">
            <v>5.2401185217502464</v>
          </cell>
          <cell r="C126">
            <v>4.6159072931717793</v>
          </cell>
          <cell r="D126">
            <v>125</v>
          </cell>
          <cell r="E126">
            <v>4.6315125738862415</v>
          </cell>
          <cell r="F126">
            <v>124</v>
          </cell>
          <cell r="G126">
            <v>0.39457472606715172</v>
          </cell>
        </row>
        <row r="127">
          <cell r="A127" t="str">
            <v>DePaul</v>
          </cell>
          <cell r="B127">
            <v>13.592775810899269</v>
          </cell>
          <cell r="C127">
            <v>4.3988426895171093</v>
          </cell>
          <cell r="D127">
            <v>129</v>
          </cell>
          <cell r="E127">
            <v>4.6286910175516631</v>
          </cell>
          <cell r="F127">
            <v>125</v>
          </cell>
          <cell r="G127">
            <v>0.39427522567161333</v>
          </cell>
        </row>
        <row r="128">
          <cell r="A128" t="str">
            <v>Florida Atlantic</v>
          </cell>
          <cell r="B128">
            <v>9.6848517837220296</v>
          </cell>
          <cell r="C128">
            <v>4.4727914936224407</v>
          </cell>
          <cell r="D128">
            <v>128</v>
          </cell>
          <cell r="E128">
            <v>4.6030930008749307</v>
          </cell>
          <cell r="F128">
            <v>126</v>
          </cell>
          <cell r="G128">
            <v>0.39155806705042134</v>
          </cell>
        </row>
        <row r="129">
          <cell r="A129" t="str">
            <v>California Baptist</v>
          </cell>
          <cell r="B129">
            <v>8.4002017292656532</v>
          </cell>
          <cell r="C129">
            <v>4.504237618056484</v>
          </cell>
          <cell r="D129">
            <v>127</v>
          </cell>
          <cell r="E129">
            <v>4.601636720836713</v>
          </cell>
          <cell r="F129">
            <v>127</v>
          </cell>
          <cell r="G129">
            <v>0.39140348695499111</v>
          </cell>
        </row>
        <row r="130">
          <cell r="A130" t="str">
            <v>Kent State</v>
          </cell>
          <cell r="B130">
            <v>8.6774133528160959</v>
          </cell>
          <cell r="C130">
            <v>4.3771976039731655</v>
          </cell>
          <cell r="D130">
            <v>130</v>
          </cell>
          <cell r="E130">
            <v>4.4847029976942387</v>
          </cell>
          <cell r="F130">
            <v>128</v>
          </cell>
          <cell r="G130">
            <v>0.37899129588733482</v>
          </cell>
        </row>
        <row r="131">
          <cell r="A131" t="str">
            <v>Stephen F. Austin</v>
          </cell>
          <cell r="B131">
            <v>4.4708840344629214E-2</v>
          </cell>
          <cell r="C131">
            <v>4.5355998431107256</v>
          </cell>
          <cell r="D131">
            <v>126</v>
          </cell>
          <cell r="E131">
            <v>4.4233275680415725</v>
          </cell>
          <cell r="F131">
            <v>129</v>
          </cell>
          <cell r="G131">
            <v>0.37247646390186734</v>
          </cell>
        </row>
        <row r="132">
          <cell r="A132" t="str">
            <v>Pacific</v>
          </cell>
          <cell r="B132">
            <v>3.5350309061542493</v>
          </cell>
          <cell r="C132">
            <v>4.2699046023056821</v>
          </cell>
          <cell r="D132">
            <v>131</v>
          </cell>
          <cell r="E132">
            <v>4.2515327599018962</v>
          </cell>
          <cell r="F132">
            <v>130</v>
          </cell>
          <cell r="G132">
            <v>0.3542409205038099</v>
          </cell>
        </row>
        <row r="133">
          <cell r="A133" t="str">
            <v>Toledo</v>
          </cell>
          <cell r="B133">
            <v>7.0650703430890545</v>
          </cell>
          <cell r="C133">
            <v>4.0617168324116921</v>
          </cell>
          <cell r="D133">
            <v>133</v>
          </cell>
          <cell r="E133">
            <v>4.1368006701786264</v>
          </cell>
          <cell r="F133">
            <v>131</v>
          </cell>
          <cell r="G133">
            <v>0.34206242673001991</v>
          </cell>
        </row>
        <row r="134">
          <cell r="A134" t="str">
            <v>Florida International</v>
          </cell>
          <cell r="B134">
            <v>2.7413022335596025</v>
          </cell>
          <cell r="C134">
            <v>4.105824842897646</v>
          </cell>
          <cell r="D134">
            <v>132</v>
          </cell>
          <cell r="E134">
            <v>4.0717117776641949</v>
          </cell>
          <cell r="F134">
            <v>132</v>
          </cell>
          <cell r="G134">
            <v>0.33515342093973205</v>
          </cell>
        </row>
        <row r="135">
          <cell r="A135" t="str">
            <v>Wyoming</v>
          </cell>
          <cell r="B135">
            <v>9.2936311138903847</v>
          </cell>
          <cell r="C135">
            <v>9.0600477463244093</v>
          </cell>
          <cell r="D135">
            <v>73</v>
          </cell>
          <cell r="E135">
            <v>4.0658873305135579</v>
          </cell>
          <cell r="F135">
            <v>133</v>
          </cell>
          <cell r="G135">
            <v>0.33453517199533567</v>
          </cell>
        </row>
        <row r="136">
          <cell r="A136" t="str">
            <v>Fresno State</v>
          </cell>
          <cell r="B136">
            <v>4.3610610087658825</v>
          </cell>
          <cell r="C136">
            <v>3.960532159229305</v>
          </cell>
          <cell r="D136">
            <v>134</v>
          </cell>
          <cell r="E136">
            <v>3.9705453804677195</v>
          </cell>
          <cell r="F136">
            <v>134</v>
          </cell>
          <cell r="G136">
            <v>0.32441488788114553</v>
          </cell>
        </row>
        <row r="137">
          <cell r="A137" t="str">
            <v>North Dakota State</v>
          </cell>
          <cell r="B137">
            <v>6.6499404773091211</v>
          </cell>
          <cell r="C137">
            <v>3.7807115091167915</v>
          </cell>
          <cell r="D137">
            <v>137</v>
          </cell>
          <cell r="E137">
            <v>3.8524422333215997</v>
          </cell>
          <cell r="F137">
            <v>136</v>
          </cell>
          <cell r="G137">
            <v>0.31187856569218164</v>
          </cell>
        </row>
        <row r="138">
          <cell r="A138" t="str">
            <v>Portland State</v>
          </cell>
          <cell r="B138">
            <v>4.0411677395733916</v>
          </cell>
          <cell r="C138">
            <v>3.8649934825336745</v>
          </cell>
          <cell r="D138">
            <v>135</v>
          </cell>
          <cell r="E138">
            <v>3.8693978389596673</v>
          </cell>
          <cell r="F138">
            <v>135</v>
          </cell>
          <cell r="G138">
            <v>0.31367835630169721</v>
          </cell>
        </row>
        <row r="139">
          <cell r="A139" t="str">
            <v>St. Thomas - Minnesota</v>
          </cell>
          <cell r="B139">
            <v>9.9550098974439436</v>
          </cell>
          <cell r="C139">
            <v>3.6474048371228869</v>
          </cell>
          <cell r="D139">
            <v>139</v>
          </cell>
          <cell r="E139">
            <v>3.8050949636309133</v>
          </cell>
          <cell r="F139">
            <v>138</v>
          </cell>
          <cell r="G139">
            <v>0.30685278406016597</v>
          </cell>
        </row>
        <row r="140">
          <cell r="A140" t="str">
            <v>Northern Colorado</v>
          </cell>
          <cell r="B140">
            <v>5.2861079713044568</v>
          </cell>
          <cell r="C140">
            <v>3.7961057805429648</v>
          </cell>
          <cell r="D140">
            <v>136</v>
          </cell>
          <cell r="E140">
            <v>3.8333558353120019</v>
          </cell>
          <cell r="F140">
            <v>137</v>
          </cell>
          <cell r="G140">
            <v>0.30985259736993964</v>
          </cell>
        </row>
        <row r="141">
          <cell r="A141" t="str">
            <v>Cornell</v>
          </cell>
          <cell r="B141">
            <v>12.240510571584281</v>
          </cell>
          <cell r="C141">
            <v>3.565598182770477</v>
          </cell>
          <cell r="D141">
            <v>141</v>
          </cell>
          <cell r="E141">
            <v>3.782470992490822</v>
          </cell>
          <cell r="F141">
            <v>139</v>
          </cell>
          <cell r="G141">
            <v>0.30445131214125848</v>
          </cell>
        </row>
        <row r="142">
          <cell r="A142" t="str">
            <v>Missouri State</v>
          </cell>
          <cell r="B142">
            <v>5.8362417833099247</v>
          </cell>
          <cell r="C142">
            <v>3.7135963061771307</v>
          </cell>
          <cell r="D142">
            <v>138</v>
          </cell>
          <cell r="E142">
            <v>3.7666624431054507</v>
          </cell>
          <cell r="F142">
            <v>140</v>
          </cell>
          <cell r="G142">
            <v>0.30277327837819568</v>
          </cell>
        </row>
        <row r="143">
          <cell r="A143" t="str">
            <v>Rutgers</v>
          </cell>
          <cell r="B143">
            <v>12.398819364854372</v>
          </cell>
          <cell r="C143">
            <v>3.4639675054024321</v>
          </cell>
          <cell r="D143">
            <v>143</v>
          </cell>
          <cell r="E143">
            <v>3.687338801888731</v>
          </cell>
          <cell r="F143">
            <v>142</v>
          </cell>
          <cell r="G143">
            <v>0.29435329341145933</v>
          </cell>
        </row>
        <row r="144">
          <cell r="A144" t="str">
            <v>Idaho</v>
          </cell>
          <cell r="B144">
            <v>6.7522602313339091</v>
          </cell>
          <cell r="C144">
            <v>3.6378263174062995</v>
          </cell>
          <cell r="D144">
            <v>140</v>
          </cell>
          <cell r="E144">
            <v>3.7156871652544901</v>
          </cell>
          <cell r="F144">
            <v>141</v>
          </cell>
          <cell r="G144">
            <v>0.29736239372140527</v>
          </cell>
        </row>
        <row r="145">
          <cell r="A145" t="str">
            <v>St. Bonaventure</v>
          </cell>
          <cell r="B145">
            <v>10.149747374958512</v>
          </cell>
          <cell r="C145">
            <v>3.4922640540863794</v>
          </cell>
          <cell r="D145">
            <v>142</v>
          </cell>
          <cell r="E145">
            <v>3.6587011371081828</v>
          </cell>
          <cell r="F145">
            <v>143</v>
          </cell>
          <cell r="G145">
            <v>0.29131348455704903</v>
          </cell>
        </row>
        <row r="146">
          <cell r="A146" t="str">
            <v>North Texas</v>
          </cell>
          <cell r="B146">
            <v>11.526309182378027</v>
          </cell>
          <cell r="C146">
            <v>3.3011268422612297</v>
          </cell>
          <cell r="D146">
            <v>145</v>
          </cell>
          <cell r="E146">
            <v>3.5067564007641501</v>
          </cell>
          <cell r="F146">
            <v>144</v>
          </cell>
          <cell r="G146">
            <v>0.27518497133996023</v>
          </cell>
        </row>
        <row r="147">
          <cell r="A147" t="str">
            <v>Penn State</v>
          </cell>
          <cell r="B147">
            <v>13.199945506304053</v>
          </cell>
          <cell r="C147">
            <v>3.1036943277149254</v>
          </cell>
          <cell r="D147">
            <v>148</v>
          </cell>
          <cell r="E147">
            <v>3.3561006071796537</v>
          </cell>
          <cell r="F147">
            <v>146</v>
          </cell>
          <cell r="G147">
            <v>0.25919327582931828</v>
          </cell>
        </row>
        <row r="148">
          <cell r="A148" t="str">
            <v>UT Arlington</v>
          </cell>
          <cell r="B148">
            <v>6.1401425942335406</v>
          </cell>
          <cell r="C148">
            <v>3.3288133884106612</v>
          </cell>
          <cell r="D148">
            <v>144</v>
          </cell>
          <cell r="E148">
            <v>3.3990966185562335</v>
          </cell>
          <cell r="F148">
            <v>145</v>
          </cell>
          <cell r="G148">
            <v>0.26375718343450921</v>
          </cell>
        </row>
        <row r="149">
          <cell r="A149" t="str">
            <v>Richmond</v>
          </cell>
          <cell r="B149">
            <v>4.7143576609582825</v>
          </cell>
          <cell r="C149">
            <v>3.2281140514774167</v>
          </cell>
          <cell r="D149">
            <v>147</v>
          </cell>
          <cell r="E149">
            <v>3.2652701417144381</v>
          </cell>
          <cell r="F149">
            <v>147</v>
          </cell>
          <cell r="G149">
            <v>0.24955187331667644</v>
          </cell>
        </row>
        <row r="150">
          <cell r="A150" t="str">
            <v>Tarleton</v>
          </cell>
          <cell r="B150">
            <v>1.756369952207554</v>
          </cell>
          <cell r="C150">
            <v>3.2908124923761735</v>
          </cell>
          <cell r="D150">
            <v>146</v>
          </cell>
          <cell r="E150">
            <v>3.2524514288719582</v>
          </cell>
          <cell r="F150">
            <v>148</v>
          </cell>
          <cell r="G150">
            <v>0.248191202427506</v>
          </cell>
        </row>
        <row r="151">
          <cell r="A151" t="str">
            <v>UNC Wilmington</v>
          </cell>
          <cell r="B151">
            <v>11.452044273918382</v>
          </cell>
          <cell r="C151">
            <v>2.8261923513671543</v>
          </cell>
          <cell r="D151">
            <v>150</v>
          </cell>
          <cell r="E151">
            <v>3.0418386494309351</v>
          </cell>
          <cell r="F151">
            <v>150</v>
          </cell>
          <cell r="G151">
            <v>0.22583523881445158</v>
          </cell>
        </row>
        <row r="152">
          <cell r="A152" t="str">
            <v>Loyola Marymount</v>
          </cell>
          <cell r="B152">
            <v>7.9556497051635517</v>
          </cell>
          <cell r="C152">
            <v>3.0041105636449119</v>
          </cell>
          <cell r="D152">
            <v>149</v>
          </cell>
          <cell r="E152">
            <v>3.1278990421828778</v>
          </cell>
          <cell r="F152">
            <v>149</v>
          </cell>
          <cell r="G152">
            <v>0.23497031131097293</v>
          </cell>
        </row>
        <row r="153">
          <cell r="A153" t="str">
            <v>UC Santa Barbara</v>
          </cell>
          <cell r="B153">
            <v>10.200974139185588</v>
          </cell>
          <cell r="C153">
            <v>2.7807958399844548</v>
          </cell>
          <cell r="D153">
            <v>151</v>
          </cell>
          <cell r="E153">
            <v>2.9663002974644832</v>
          </cell>
          <cell r="F153">
            <v>151</v>
          </cell>
          <cell r="G153">
            <v>0.21781705182487729</v>
          </cell>
        </row>
        <row r="154">
          <cell r="A154" t="str">
            <v>East Tennessee State</v>
          </cell>
          <cell r="B154">
            <v>10.948431749931771</v>
          </cell>
          <cell r="C154">
            <v>2.6685556923288809</v>
          </cell>
          <cell r="D154">
            <v>155</v>
          </cell>
          <cell r="E154">
            <v>2.8755525937689534</v>
          </cell>
          <cell r="F154">
            <v>152</v>
          </cell>
          <cell r="G154">
            <v>0.20818443424502331</v>
          </cell>
        </row>
        <row r="155">
          <cell r="A155" t="str">
            <v>William &amp; Mary</v>
          </cell>
          <cell r="B155">
            <v>8.8460788154082941</v>
          </cell>
          <cell r="C155">
            <v>2.6905361320032934</v>
          </cell>
          <cell r="D155">
            <v>153</v>
          </cell>
          <cell r="E155">
            <v>2.8444246990884188</v>
          </cell>
          <cell r="F155">
            <v>153</v>
          </cell>
          <cell r="G155">
            <v>0.20488029437907612</v>
          </cell>
        </row>
        <row r="156">
          <cell r="A156" t="str">
            <v>Texas A&amp;M-CC</v>
          </cell>
          <cell r="B156">
            <v>5.2676380276133958</v>
          </cell>
          <cell r="C156">
            <v>2.7006652926091168</v>
          </cell>
          <cell r="D156">
            <v>152</v>
          </cell>
          <cell r="E156">
            <v>2.7648396109842239</v>
          </cell>
          <cell r="F156">
            <v>154</v>
          </cell>
          <cell r="G156">
            <v>0.19643255754885527</v>
          </cell>
        </row>
        <row r="157">
          <cell r="A157" t="str">
            <v>Wright State</v>
          </cell>
          <cell r="B157">
            <v>8.2226290065142429</v>
          </cell>
          <cell r="C157">
            <v>2.525208828962306</v>
          </cell>
          <cell r="D157">
            <v>158</v>
          </cell>
          <cell r="E157">
            <v>2.6676443334011046</v>
          </cell>
          <cell r="F157">
            <v>155</v>
          </cell>
          <cell r="G157">
            <v>0.18611554784613968</v>
          </cell>
        </row>
        <row r="158">
          <cell r="A158" t="str">
            <v>Weber State</v>
          </cell>
          <cell r="B158">
            <v>1.9611137486645602</v>
          </cell>
          <cell r="C158">
            <v>2.6839371768917069</v>
          </cell>
          <cell r="D158">
            <v>154</v>
          </cell>
          <cell r="E158">
            <v>2.665866591186028</v>
          </cell>
          <cell r="F158">
            <v>156</v>
          </cell>
          <cell r="G158">
            <v>0.1859268454303645</v>
          </cell>
        </row>
        <row r="159">
          <cell r="A159" t="str">
            <v>Louisiana Tech</v>
          </cell>
          <cell r="B159">
            <v>5.8923615444656878</v>
          </cell>
          <cell r="C159">
            <v>2.5610518553405703</v>
          </cell>
          <cell r="D159">
            <v>156</v>
          </cell>
          <cell r="E159">
            <v>2.6443345975686983</v>
          </cell>
          <cell r="F159">
            <v>157</v>
          </cell>
          <cell r="G159">
            <v>0.18364128390317169</v>
          </cell>
        </row>
        <row r="160">
          <cell r="A160" t="str">
            <v>UC San Diego</v>
          </cell>
          <cell r="B160">
            <v>13.658747039986601</v>
          </cell>
          <cell r="C160">
            <v>2.3400187219447899</v>
          </cell>
          <cell r="D160">
            <v>160</v>
          </cell>
          <cell r="E160">
            <v>2.6229869298958355</v>
          </cell>
          <cell r="F160">
            <v>159</v>
          </cell>
          <cell r="G160">
            <v>0.18137528806481498</v>
          </cell>
        </row>
        <row r="161">
          <cell r="A161" t="str">
            <v>Abilene Christian</v>
          </cell>
          <cell r="B161">
            <v>4.6587729498792365</v>
          </cell>
          <cell r="C161">
            <v>2.5583392076273084</v>
          </cell>
          <cell r="D161">
            <v>157</v>
          </cell>
          <cell r="E161">
            <v>2.6108500511836068</v>
          </cell>
          <cell r="F161">
            <v>160</v>
          </cell>
          <cell r="G161">
            <v>0.18008699198142078</v>
          </cell>
        </row>
        <row r="162">
          <cell r="A162" t="str">
            <v>Montana</v>
          </cell>
          <cell r="B162">
            <v>7.2388141003298552</v>
          </cell>
          <cell r="C162">
            <v>2.510844540782732</v>
          </cell>
          <cell r="D162">
            <v>159</v>
          </cell>
          <cell r="E162">
            <v>2.6290437797714099</v>
          </cell>
          <cell r="F162">
            <v>158</v>
          </cell>
          <cell r="G162">
            <v>0.18201820591522963</v>
          </cell>
        </row>
        <row r="163">
          <cell r="A163" t="str">
            <v>Rhode Island</v>
          </cell>
          <cell r="B163">
            <v>10.26520529831047</v>
          </cell>
          <cell r="C163">
            <v>2.2855935484079417</v>
          </cell>
          <cell r="D163">
            <v>162</v>
          </cell>
          <cell r="E163">
            <v>2.4850838421555053</v>
          </cell>
          <cell r="F163">
            <v>161</v>
          </cell>
          <cell r="G163">
            <v>0.16673725698316366</v>
          </cell>
        </row>
        <row r="164">
          <cell r="A164" t="str">
            <v>Hawaii</v>
          </cell>
          <cell r="B164">
            <v>6.6079361622356876</v>
          </cell>
          <cell r="C164">
            <v>2.3131561718122411</v>
          </cell>
          <cell r="D164">
            <v>161</v>
          </cell>
          <cell r="E164">
            <v>2.4205256715728276</v>
          </cell>
          <cell r="F164">
            <v>162</v>
          </cell>
          <cell r="G164">
            <v>0.15988458585702311</v>
          </cell>
        </row>
        <row r="165">
          <cell r="A165" t="str">
            <v>Utah Tech</v>
          </cell>
          <cell r="B165">
            <v>2.6815136307772209</v>
          </cell>
          <cell r="C165">
            <v>1.9687590473910841</v>
          </cell>
          <cell r="D165">
            <v>164</v>
          </cell>
          <cell r="E165">
            <v>1.9865779119757374</v>
          </cell>
          <cell r="F165">
            <v>164</v>
          </cell>
          <cell r="G165">
            <v>0.11382223223694925</v>
          </cell>
        </row>
        <row r="166">
          <cell r="A166" t="str">
            <v>San Diego</v>
          </cell>
          <cell r="B166">
            <v>3.3518950872348374</v>
          </cell>
          <cell r="C166">
            <v>1.9847630750177245</v>
          </cell>
          <cell r="D166">
            <v>163</v>
          </cell>
          <cell r="E166">
            <v>2.0189413753231524</v>
          </cell>
          <cell r="F166">
            <v>163</v>
          </cell>
          <cell r="G166">
            <v>0.11725752429713417</v>
          </cell>
        </row>
        <row r="167">
          <cell r="A167" t="str">
            <v>UMass</v>
          </cell>
          <cell r="B167">
            <v>3.4899893142971776</v>
          </cell>
          <cell r="C167">
            <v>1.9262390854489275</v>
          </cell>
          <cell r="D167">
            <v>165</v>
          </cell>
          <cell r="E167">
            <v>1.9653328411701338</v>
          </cell>
          <cell r="F167">
            <v>165</v>
          </cell>
          <cell r="G167">
            <v>0.11156712677208909</v>
          </cell>
        </row>
        <row r="168">
          <cell r="A168" t="str">
            <v>Oregon State</v>
          </cell>
          <cell r="B168">
            <v>14.211715497060888</v>
          </cell>
          <cell r="C168">
            <v>1.5189283664489674</v>
          </cell>
          <cell r="D168">
            <v>171</v>
          </cell>
          <cell r="E168">
            <v>1.8362480447142659</v>
          </cell>
          <cell r="F168">
            <v>166</v>
          </cell>
          <cell r="G168">
            <v>9.7865132903412075E-2</v>
          </cell>
        </row>
        <row r="169">
          <cell r="A169" t="str">
            <v>Drake</v>
          </cell>
          <cell r="B169">
            <v>11.638031355552167</v>
          </cell>
          <cell r="C169">
            <v>1.5721172497223641</v>
          </cell>
          <cell r="D169">
            <v>169</v>
          </cell>
          <cell r="E169">
            <v>1.8237651023681094</v>
          </cell>
          <cell r="F169">
            <v>167</v>
          </cell>
          <cell r="G169">
            <v>9.6540103123095841E-2</v>
          </cell>
        </row>
        <row r="170">
          <cell r="A170" t="str">
            <v>Mercer</v>
          </cell>
          <cell r="B170">
            <v>4.2261109018042715</v>
          </cell>
          <cell r="C170">
            <v>1.7523254754054463</v>
          </cell>
          <cell r="D170">
            <v>167</v>
          </cell>
          <cell r="E170">
            <v>1.8141701110654169</v>
          </cell>
          <cell r="F170">
            <v>168</v>
          </cell>
          <cell r="G170">
            <v>9.5521621352901862E-2</v>
          </cell>
        </row>
        <row r="171">
          <cell r="A171" t="str">
            <v>Eastern Washington</v>
          </cell>
          <cell r="B171">
            <v>4.5611014700271113</v>
          </cell>
          <cell r="C171">
            <v>1.6577644006267476</v>
          </cell>
          <cell r="D171">
            <v>168</v>
          </cell>
          <cell r="E171">
            <v>1.7303478273617565</v>
          </cell>
          <cell r="F171">
            <v>169</v>
          </cell>
          <cell r="G171">
            <v>8.6624117937317793E-2</v>
          </cell>
        </row>
        <row r="172">
          <cell r="A172" t="str">
            <v>UAB</v>
          </cell>
          <cell r="B172">
            <v>11.893851724735462</v>
          </cell>
          <cell r="C172">
            <v>1.3793024641645752</v>
          </cell>
          <cell r="D172">
            <v>174</v>
          </cell>
          <cell r="E172">
            <v>1.6421661956788476</v>
          </cell>
          <cell r="F172">
            <v>170</v>
          </cell>
          <cell r="G172">
            <v>7.726388179934443E-2</v>
          </cell>
        </row>
        <row r="173">
          <cell r="A173" t="str">
            <v>CSU Fullerton</v>
          </cell>
          <cell r="B173">
            <v>-7.2289295991476736</v>
          </cell>
          <cell r="C173">
            <v>1.8654344823750768</v>
          </cell>
          <cell r="D173">
            <v>166</v>
          </cell>
          <cell r="E173">
            <v>1.6380753803370078</v>
          </cell>
          <cell r="F173">
            <v>171</v>
          </cell>
          <cell r="G173">
            <v>7.6829653073183471E-2</v>
          </cell>
        </row>
        <row r="174">
          <cell r="A174" t="str">
            <v>UTEP</v>
          </cell>
          <cell r="B174">
            <v>3.2977056297508884</v>
          </cell>
          <cell r="C174">
            <v>1.5711717345327172</v>
          </cell>
          <cell r="D174">
            <v>170</v>
          </cell>
          <cell r="E174">
            <v>1.6143350819131714</v>
          </cell>
          <cell r="F174">
            <v>172</v>
          </cell>
          <cell r="G174">
            <v>7.4309686102827052E-2</v>
          </cell>
        </row>
        <row r="175">
          <cell r="A175" t="str">
            <v>Columbia</v>
          </cell>
          <cell r="B175">
            <v>6.0613304816433882</v>
          </cell>
          <cell r="C175">
            <v>1.4000776557741355</v>
          </cell>
          <cell r="D175">
            <v>173</v>
          </cell>
          <cell r="E175">
            <v>1.5166089764208668</v>
          </cell>
          <cell r="F175">
            <v>173</v>
          </cell>
          <cell r="G175">
            <v>6.3936330486753096E-2</v>
          </cell>
        </row>
        <row r="176">
          <cell r="A176" t="str">
            <v>Temple</v>
          </cell>
          <cell r="B176">
            <v>7.8504390694144872</v>
          </cell>
          <cell r="C176">
            <v>1.2592394543015164</v>
          </cell>
          <cell r="D176">
            <v>175</v>
          </cell>
          <cell r="E176">
            <v>1.4240194446793408</v>
          </cell>
          <cell r="F176">
            <v>175</v>
          </cell>
          <cell r="G176">
            <v>5.4108207957545729E-2</v>
          </cell>
        </row>
        <row r="177">
          <cell r="A177" t="str">
            <v>Northern Kentucky</v>
          </cell>
          <cell r="B177">
            <v>1.5128202582854133</v>
          </cell>
          <cell r="C177">
            <v>1.4849788201707461</v>
          </cell>
          <cell r="D177">
            <v>172</v>
          </cell>
          <cell r="E177">
            <v>1.4856748561236128</v>
          </cell>
          <cell r="F177">
            <v>174</v>
          </cell>
          <cell r="G177">
            <v>6.0652759235271123E-2</v>
          </cell>
        </row>
        <row r="178">
          <cell r="A178" t="str">
            <v>San Jose State</v>
          </cell>
          <cell r="B178">
            <v>6.9683420651099723</v>
          </cell>
          <cell r="C178">
            <v>1.0826089715943792</v>
          </cell>
          <cell r="D178">
            <v>177</v>
          </cell>
          <cell r="E178">
            <v>1.2297522989322691</v>
          </cell>
          <cell r="F178">
            <v>176</v>
          </cell>
          <cell r="G178">
            <v>3.3487288120392006E-2</v>
          </cell>
        </row>
        <row r="179">
          <cell r="A179" t="str">
            <v>Tennessee State</v>
          </cell>
          <cell r="B179">
            <v>4.6695105181924941</v>
          </cell>
          <cell r="C179">
            <v>1.0640275488301119</v>
          </cell>
          <cell r="D179">
            <v>178</v>
          </cell>
          <cell r="E179">
            <v>1.1541646230641716</v>
          </cell>
          <cell r="F179">
            <v>178</v>
          </cell>
          <cell r="G179">
            <v>2.5463865535174483E-2</v>
          </cell>
        </row>
        <row r="180">
          <cell r="A180" t="str">
            <v>Campbell</v>
          </cell>
          <cell r="B180">
            <v>7.7316653144052143</v>
          </cell>
          <cell r="C180">
            <v>0.898154364410088</v>
          </cell>
          <cell r="D180">
            <v>180</v>
          </cell>
          <cell r="E180">
            <v>1.0689921381599663</v>
          </cell>
          <cell r="F180">
            <v>179</v>
          </cell>
          <cell r="G180">
            <v>1.642304199917894E-2</v>
          </cell>
        </row>
        <row r="181">
          <cell r="A181" t="str">
            <v>Portland</v>
          </cell>
          <cell r="B181">
            <v>3.6753800784627519</v>
          </cell>
          <cell r="C181">
            <v>1.0904725778057962</v>
          </cell>
          <cell r="D181">
            <v>176</v>
          </cell>
          <cell r="E181">
            <v>1.1550952653222202</v>
          </cell>
          <cell r="F181">
            <v>177</v>
          </cell>
          <cell r="G181">
            <v>2.5562650635076418E-2</v>
          </cell>
        </row>
        <row r="182">
          <cell r="A182" t="str">
            <v>Troy</v>
          </cell>
          <cell r="B182">
            <v>8.6787585448606048</v>
          </cell>
          <cell r="C182">
            <v>0.82920551282194377</v>
          </cell>
          <cell r="D182">
            <v>182</v>
          </cell>
          <cell r="E182">
            <v>1.0254443386229104</v>
          </cell>
          <cell r="F182">
            <v>180</v>
          </cell>
          <cell r="G182">
            <v>1.1800563607967976E-2</v>
          </cell>
        </row>
        <row r="183">
          <cell r="A183" t="str">
            <v>Idaho State</v>
          </cell>
          <cell r="B183">
            <v>5.3521542826006785</v>
          </cell>
          <cell r="C183">
            <v>0.90170294865728873</v>
          </cell>
          <cell r="D183">
            <v>179</v>
          </cell>
          <cell r="E183">
            <v>1.0129642320058736</v>
          </cell>
          <cell r="F183">
            <v>181</v>
          </cell>
          <cell r="G183">
            <v>1.0475834832449191E-2</v>
          </cell>
        </row>
        <row r="184">
          <cell r="A184" t="str">
            <v>Oakland</v>
          </cell>
          <cell r="B184">
            <v>6.4695957108994113</v>
          </cell>
          <cell r="C184">
            <v>0.77095432200975211</v>
          </cell>
          <cell r="D184">
            <v>183</v>
          </cell>
          <cell r="E184">
            <v>0.91342035673199373</v>
          </cell>
          <cell r="F184">
            <v>183</v>
          </cell>
          <cell r="G184">
            <v>-9.0472014797246921E-5</v>
          </cell>
        </row>
        <row r="185">
          <cell r="A185" t="str">
            <v>Robert Morris</v>
          </cell>
          <cell r="B185">
            <v>9.3468193830940063</v>
          </cell>
          <cell r="C185">
            <v>0.64171459330383651</v>
          </cell>
          <cell r="D185">
            <v>185</v>
          </cell>
          <cell r="E185">
            <v>0.85934221304859093</v>
          </cell>
          <cell r="F185">
            <v>184</v>
          </cell>
          <cell r="G185">
            <v>-5.8307172917284305E-3</v>
          </cell>
        </row>
        <row r="186">
          <cell r="A186" t="str">
            <v>Hofstra</v>
          </cell>
          <cell r="B186">
            <v>4.9840939446210539</v>
          </cell>
          <cell r="C186">
            <v>0.886541719411721</v>
          </cell>
          <cell r="D186">
            <v>181</v>
          </cell>
          <cell r="E186">
            <v>0.98898052504195444</v>
          </cell>
          <cell r="F186">
            <v>182</v>
          </cell>
          <cell r="G186">
            <v>7.9300307192582322E-3</v>
          </cell>
        </row>
        <row r="187">
          <cell r="A187" t="str">
            <v>Ohio</v>
          </cell>
          <cell r="B187">
            <v>10.971514953340339</v>
          </cell>
          <cell r="C187">
            <v>0.57280682243099401</v>
          </cell>
          <cell r="D187">
            <v>187</v>
          </cell>
          <cell r="E187">
            <v>0.8327745257037279</v>
          </cell>
          <cell r="F187">
            <v>185</v>
          </cell>
          <cell r="G187">
            <v>-8.6508037705315104E-3</v>
          </cell>
        </row>
        <row r="188">
          <cell r="A188" t="str">
            <v>Western Carolina</v>
          </cell>
          <cell r="B188">
            <v>-2.0856588670615377</v>
          </cell>
          <cell r="C188">
            <v>0.73950534051602745</v>
          </cell>
          <cell r="D188">
            <v>184</v>
          </cell>
          <cell r="E188">
            <v>0.66887623532658824</v>
          </cell>
          <cell r="F188">
            <v>186</v>
          </cell>
          <cell r="G188">
            <v>-2.6048153663723553E-2</v>
          </cell>
        </row>
        <row r="189">
          <cell r="A189" t="str">
            <v>Valparaiso</v>
          </cell>
          <cell r="B189">
            <v>4.1024395871147687</v>
          </cell>
          <cell r="C189">
            <v>0.58050755185551473</v>
          </cell>
          <cell r="D189">
            <v>186</v>
          </cell>
          <cell r="E189">
            <v>0.66855585273699614</v>
          </cell>
          <cell r="F189">
            <v>187</v>
          </cell>
          <cell r="G189">
            <v>-2.6082161388868184E-2</v>
          </cell>
        </row>
        <row r="190">
          <cell r="A190" t="str">
            <v>Fordham</v>
          </cell>
          <cell r="B190">
            <v>6.7577083276114465</v>
          </cell>
          <cell r="C190">
            <v>0.45893937009061753</v>
          </cell>
          <cell r="D190">
            <v>188</v>
          </cell>
          <cell r="E190">
            <v>0.61640859402863835</v>
          </cell>
          <cell r="F190">
            <v>188</v>
          </cell>
          <cell r="G190">
            <v>-3.1617448569915219E-2</v>
          </cell>
        </row>
        <row r="191">
          <cell r="A191" t="str">
            <v>Boston College</v>
          </cell>
          <cell r="B191">
            <v>10.806740653842446</v>
          </cell>
          <cell r="C191">
            <v>0.33609429196585</v>
          </cell>
          <cell r="D191">
            <v>189</v>
          </cell>
          <cell r="E191">
            <v>0.59786045101276519</v>
          </cell>
          <cell r="F191">
            <v>189</v>
          </cell>
          <cell r="G191">
            <v>-3.3586282614331338E-2</v>
          </cell>
        </row>
        <row r="192">
          <cell r="A192" t="str">
            <v>South Dakota State</v>
          </cell>
          <cell r="B192">
            <v>7.2431333970691121</v>
          </cell>
          <cell r="C192">
            <v>0.28273693787461418</v>
          </cell>
          <cell r="D192">
            <v>190</v>
          </cell>
          <cell r="E192">
            <v>0.45674684935447674</v>
          </cell>
          <cell r="F192">
            <v>190</v>
          </cell>
          <cell r="G192">
            <v>-4.8565100862457432E-2</v>
          </cell>
        </row>
        <row r="193">
          <cell r="A193" t="str">
            <v>Arkansas State</v>
          </cell>
          <cell r="B193">
            <v>10.32698899515729</v>
          </cell>
          <cell r="C193">
            <v>0.13880319322707999</v>
          </cell>
          <cell r="D193">
            <v>193</v>
          </cell>
          <cell r="E193">
            <v>0.39350783827533548</v>
          </cell>
          <cell r="F193">
            <v>191</v>
          </cell>
          <cell r="G193">
            <v>-5.5277746858408111E-2</v>
          </cell>
        </row>
        <row r="194">
          <cell r="A194" t="str">
            <v>St. Joseph's</v>
          </cell>
          <cell r="B194">
            <v>13.717931283626486</v>
          </cell>
          <cell r="C194">
            <v>1.6031286115889019E-2</v>
          </cell>
          <cell r="D194">
            <v>195</v>
          </cell>
          <cell r="E194">
            <v>0.35857878605365429</v>
          </cell>
          <cell r="F194">
            <v>192</v>
          </cell>
          <cell r="G194">
            <v>-5.8985369076674531E-2</v>
          </cell>
        </row>
        <row r="195">
          <cell r="A195" t="str">
            <v>Austin Peay</v>
          </cell>
          <cell r="B195">
            <v>4.0889739876354199</v>
          </cell>
          <cell r="C195">
            <v>0.2556839189957727</v>
          </cell>
          <cell r="D195">
            <v>192</v>
          </cell>
          <cell r="E195">
            <v>0.351516170711764</v>
          </cell>
          <cell r="F195">
            <v>193</v>
          </cell>
          <cell r="G195">
            <v>-5.9735046147626029E-2</v>
          </cell>
        </row>
        <row r="196">
          <cell r="A196" t="str">
            <v>UC Davis</v>
          </cell>
          <cell r="B196">
            <v>1.6068695599259029</v>
          </cell>
          <cell r="C196">
            <v>0.27786391084628476</v>
          </cell>
          <cell r="D196">
            <v>191</v>
          </cell>
          <cell r="E196">
            <v>0.3110890520732752</v>
          </cell>
          <cell r="F196">
            <v>194</v>
          </cell>
          <cell r="G196">
            <v>-6.4026272898734804E-2</v>
          </cell>
        </row>
        <row r="197">
          <cell r="A197" t="str">
            <v>Southern Utah</v>
          </cell>
          <cell r="B197">
            <v>-0.85868020363852504</v>
          </cell>
          <cell r="C197">
            <v>0.1275569876664738</v>
          </cell>
          <cell r="D197">
            <v>194</v>
          </cell>
          <cell r="E197">
            <v>0.10290105788384882</v>
          </cell>
          <cell r="F197">
            <v>195</v>
          </cell>
          <cell r="G197">
            <v>-8.6124852268544161E-2</v>
          </cell>
        </row>
        <row r="198">
          <cell r="A198" t="str">
            <v>CSU Northridge</v>
          </cell>
          <cell r="B198">
            <v>6.6453279658500097</v>
          </cell>
          <cell r="C198">
            <v>-0.2375968962279898</v>
          </cell>
          <cell r="D198">
            <v>197</v>
          </cell>
          <cell r="E198">
            <v>-6.5523774676039676E-2</v>
          </cell>
          <cell r="F198">
            <v>196</v>
          </cell>
          <cell r="G198">
            <v>-0.10400268208607444</v>
          </cell>
        </row>
        <row r="199">
          <cell r="A199" t="str">
            <v>Lamar</v>
          </cell>
          <cell r="B199">
            <v>3.7898435317739021</v>
          </cell>
          <cell r="C199">
            <v>-0.18497027968476329</v>
          </cell>
          <cell r="D199">
            <v>196</v>
          </cell>
          <cell r="E199">
            <v>-8.5599934398296579E-2</v>
          </cell>
          <cell r="F199">
            <v>197</v>
          </cell>
          <cell r="G199">
            <v>-0.10613371087469706</v>
          </cell>
        </row>
        <row r="200">
          <cell r="A200" t="str">
            <v>Youngstown State</v>
          </cell>
          <cell r="B200">
            <v>7.074926011375049</v>
          </cell>
          <cell r="C200">
            <v>-0.38637785776902167</v>
          </cell>
          <cell r="D200">
            <v>200</v>
          </cell>
          <cell r="E200">
            <v>-0.19984526104041972</v>
          </cell>
          <cell r="F200">
            <v>199</v>
          </cell>
          <cell r="G200">
            <v>-0.1182605360946644</v>
          </cell>
        </row>
        <row r="201">
          <cell r="A201" t="str">
            <v>Incarnate Word</v>
          </cell>
          <cell r="B201">
            <v>3.4851643994280979</v>
          </cell>
          <cell r="C201">
            <v>-0.27444045149166196</v>
          </cell>
          <cell r="D201">
            <v>198</v>
          </cell>
          <cell r="E201">
            <v>-0.18045033021866788</v>
          </cell>
          <cell r="F201">
            <v>198</v>
          </cell>
          <cell r="G201">
            <v>-0.11620181786835559</v>
          </cell>
        </row>
        <row r="202">
          <cell r="A202" t="str">
            <v>Sacramento State</v>
          </cell>
          <cell r="B202">
            <v>3.894048967658652</v>
          </cell>
          <cell r="C202">
            <v>-0.41728017052771682</v>
          </cell>
          <cell r="D202">
            <v>201</v>
          </cell>
          <cell r="E202">
            <v>-0.30949694207305756</v>
          </cell>
          <cell r="F202">
            <v>200</v>
          </cell>
          <cell r="G202">
            <v>-0.12989975854727132</v>
          </cell>
        </row>
        <row r="203">
          <cell r="A203" t="str">
            <v>Radford</v>
          </cell>
          <cell r="B203">
            <v>11.500175544773906</v>
          </cell>
          <cell r="C203">
            <v>-0.65956894151860612</v>
          </cell>
          <cell r="D203">
            <v>203</v>
          </cell>
          <cell r="E203">
            <v>-0.3555753293612931</v>
          </cell>
          <cell r="F203">
            <v>201</v>
          </cell>
          <cell r="G203">
            <v>-0.13479085182422265</v>
          </cell>
        </row>
        <row r="204">
          <cell r="A204" t="str">
            <v>Central Arkansas</v>
          </cell>
          <cell r="B204">
            <v>-2.8044829720709332</v>
          </cell>
          <cell r="C204">
            <v>-0.30682279342927793</v>
          </cell>
          <cell r="D204">
            <v>199</v>
          </cell>
          <cell r="E204">
            <v>-0.36926429789531939</v>
          </cell>
          <cell r="F204">
            <v>202</v>
          </cell>
          <cell r="G204">
            <v>-0.13624389794639605</v>
          </cell>
        </row>
        <row r="205">
          <cell r="A205" t="str">
            <v>Furman</v>
          </cell>
          <cell r="B205">
            <v>9.7417903789513538</v>
          </cell>
          <cell r="C205">
            <v>-0.64307779291200595</v>
          </cell>
          <cell r="D205">
            <v>202</v>
          </cell>
          <cell r="E205">
            <v>-0.38345608861542169</v>
          </cell>
          <cell r="F205">
            <v>203</v>
          </cell>
          <cell r="G205">
            <v>-0.13775031725193268</v>
          </cell>
        </row>
        <row r="206">
          <cell r="A206" t="str">
            <v>Pennsylvania</v>
          </cell>
          <cell r="B206">
            <v>5.1621152313096248</v>
          </cell>
          <cell r="C206">
            <v>-0.66150882095551333</v>
          </cell>
          <cell r="D206">
            <v>204</v>
          </cell>
          <cell r="E206">
            <v>-0.51591821964888473</v>
          </cell>
          <cell r="F206">
            <v>204</v>
          </cell>
          <cell r="G206">
            <v>-0.15181080583838616</v>
          </cell>
        </row>
        <row r="207">
          <cell r="A207" t="str">
            <v>Southeast Missouri State</v>
          </cell>
          <cell r="B207">
            <v>5.4277423396745084</v>
          </cell>
          <cell r="C207">
            <v>-0.91555471149373591</v>
          </cell>
          <cell r="D207">
            <v>205</v>
          </cell>
          <cell r="E207">
            <v>-0.75697228521452964</v>
          </cell>
          <cell r="F207">
            <v>205</v>
          </cell>
          <cell r="G207">
            <v>-0.177398027719542</v>
          </cell>
        </row>
        <row r="208">
          <cell r="A208" t="str">
            <v>UNC Asheville</v>
          </cell>
          <cell r="B208">
            <v>4.2597310343300681</v>
          </cell>
          <cell r="C208">
            <v>-0.97453370116761451</v>
          </cell>
          <cell r="D208">
            <v>206</v>
          </cell>
          <cell r="E208">
            <v>-0.84367708278017228</v>
          </cell>
          <cell r="F208">
            <v>206</v>
          </cell>
          <cell r="G208">
            <v>-0.1866015020034828</v>
          </cell>
        </row>
        <row r="209">
          <cell r="A209" t="str">
            <v>Charlotte</v>
          </cell>
          <cell r="B209">
            <v>5.1348821179057866</v>
          </cell>
          <cell r="C209">
            <v>-1.0979922779045859</v>
          </cell>
          <cell r="D209">
            <v>208</v>
          </cell>
          <cell r="E209">
            <v>-0.94217041800932655</v>
          </cell>
          <cell r="F209">
            <v>207</v>
          </cell>
          <cell r="G209">
            <v>-0.19705629693261928</v>
          </cell>
        </row>
        <row r="210">
          <cell r="A210" t="str">
            <v>Marshall</v>
          </cell>
          <cell r="B210">
            <v>2.7500123349197647</v>
          </cell>
          <cell r="C210">
            <v>-1.1662394606885329</v>
          </cell>
          <cell r="D210">
            <v>209</v>
          </cell>
          <cell r="E210">
            <v>-1.0683331657983255</v>
          </cell>
          <cell r="F210">
            <v>211</v>
          </cell>
          <cell r="G210">
            <v>-0.21044812342282346</v>
          </cell>
        </row>
        <row r="211">
          <cell r="A211" t="str">
            <v>Indiana State</v>
          </cell>
          <cell r="B211">
            <v>8.8774779405919997</v>
          </cell>
          <cell r="C211">
            <v>-1.2914783724202039</v>
          </cell>
          <cell r="D211">
            <v>214</v>
          </cell>
          <cell r="E211">
            <v>-1.0372544645948987</v>
          </cell>
          <cell r="F211">
            <v>208</v>
          </cell>
          <cell r="G211">
            <v>-0.20714920530831576</v>
          </cell>
        </row>
        <row r="212">
          <cell r="A212" t="str">
            <v>Buffalo</v>
          </cell>
          <cell r="B212">
            <v>-1.3203775832630009</v>
          </cell>
          <cell r="C212">
            <v>-1.0503925321135488</v>
          </cell>
          <cell r="D212">
            <v>207</v>
          </cell>
          <cell r="E212">
            <v>-1.0571421583922851</v>
          </cell>
          <cell r="F212">
            <v>209</v>
          </cell>
          <cell r="G212">
            <v>-0.20926022896064092</v>
          </cell>
        </row>
        <row r="213">
          <cell r="A213" t="str">
            <v>Nicholls</v>
          </cell>
          <cell r="B213">
            <v>1.0226165627622905</v>
          </cell>
          <cell r="C213">
            <v>-1.1724074596194423</v>
          </cell>
          <cell r="D213">
            <v>210</v>
          </cell>
          <cell r="E213">
            <v>-1.1175318590598988</v>
          </cell>
          <cell r="F213">
            <v>213</v>
          </cell>
          <cell r="G213">
            <v>-0.2156704285426016</v>
          </cell>
        </row>
        <row r="214">
          <cell r="A214" t="str">
            <v>Samford</v>
          </cell>
          <cell r="B214">
            <v>11.451234349297978</v>
          </cell>
          <cell r="C214">
            <v>-1.4176871598453871</v>
          </cell>
          <cell r="D214">
            <v>216</v>
          </cell>
          <cell r="E214">
            <v>-1.0959641221168026</v>
          </cell>
          <cell r="F214">
            <v>212</v>
          </cell>
          <cell r="G214">
            <v>-0.21338107296030745</v>
          </cell>
        </row>
        <row r="215">
          <cell r="A215" t="str">
            <v>Rice</v>
          </cell>
          <cell r="B215">
            <v>5.2635459972994534</v>
          </cell>
          <cell r="C215">
            <v>-1.2227045683132853</v>
          </cell>
          <cell r="D215">
            <v>211</v>
          </cell>
          <cell r="E215">
            <v>-1.0605483041729666</v>
          </cell>
          <cell r="F215">
            <v>210</v>
          </cell>
          <cell r="G215">
            <v>-0.20962178190788266</v>
          </cell>
        </row>
        <row r="216">
          <cell r="A216" t="str">
            <v>Detroit</v>
          </cell>
          <cell r="B216">
            <v>3.0738830602115068</v>
          </cell>
          <cell r="C216">
            <v>-1.2366135986430984</v>
          </cell>
          <cell r="D216">
            <v>213</v>
          </cell>
          <cell r="E216">
            <v>-1.1288511821717331</v>
          </cell>
          <cell r="F216">
            <v>214</v>
          </cell>
          <cell r="G216">
            <v>-0.21687194336180768</v>
          </cell>
        </row>
        <row r="217">
          <cell r="A217" t="str">
            <v>New Orleans</v>
          </cell>
          <cell r="B217">
            <v>1.348849061961795</v>
          </cell>
          <cell r="C217">
            <v>-1.2275853213605514</v>
          </cell>
          <cell r="D217">
            <v>212</v>
          </cell>
          <cell r="E217">
            <v>-1.1631744617774926</v>
          </cell>
          <cell r="F217">
            <v>215</v>
          </cell>
          <cell r="G217">
            <v>-0.22051526449352429</v>
          </cell>
        </row>
        <row r="218">
          <cell r="A218" t="str">
            <v>Cal Poly</v>
          </cell>
          <cell r="B218">
            <v>7.8024418664198771</v>
          </cell>
          <cell r="C218">
            <v>-1.4622684547464071</v>
          </cell>
          <cell r="D218">
            <v>218</v>
          </cell>
          <cell r="E218">
            <v>-1.2306506967172497</v>
          </cell>
          <cell r="F218">
            <v>216</v>
          </cell>
          <cell r="G218">
            <v>-0.22767768007468109</v>
          </cell>
        </row>
        <row r="219">
          <cell r="A219" t="str">
            <v>Charleston</v>
          </cell>
          <cell r="B219">
            <v>10.158178405440189</v>
          </cell>
          <cell r="C219">
            <v>-1.5923773599661781</v>
          </cell>
          <cell r="D219">
            <v>220</v>
          </cell>
          <cell r="E219">
            <v>-1.2986134658310187</v>
          </cell>
          <cell r="F219">
            <v>219</v>
          </cell>
          <cell r="G219">
            <v>-0.23489173991180179</v>
          </cell>
        </row>
        <row r="220">
          <cell r="A220" t="str">
            <v>Pepperdine</v>
          </cell>
          <cell r="B220">
            <v>4.5307464261683457</v>
          </cell>
          <cell r="C220">
            <v>-1.3985218242980302</v>
          </cell>
          <cell r="D220">
            <v>215</v>
          </cell>
          <cell r="E220">
            <v>-1.2502901180363706</v>
          </cell>
          <cell r="F220">
            <v>217</v>
          </cell>
          <cell r="G220">
            <v>-0.2297623502905958</v>
          </cell>
        </row>
        <row r="221">
          <cell r="A221" t="str">
            <v>Georgia Tech</v>
          </cell>
          <cell r="B221">
            <v>14.526399974517997</v>
          </cell>
          <cell r="C221">
            <v>-1.7174266445439414</v>
          </cell>
          <cell r="D221">
            <v>224</v>
          </cell>
          <cell r="E221">
            <v>-1.3113309790673926</v>
          </cell>
          <cell r="F221">
            <v>220</v>
          </cell>
          <cell r="G221">
            <v>-0.23624166874287977</v>
          </cell>
        </row>
        <row r="222">
          <cell r="A222" t="str">
            <v>Northern Arizona</v>
          </cell>
          <cell r="B222">
            <v>4.0594954007386894</v>
          </cell>
          <cell r="C222">
            <v>-1.4299220415281433</v>
          </cell>
          <cell r="D222">
            <v>217</v>
          </cell>
          <cell r="E222">
            <v>-1.2926866054714723</v>
          </cell>
          <cell r="F222">
            <v>218</v>
          </cell>
          <cell r="G222">
            <v>-0.23426262008873436</v>
          </cell>
        </row>
        <row r="223">
          <cell r="A223" t="str">
            <v>Purdue Fort Wayne</v>
          </cell>
          <cell r="B223">
            <v>7.7812777392935741</v>
          </cell>
          <cell r="C223">
            <v>-1.5808172186614073</v>
          </cell>
          <cell r="D223">
            <v>219</v>
          </cell>
          <cell r="E223">
            <v>-1.3467648447125324</v>
          </cell>
          <cell r="F223">
            <v>221</v>
          </cell>
          <cell r="G223">
            <v>-0.24000287550884636</v>
          </cell>
        </row>
        <row r="224">
          <cell r="A224" t="str">
            <v>Lipscomb</v>
          </cell>
          <cell r="B224">
            <v>9.3932974825499684</v>
          </cell>
          <cell r="C224">
            <v>-1.6509343269448167</v>
          </cell>
          <cell r="D224">
            <v>221</v>
          </cell>
          <cell r="E224">
            <v>-1.3748285317074469</v>
          </cell>
          <cell r="F224">
            <v>222</v>
          </cell>
          <cell r="G224">
            <v>-0.24298175820994167</v>
          </cell>
        </row>
        <row r="225">
          <cell r="A225" t="str">
            <v>Elon</v>
          </cell>
          <cell r="B225">
            <v>6.6277636094692962</v>
          </cell>
          <cell r="C225">
            <v>-1.6671945128490364</v>
          </cell>
          <cell r="D225">
            <v>222</v>
          </cell>
          <cell r="E225">
            <v>-1.4598205597910778</v>
          </cell>
          <cell r="F225">
            <v>223</v>
          </cell>
          <cell r="G225">
            <v>-0.25200342675389353</v>
          </cell>
        </row>
        <row r="226">
          <cell r="A226" t="str">
            <v>Denver</v>
          </cell>
          <cell r="B226">
            <v>0.36918564567312445</v>
          </cell>
          <cell r="C226">
            <v>-1.7166333364273485</v>
          </cell>
          <cell r="D226">
            <v>223</v>
          </cell>
          <cell r="E226">
            <v>-1.6644878618748364</v>
          </cell>
          <cell r="F226">
            <v>224</v>
          </cell>
          <cell r="G226">
            <v>-0.27372829440110003</v>
          </cell>
        </row>
        <row r="227">
          <cell r="A227" t="str">
            <v>UT Martin</v>
          </cell>
          <cell r="B227">
            <v>1.4009433721796851</v>
          </cell>
          <cell r="C227">
            <v>-1.8259881760234458</v>
          </cell>
          <cell r="D227">
            <v>225</v>
          </cell>
          <cell r="E227">
            <v>-1.7453148873183675</v>
          </cell>
          <cell r="F227">
            <v>225</v>
          </cell>
          <cell r="G227">
            <v>-0.28230785944251291</v>
          </cell>
        </row>
        <row r="228">
          <cell r="A228" t="str">
            <v>North Dakota</v>
          </cell>
          <cell r="B228">
            <v>3.4690131796803656</v>
          </cell>
          <cell r="C228">
            <v>-1.9317244727573957</v>
          </cell>
          <cell r="D228">
            <v>228</v>
          </cell>
          <cell r="E228">
            <v>-1.7967060314464516</v>
          </cell>
          <cell r="F228">
            <v>227</v>
          </cell>
          <cell r="G228">
            <v>-0.28776288715360399</v>
          </cell>
        </row>
        <row r="229">
          <cell r="A229" t="str">
            <v>La Salle</v>
          </cell>
          <cell r="B229">
            <v>4.492068858636137</v>
          </cell>
          <cell r="C229">
            <v>-1.9145016238180141</v>
          </cell>
          <cell r="D229">
            <v>226</v>
          </cell>
          <cell r="E229">
            <v>-1.7543373617566602</v>
          </cell>
          <cell r="F229">
            <v>226</v>
          </cell>
          <cell r="G229">
            <v>-0.28326557013213738</v>
          </cell>
        </row>
        <row r="230">
          <cell r="A230" t="str">
            <v>Eastern Michigan</v>
          </cell>
          <cell r="B230">
            <v>3.6803978199142771</v>
          </cell>
          <cell r="C230">
            <v>-1.9537425434931279</v>
          </cell>
          <cell r="D230">
            <v>229</v>
          </cell>
          <cell r="E230">
            <v>-1.8128890344079427</v>
          </cell>
          <cell r="F230">
            <v>228</v>
          </cell>
          <cell r="G230">
            <v>-0.28948066812737605</v>
          </cell>
        </row>
        <row r="231">
          <cell r="A231" t="str">
            <v>Long Beach State</v>
          </cell>
          <cell r="B231">
            <v>1.2208684660189704</v>
          </cell>
          <cell r="C231">
            <v>-1.9170511058828823</v>
          </cell>
          <cell r="D231">
            <v>227</v>
          </cell>
          <cell r="E231">
            <v>-1.8386031165853358</v>
          </cell>
          <cell r="F231">
            <v>229</v>
          </cell>
          <cell r="G231">
            <v>-0.29221014678022228</v>
          </cell>
        </row>
        <row r="232">
          <cell r="A232" t="str">
            <v>Towson</v>
          </cell>
          <cell r="B232">
            <v>9.9522452346244599</v>
          </cell>
          <cell r="C232">
            <v>-2.1890028555625749</v>
          </cell>
          <cell r="D232">
            <v>230</v>
          </cell>
          <cell r="E232">
            <v>-1.8854716533078988</v>
          </cell>
          <cell r="F232">
            <v>230</v>
          </cell>
          <cell r="G232">
            <v>-0.29718511223268734</v>
          </cell>
        </row>
        <row r="233">
          <cell r="A233" t="str">
            <v>Wofford</v>
          </cell>
          <cell r="B233">
            <v>8.0631803230915775</v>
          </cell>
          <cell r="C233">
            <v>-2.4758159361933427</v>
          </cell>
          <cell r="D233">
            <v>231</v>
          </cell>
          <cell r="E233">
            <v>-2.2123410297112192</v>
          </cell>
          <cell r="F233">
            <v>231</v>
          </cell>
          <cell r="G233">
            <v>-0.33188139184349175</v>
          </cell>
        </row>
        <row r="234">
          <cell r="A234" t="str">
            <v>Queens University</v>
          </cell>
          <cell r="B234">
            <v>6.4572474756565583</v>
          </cell>
          <cell r="C234">
            <v>-2.5210234223293577</v>
          </cell>
          <cell r="D234">
            <v>232</v>
          </cell>
          <cell r="E234">
            <v>-2.2965666498797095</v>
          </cell>
          <cell r="F234">
            <v>232</v>
          </cell>
          <cell r="G234">
            <v>-0.34082170830848096</v>
          </cell>
        </row>
        <row r="235">
          <cell r="A235" t="str">
            <v>Evansville</v>
          </cell>
          <cell r="B235">
            <v>4.3691824347942907</v>
          </cell>
          <cell r="C235">
            <v>-2.7218087684723904</v>
          </cell>
          <cell r="D235">
            <v>233</v>
          </cell>
          <cell r="E235">
            <v>-2.5445339883907234</v>
          </cell>
          <cell r="F235">
            <v>233</v>
          </cell>
          <cell r="G235">
            <v>-0.36714275497854071</v>
          </cell>
        </row>
        <row r="236">
          <cell r="A236" t="str">
            <v>Green Bay</v>
          </cell>
          <cell r="B236">
            <v>2.6830598195711364</v>
          </cell>
          <cell r="C236">
            <v>-2.7438466722552097</v>
          </cell>
          <cell r="D236">
            <v>234</v>
          </cell>
          <cell r="E236">
            <v>-2.608174009959551</v>
          </cell>
          <cell r="F236">
            <v>234</v>
          </cell>
          <cell r="G236">
            <v>-0.37389796712807272</v>
          </cell>
        </row>
        <row r="237">
          <cell r="A237" t="str">
            <v>Omaha</v>
          </cell>
          <cell r="B237">
            <v>9.0740641308806893</v>
          </cell>
          <cell r="C237">
            <v>-2.9609301868068463</v>
          </cell>
          <cell r="D237">
            <v>235</v>
          </cell>
          <cell r="E237">
            <v>-2.6600553288646576</v>
          </cell>
          <cell r="F237">
            <v>235</v>
          </cell>
          <cell r="G237">
            <v>-0.37940502553506095</v>
          </cell>
        </row>
        <row r="238">
          <cell r="A238" t="str">
            <v>Monmouth</v>
          </cell>
          <cell r="B238">
            <v>6.6832992405279015</v>
          </cell>
          <cell r="C238">
            <v>-3.1001729035606393</v>
          </cell>
          <cell r="D238">
            <v>239</v>
          </cell>
          <cell r="E238">
            <v>-2.8555860999584253</v>
          </cell>
          <cell r="F238">
            <v>238</v>
          </cell>
          <cell r="G238">
            <v>-0.40016007570536083</v>
          </cell>
        </row>
        <row r="239">
          <cell r="A239" t="str">
            <v>Milwaukee</v>
          </cell>
          <cell r="B239">
            <v>6.5120857155422751</v>
          </cell>
          <cell r="C239">
            <v>-3.0635299768093995</v>
          </cell>
          <cell r="D239">
            <v>237</v>
          </cell>
          <cell r="E239">
            <v>-2.8241395845006072</v>
          </cell>
          <cell r="F239">
            <v>236</v>
          </cell>
          <cell r="G239">
            <v>-0.39682211512576937</v>
          </cell>
        </row>
        <row r="240">
          <cell r="A240" t="str">
            <v>Brown</v>
          </cell>
          <cell r="B240">
            <v>9.5482789765623082</v>
          </cell>
          <cell r="C240">
            <v>-3.1671680387650065</v>
          </cell>
          <cell r="D240">
            <v>240</v>
          </cell>
          <cell r="E240">
            <v>-2.8492818633818233</v>
          </cell>
          <cell r="F240">
            <v>237</v>
          </cell>
          <cell r="G240">
            <v>-0.39949089844133795</v>
          </cell>
        </row>
        <row r="241">
          <cell r="A241" t="str">
            <v>Chattanooga</v>
          </cell>
          <cell r="B241">
            <v>11.016449731589821</v>
          </cell>
          <cell r="C241">
            <v>-3.2121851608595096</v>
          </cell>
          <cell r="D241">
            <v>241</v>
          </cell>
          <cell r="E241">
            <v>-2.8564692885482761</v>
          </cell>
          <cell r="F241">
            <v>239</v>
          </cell>
          <cell r="G241">
            <v>-0.40025382372972373</v>
          </cell>
        </row>
        <row r="242">
          <cell r="A242" t="str">
            <v>Harvard</v>
          </cell>
          <cell r="B242">
            <v>5.4378845535956453</v>
          </cell>
          <cell r="C242">
            <v>-3.079492991023149</v>
          </cell>
          <cell r="D242">
            <v>238</v>
          </cell>
          <cell r="E242">
            <v>-2.8665585524076791</v>
          </cell>
          <cell r="F242">
            <v>240</v>
          </cell>
          <cell r="G242">
            <v>-0.40132477116378712</v>
          </cell>
        </row>
        <row r="243">
          <cell r="A243" t="str">
            <v>Lindenwood</v>
          </cell>
          <cell r="B243">
            <v>-1.2050091767509699</v>
          </cell>
          <cell r="C243">
            <v>-3.0066800102231959</v>
          </cell>
          <cell r="D243">
            <v>236</v>
          </cell>
          <cell r="E243">
            <v>-2.96163823938639</v>
          </cell>
          <cell r="F243">
            <v>241</v>
          </cell>
          <cell r="G243">
            <v>-0.41141721677928161</v>
          </cell>
        </row>
        <row r="244">
          <cell r="A244" t="str">
            <v>Presbyterian</v>
          </cell>
          <cell r="B244">
            <v>6.7546360380526451</v>
          </cell>
          <cell r="C244">
            <v>-3.3272176619518019</v>
          </cell>
          <cell r="D244">
            <v>242</v>
          </cell>
          <cell r="E244">
            <v>-3.0751713194516901</v>
          </cell>
          <cell r="F244">
            <v>242</v>
          </cell>
          <cell r="G244">
            <v>-0.42346843899644332</v>
          </cell>
        </row>
        <row r="245">
          <cell r="A245" t="str">
            <v>Dartmouth</v>
          </cell>
          <cell r="B245">
            <v>8.6555887772307827</v>
          </cell>
          <cell r="C245">
            <v>-3.5162167846763639</v>
          </cell>
          <cell r="D245">
            <v>245</v>
          </cell>
          <cell r="E245">
            <v>-3.211921645628685</v>
          </cell>
          <cell r="F245">
            <v>244</v>
          </cell>
          <cell r="G245">
            <v>-0.43798410762870843</v>
          </cell>
        </row>
        <row r="246">
          <cell r="A246" t="str">
            <v>Tulane</v>
          </cell>
          <cell r="B246">
            <v>9.7375892223179346</v>
          </cell>
          <cell r="C246">
            <v>-3.5033484881835393</v>
          </cell>
          <cell r="D246">
            <v>244</v>
          </cell>
          <cell r="E246">
            <v>-3.1723250454210019</v>
          </cell>
          <cell r="F246">
            <v>243</v>
          </cell>
          <cell r="G246">
            <v>-0.43378103811035801</v>
          </cell>
        </row>
        <row r="247">
          <cell r="A247" t="str">
            <v>Stony Brook</v>
          </cell>
          <cell r="B247">
            <v>2.9610672296415865</v>
          </cell>
          <cell r="C247">
            <v>-3.4637048164172421</v>
          </cell>
          <cell r="D247">
            <v>243</v>
          </cell>
          <cell r="E247">
            <v>-3.3030855152657712</v>
          </cell>
          <cell r="F247">
            <v>245</v>
          </cell>
          <cell r="G247">
            <v>-0.44766090007141313</v>
          </cell>
        </row>
        <row r="248">
          <cell r="A248" t="str">
            <v>Western Michigan</v>
          </cell>
          <cell r="B248">
            <v>2.3269731455630396</v>
          </cell>
          <cell r="C248">
            <v>-3.584612840430863</v>
          </cell>
          <cell r="D248">
            <v>246</v>
          </cell>
          <cell r="E248">
            <v>-3.4368231907810154</v>
          </cell>
          <cell r="F248">
            <v>246</v>
          </cell>
          <cell r="G248">
            <v>-0.46185678417421289</v>
          </cell>
        </row>
        <row r="249">
          <cell r="A249" t="str">
            <v>Charleston Southern</v>
          </cell>
          <cell r="B249">
            <v>4.1236566887513826</v>
          </cell>
          <cell r="C249">
            <v>-3.7180431472297952</v>
          </cell>
          <cell r="D249">
            <v>247</v>
          </cell>
          <cell r="E249">
            <v>-3.522000651330266</v>
          </cell>
          <cell r="F249">
            <v>247</v>
          </cell>
          <cell r="G249">
            <v>-0.47089813586115858</v>
          </cell>
        </row>
        <row r="250">
          <cell r="A250" t="str">
            <v>Florida Gulf Coast</v>
          </cell>
          <cell r="B250">
            <v>9.6741628903046966</v>
          </cell>
          <cell r="C250">
            <v>-3.8636608536004169</v>
          </cell>
          <cell r="D250">
            <v>251</v>
          </cell>
          <cell r="E250">
            <v>-3.5252152600027888</v>
          </cell>
          <cell r="F250">
            <v>248</v>
          </cell>
          <cell r="G250">
            <v>-0.47123935767449709</v>
          </cell>
        </row>
        <row r="251">
          <cell r="A251" t="str">
            <v>UC Riverside</v>
          </cell>
          <cell r="B251">
            <v>4.4307067015422144</v>
          </cell>
          <cell r="C251">
            <v>-3.7650327931314216</v>
          </cell>
          <cell r="D251">
            <v>248</v>
          </cell>
          <cell r="E251">
            <v>-3.5601393057645803</v>
          </cell>
          <cell r="F251">
            <v>249</v>
          </cell>
          <cell r="G251">
            <v>-0.47494644847090289</v>
          </cell>
        </row>
        <row r="252">
          <cell r="A252" t="str">
            <v>Georgia Southern</v>
          </cell>
          <cell r="B252">
            <v>6.2416733937474866</v>
          </cell>
          <cell r="C252">
            <v>-3.9024949315991209</v>
          </cell>
          <cell r="D252">
            <v>253</v>
          </cell>
          <cell r="E252">
            <v>-3.6488907234654557</v>
          </cell>
          <cell r="F252">
            <v>250</v>
          </cell>
          <cell r="G252">
            <v>-0.48436716581765515</v>
          </cell>
        </row>
        <row r="253">
          <cell r="A253" t="str">
            <v>Appalachian State</v>
          </cell>
          <cell r="B253">
            <v>4.5618817241180807</v>
          </cell>
          <cell r="C253">
            <v>-3.8878256249868186</v>
          </cell>
          <cell r="D253">
            <v>252</v>
          </cell>
          <cell r="E253">
            <v>-3.6765829412591962</v>
          </cell>
          <cell r="F253">
            <v>251</v>
          </cell>
          <cell r="G253">
            <v>-0.48730661809118164</v>
          </cell>
        </row>
        <row r="254">
          <cell r="A254" t="str">
            <v>South Carolina Upstate</v>
          </cell>
          <cell r="B254">
            <v>0.78178503883038497</v>
          </cell>
          <cell r="C254">
            <v>-3.7945536932283543</v>
          </cell>
          <cell r="D254">
            <v>249</v>
          </cell>
          <cell r="E254">
            <v>-3.680145224926886</v>
          </cell>
          <cell r="F254">
            <v>252</v>
          </cell>
          <cell r="G254">
            <v>-0.48768474464297784</v>
          </cell>
        </row>
        <row r="255">
          <cell r="A255" t="str">
            <v>Central Michigan</v>
          </cell>
          <cell r="B255">
            <v>2.7315809547352998</v>
          </cell>
          <cell r="C255">
            <v>-3.846250770030756</v>
          </cell>
          <cell r="D255">
            <v>250</v>
          </cell>
          <cell r="E255">
            <v>-3.6818049769116046</v>
          </cell>
          <cell r="F255">
            <v>253</v>
          </cell>
          <cell r="G255">
            <v>-0.48786092272236864</v>
          </cell>
        </row>
        <row r="256">
          <cell r="A256" t="str">
            <v>South Alabama</v>
          </cell>
          <cell r="B256">
            <v>6.7567986142480976</v>
          </cell>
          <cell r="C256">
            <v>-3.9731188889516709</v>
          </cell>
          <cell r="D256">
            <v>255</v>
          </cell>
          <cell r="E256">
            <v>-3.7048709513716762</v>
          </cell>
          <cell r="F256">
            <v>254</v>
          </cell>
          <cell r="G256">
            <v>-0.49030931207033507</v>
          </cell>
        </row>
        <row r="257">
          <cell r="A257" t="str">
            <v>Longwood</v>
          </cell>
          <cell r="B257">
            <v>5.3803672043579747</v>
          </cell>
          <cell r="C257">
            <v>-4.1320660788129784</v>
          </cell>
          <cell r="D257">
            <v>257</v>
          </cell>
          <cell r="E257">
            <v>-3.8942552467337039</v>
          </cell>
          <cell r="F257">
            <v>255</v>
          </cell>
          <cell r="G257">
            <v>-0.51041193085365077</v>
          </cell>
        </row>
        <row r="258">
          <cell r="A258" t="str">
            <v>Oral Roberts</v>
          </cell>
          <cell r="B258">
            <v>-2.1033887741303108</v>
          </cell>
          <cell r="C258">
            <v>-3.9665925584071458</v>
          </cell>
          <cell r="D258">
            <v>254</v>
          </cell>
          <cell r="E258">
            <v>-3.9200124638002247</v>
          </cell>
          <cell r="F258">
            <v>256</v>
          </cell>
          <cell r="G258">
            <v>-0.51314598815559109</v>
          </cell>
        </row>
        <row r="259">
          <cell r="A259" t="str">
            <v>Morehead State</v>
          </cell>
          <cell r="B259">
            <v>-3.065989073727394</v>
          </cell>
          <cell r="C259">
            <v>-4.015532431444611</v>
          </cell>
          <cell r="D259">
            <v>256</v>
          </cell>
          <cell r="E259">
            <v>-3.9917938475016808</v>
          </cell>
          <cell r="F259">
            <v>257</v>
          </cell>
          <cell r="G259">
            <v>-0.52076538336220446</v>
          </cell>
        </row>
        <row r="260">
          <cell r="A260" t="str">
            <v>UNC Greensboro</v>
          </cell>
          <cell r="B260">
            <v>4.4980816898088696</v>
          </cell>
          <cell r="C260">
            <v>-4.4097371008912063</v>
          </cell>
          <cell r="D260">
            <v>259</v>
          </cell>
          <cell r="E260">
            <v>-4.1870416311237042</v>
          </cell>
          <cell r="F260">
            <v>258</v>
          </cell>
          <cell r="G260">
            <v>-0.54149039519561881</v>
          </cell>
        </row>
        <row r="261">
          <cell r="A261" t="str">
            <v>James Madison</v>
          </cell>
          <cell r="B261">
            <v>8.8451157148218069</v>
          </cell>
          <cell r="C261">
            <v>-4.6389356904672967</v>
          </cell>
          <cell r="D261">
            <v>262</v>
          </cell>
          <cell r="E261">
            <v>-4.301834405335069</v>
          </cell>
          <cell r="F261">
            <v>259</v>
          </cell>
          <cell r="G261">
            <v>-0.55367533045986028</v>
          </cell>
        </row>
        <row r="262">
          <cell r="A262" t="str">
            <v>SIU Edwardsville</v>
          </cell>
          <cell r="B262">
            <v>4.7016091695836062</v>
          </cell>
          <cell r="C262">
            <v>-4.5408968117150028</v>
          </cell>
          <cell r="D262">
            <v>260</v>
          </cell>
          <cell r="E262">
            <v>-4.309834162182538</v>
          </cell>
          <cell r="F262">
            <v>260</v>
          </cell>
          <cell r="G262">
            <v>-0.55452448250785069</v>
          </cell>
        </row>
        <row r="263">
          <cell r="A263" t="str">
            <v>Southern Miss</v>
          </cell>
          <cell r="B263">
            <v>-4.4342206108279685</v>
          </cell>
          <cell r="C263">
            <v>-4.3778813781084907</v>
          </cell>
          <cell r="D263">
            <v>258</v>
          </cell>
          <cell r="E263">
            <v>-4.3792898589264775</v>
          </cell>
          <cell r="F263">
            <v>261</v>
          </cell>
          <cell r="G263">
            <v>-0.56189701248085588</v>
          </cell>
        </row>
        <row r="264">
          <cell r="A264" t="str">
            <v>Northwestern State</v>
          </cell>
          <cell r="B264">
            <v>-0.82523048766766471</v>
          </cell>
          <cell r="C264">
            <v>-4.6066998800692769</v>
          </cell>
          <cell r="D264">
            <v>261</v>
          </cell>
          <cell r="E264">
            <v>-4.5121631452592368</v>
          </cell>
          <cell r="F264">
            <v>264</v>
          </cell>
          <cell r="G264">
            <v>-0.57600114406435243</v>
          </cell>
        </row>
        <row r="265">
          <cell r="A265" t="str">
            <v>Hampton</v>
          </cell>
          <cell r="B265">
            <v>5.2323842532796263</v>
          </cell>
          <cell r="C265">
            <v>-4.7531116830491857</v>
          </cell>
          <cell r="D265">
            <v>264</v>
          </cell>
          <cell r="E265">
            <v>-4.5034742846409648</v>
          </cell>
          <cell r="F265">
            <v>263</v>
          </cell>
          <cell r="G265">
            <v>-0.57507884555836175</v>
          </cell>
        </row>
        <row r="266">
          <cell r="A266" t="str">
            <v>East Texas A&amp;M</v>
          </cell>
          <cell r="B266">
            <v>4.8856332906904045</v>
          </cell>
          <cell r="C266">
            <v>-4.74220207441659</v>
          </cell>
          <cell r="D266">
            <v>263</v>
          </cell>
          <cell r="E266">
            <v>-4.5015061902889144</v>
          </cell>
          <cell r="F266">
            <v>262</v>
          </cell>
          <cell r="G266">
            <v>-0.57486993779009499</v>
          </cell>
        </row>
        <row r="267">
          <cell r="A267" t="str">
            <v>Ball State</v>
          </cell>
          <cell r="B267">
            <v>3.6347613551576479</v>
          </cell>
          <cell r="C267">
            <v>-4.772631694944538</v>
          </cell>
          <cell r="D267">
            <v>265</v>
          </cell>
          <cell r="E267">
            <v>-4.5624468686919837</v>
          </cell>
          <cell r="F267">
            <v>265</v>
          </cell>
          <cell r="G267">
            <v>-0.58133862213370269</v>
          </cell>
        </row>
        <row r="268">
          <cell r="A268" t="str">
            <v>Princeton</v>
          </cell>
          <cell r="B268">
            <v>8.2694461687289547</v>
          </cell>
          <cell r="C268">
            <v>-4.9154077038805557</v>
          </cell>
          <cell r="D268">
            <v>267</v>
          </cell>
          <cell r="E268">
            <v>-4.5857863570653175</v>
          </cell>
          <cell r="F268">
            <v>266</v>
          </cell>
          <cell r="G268">
            <v>-0.58381604422654243</v>
          </cell>
        </row>
        <row r="269">
          <cell r="A269" t="str">
            <v>Eastern Kentucky</v>
          </cell>
          <cell r="B269">
            <v>6.5461546417398955</v>
          </cell>
          <cell r="C269">
            <v>-5.0037184018654539</v>
          </cell>
          <cell r="D269">
            <v>268</v>
          </cell>
          <cell r="E269">
            <v>-4.7149715757753201</v>
          </cell>
          <cell r="F269">
            <v>267</v>
          </cell>
          <cell r="G269">
            <v>-0.59752869763955163</v>
          </cell>
        </row>
        <row r="270">
          <cell r="A270" t="str">
            <v>East Carolina</v>
          </cell>
          <cell r="B270">
            <v>6.4240099894635714</v>
          </cell>
          <cell r="C270">
            <v>-5.0267749711396155</v>
          </cell>
          <cell r="D270">
            <v>269</v>
          </cell>
          <cell r="E270">
            <v>-4.740505347124536</v>
          </cell>
          <cell r="F270">
            <v>268</v>
          </cell>
          <cell r="G270">
            <v>-0.60023903679704305</v>
          </cell>
        </row>
        <row r="271">
          <cell r="A271" t="str">
            <v>IU Indianapolis</v>
          </cell>
          <cell r="B271">
            <v>-0.74560873374708347</v>
          </cell>
          <cell r="C271">
            <v>-4.8737827816727499</v>
          </cell>
          <cell r="D271">
            <v>266</v>
          </cell>
          <cell r="E271">
            <v>-4.7705784304746084</v>
          </cell>
          <cell r="F271">
            <v>269</v>
          </cell>
          <cell r="G271">
            <v>-0.60343121135972122</v>
          </cell>
        </row>
        <row r="272">
          <cell r="A272" t="str">
            <v>Drexel</v>
          </cell>
          <cell r="B272">
            <v>8.5961475241484617</v>
          </cell>
          <cell r="C272">
            <v>-5.2232276993439681</v>
          </cell>
          <cell r="D272">
            <v>272</v>
          </cell>
          <cell r="E272">
            <v>-4.8777433187566572</v>
          </cell>
          <cell r="F272">
            <v>271</v>
          </cell>
          <cell r="G272">
            <v>-0.61480646764468661</v>
          </cell>
        </row>
        <row r="273">
          <cell r="A273" t="str">
            <v>Loyola Chicago</v>
          </cell>
          <cell r="B273">
            <v>15.024806730033681</v>
          </cell>
          <cell r="C273">
            <v>-5.336095970509005</v>
          </cell>
          <cell r="D273">
            <v>274</v>
          </cell>
          <cell r="E273">
            <v>-4.8270734029954374</v>
          </cell>
          <cell r="F273">
            <v>270</v>
          </cell>
          <cell r="G273">
            <v>-0.6094279963285546</v>
          </cell>
        </row>
        <row r="274">
          <cell r="A274" t="str">
            <v>Bellarmine</v>
          </cell>
          <cell r="B274">
            <v>3.9185400106471415</v>
          </cell>
          <cell r="C274">
            <v>-5.2059978707767129</v>
          </cell>
          <cell r="D274">
            <v>271</v>
          </cell>
          <cell r="E274">
            <v>-4.9778844237411164</v>
          </cell>
          <cell r="F274">
            <v>272</v>
          </cell>
          <cell r="G274">
            <v>-0.62543616877272534</v>
          </cell>
        </row>
        <row r="275">
          <cell r="A275" t="str">
            <v>Old Dominion</v>
          </cell>
          <cell r="B275">
            <v>1.8325836044662163</v>
          </cell>
          <cell r="C275">
            <v>-5.1706393223458962</v>
          </cell>
          <cell r="D275">
            <v>270</v>
          </cell>
          <cell r="E275">
            <v>-4.9955587491755935</v>
          </cell>
          <cell r="F275">
            <v>273</v>
          </cell>
          <cell r="G275">
            <v>-0.62731224949938946</v>
          </cell>
        </row>
        <row r="276">
          <cell r="A276" t="str">
            <v>South Dakota</v>
          </cell>
          <cell r="B276">
            <v>4.4454792532084602</v>
          </cell>
          <cell r="C276">
            <v>-5.2415801213200615</v>
          </cell>
          <cell r="D276">
            <v>273</v>
          </cell>
          <cell r="E276">
            <v>-4.9994036369568482</v>
          </cell>
          <cell r="F276">
            <v>274</v>
          </cell>
          <cell r="G276">
            <v>-0.62772037369566158</v>
          </cell>
        </row>
        <row r="277">
          <cell r="A277" t="str">
            <v>Texas State</v>
          </cell>
          <cell r="B277">
            <v>5.4098942948285957</v>
          </cell>
          <cell r="C277">
            <v>-5.465581835157467</v>
          </cell>
          <cell r="D277">
            <v>275</v>
          </cell>
          <cell r="E277">
            <v>-5.1936949319078156</v>
          </cell>
          <cell r="F277">
            <v>275</v>
          </cell>
          <cell r="G277">
            <v>-0.64834385690396978</v>
          </cell>
        </row>
        <row r="278">
          <cell r="A278" t="str">
            <v>Long Island University</v>
          </cell>
          <cell r="B278">
            <v>3.698218370419375</v>
          </cell>
          <cell r="C278">
            <v>-5.6290424611218342</v>
          </cell>
          <cell r="D278">
            <v>276</v>
          </cell>
          <cell r="E278">
            <v>-5.3958609403333044</v>
          </cell>
          <cell r="F278">
            <v>276</v>
          </cell>
          <cell r="G278">
            <v>-0.66980321915231944</v>
          </cell>
        </row>
        <row r="279">
          <cell r="A279" t="str">
            <v>Houston Christian</v>
          </cell>
          <cell r="B279">
            <v>1.8325836044662163</v>
          </cell>
          <cell r="C279">
            <v>-5.8022499903535358</v>
          </cell>
          <cell r="D279">
            <v>278</v>
          </cell>
          <cell r="E279">
            <v>-5.6113791504830415</v>
          </cell>
          <cell r="F279">
            <v>277</v>
          </cell>
          <cell r="G279">
            <v>-0.69267988065807262</v>
          </cell>
        </row>
        <row r="280">
          <cell r="A280" t="str">
            <v>Eastern Illinois</v>
          </cell>
          <cell r="B280">
            <v>-2.2167706150566584</v>
          </cell>
          <cell r="C280">
            <v>-5.7080442254110668</v>
          </cell>
          <cell r="D280">
            <v>277</v>
          </cell>
          <cell r="E280">
            <v>-5.6207623851522062</v>
          </cell>
          <cell r="F280">
            <v>278</v>
          </cell>
          <cell r="G280">
            <v>-0.69367588504770805</v>
          </cell>
        </row>
        <row r="281">
          <cell r="A281" t="str">
            <v>Delaware</v>
          </cell>
          <cell r="B281">
            <v>5.7926239410891469</v>
          </cell>
          <cell r="C281">
            <v>-6.1255972927848763</v>
          </cell>
          <cell r="D281">
            <v>279</v>
          </cell>
          <cell r="E281">
            <v>-5.8276417619380254</v>
          </cell>
          <cell r="F281">
            <v>279</v>
          </cell>
          <cell r="G281">
            <v>-0.71563555830205716</v>
          </cell>
        </row>
        <row r="282">
          <cell r="A282" t="str">
            <v>Navy</v>
          </cell>
          <cell r="B282">
            <v>7.3002255705591983</v>
          </cell>
          <cell r="C282">
            <v>-6.1647635288089901</v>
          </cell>
          <cell r="D282">
            <v>281</v>
          </cell>
          <cell r="E282">
            <v>-5.8281388013247852</v>
          </cell>
          <cell r="F282">
            <v>280</v>
          </cell>
          <cell r="G282">
            <v>-0.71568831765727836</v>
          </cell>
        </row>
        <row r="283">
          <cell r="A283" t="str">
            <v>Colgate</v>
          </cell>
          <cell r="B283">
            <v>8.5784130605395497</v>
          </cell>
          <cell r="C283">
            <v>-6.3957313462659835</v>
          </cell>
          <cell r="D283">
            <v>287</v>
          </cell>
          <cell r="E283">
            <v>-6.0213777360958449</v>
          </cell>
          <cell r="F283">
            <v>282</v>
          </cell>
          <cell r="G283">
            <v>-0.73620009574516465</v>
          </cell>
        </row>
        <row r="284">
          <cell r="A284" t="str">
            <v>American University</v>
          </cell>
          <cell r="B284">
            <v>4.8701876704307425</v>
          </cell>
          <cell r="C284">
            <v>-6.268460910400762</v>
          </cell>
          <cell r="D284">
            <v>283</v>
          </cell>
          <cell r="E284">
            <v>-5.9899946958799744</v>
          </cell>
          <cell r="F284">
            <v>281</v>
          </cell>
          <cell r="G284">
            <v>-0.73286887288682201</v>
          </cell>
        </row>
        <row r="285">
          <cell r="A285" t="str">
            <v>North Carolina A&amp;T</v>
          </cell>
          <cell r="B285">
            <v>0.91757829662251011</v>
          </cell>
          <cell r="C285">
            <v>-6.2097994960492162</v>
          </cell>
          <cell r="D285">
            <v>282</v>
          </cell>
          <cell r="E285">
            <v>-6.0316150512324231</v>
          </cell>
          <cell r="F285">
            <v>283</v>
          </cell>
          <cell r="G285">
            <v>-0.73728675841253044</v>
          </cell>
        </row>
        <row r="286">
          <cell r="A286" t="str">
            <v>Northern Illinois</v>
          </cell>
          <cell r="B286">
            <v>-3.0895367418586686</v>
          </cell>
          <cell r="C286">
            <v>-6.1409616322967082</v>
          </cell>
          <cell r="D286">
            <v>280</v>
          </cell>
          <cell r="E286">
            <v>-6.0646760100357575</v>
          </cell>
          <cell r="F286">
            <v>284</v>
          </cell>
          <cell r="G286">
            <v>-0.7407960876848646</v>
          </cell>
        </row>
        <row r="287">
          <cell r="A287" t="str">
            <v>Cleveland State</v>
          </cell>
          <cell r="B287">
            <v>3.552663213005014</v>
          </cell>
          <cell r="C287">
            <v>-6.355397124266176</v>
          </cell>
          <cell r="D287">
            <v>285</v>
          </cell>
          <cell r="E287">
            <v>-6.1076956158343965</v>
          </cell>
          <cell r="F287">
            <v>285</v>
          </cell>
          <cell r="G287">
            <v>-0.74536249977265356</v>
          </cell>
        </row>
        <row r="288">
          <cell r="A288" t="str">
            <v>Coastal Carolina</v>
          </cell>
          <cell r="B288">
            <v>0.85877308709267797</v>
          </cell>
          <cell r="C288">
            <v>-6.2958994821450958</v>
          </cell>
          <cell r="D288">
            <v>284</v>
          </cell>
          <cell r="E288">
            <v>-6.1170326679141516</v>
          </cell>
          <cell r="F288">
            <v>286</v>
          </cell>
          <cell r="G288">
            <v>-0.74635360200824541</v>
          </cell>
        </row>
        <row r="289">
          <cell r="A289" t="str">
            <v>Little Rock</v>
          </cell>
          <cell r="B289">
            <v>3.6928467732351073</v>
          </cell>
          <cell r="C289">
            <v>-6.3850113485213704</v>
          </cell>
          <cell r="D289">
            <v>286</v>
          </cell>
          <cell r="E289">
            <v>-6.1330648954774585</v>
          </cell>
          <cell r="F289">
            <v>287</v>
          </cell>
          <cell r="G289">
            <v>-0.74805537859080962</v>
          </cell>
        </row>
        <row r="290">
          <cell r="A290" t="str">
            <v>Jacksonville</v>
          </cell>
          <cell r="B290">
            <v>5.9439659336500501</v>
          </cell>
          <cell r="C290">
            <v>-6.5284920229163905</v>
          </cell>
          <cell r="D290">
            <v>289</v>
          </cell>
          <cell r="E290">
            <v>-6.2166805740022291</v>
          </cell>
          <cell r="F290">
            <v>288</v>
          </cell>
          <cell r="G290">
            <v>-0.7569309514384871</v>
          </cell>
        </row>
        <row r="291">
          <cell r="A291" t="str">
            <v>Tennessee Tech</v>
          </cell>
          <cell r="B291">
            <v>0.86894268247047002</v>
          </cell>
          <cell r="C291">
            <v>-6.4315587161838836</v>
          </cell>
          <cell r="D291">
            <v>288</v>
          </cell>
          <cell r="E291">
            <v>-6.2490461812175244</v>
          </cell>
          <cell r="F291">
            <v>289</v>
          </cell>
          <cell r="G291">
            <v>-0.76036647106431376</v>
          </cell>
        </row>
        <row r="292">
          <cell r="A292" t="str">
            <v>Northeastern</v>
          </cell>
          <cell r="B292">
            <v>6.431044722121281</v>
          </cell>
          <cell r="C292">
            <v>-6.8632278702119249</v>
          </cell>
          <cell r="D292">
            <v>290</v>
          </cell>
          <cell r="E292">
            <v>-6.530871055403594</v>
          </cell>
          <cell r="F292">
            <v>290</v>
          </cell>
          <cell r="G292">
            <v>-0.79028140143691117</v>
          </cell>
        </row>
        <row r="293">
          <cell r="A293" t="str">
            <v>Southern</v>
          </cell>
          <cell r="B293">
            <v>6.1234177691279479</v>
          </cell>
          <cell r="C293">
            <v>-7.0382887267794461</v>
          </cell>
          <cell r="D293">
            <v>292</v>
          </cell>
          <cell r="E293">
            <v>-6.7092460643817606</v>
          </cell>
          <cell r="F293">
            <v>291</v>
          </cell>
          <cell r="G293">
            <v>-0.80921541494158944</v>
          </cell>
        </row>
        <row r="294">
          <cell r="A294" t="str">
            <v>SE Louisiana</v>
          </cell>
          <cell r="B294">
            <v>4.51471306531253</v>
          </cell>
          <cell r="C294">
            <v>-7.0139925387739499</v>
          </cell>
          <cell r="D294">
            <v>291</v>
          </cell>
          <cell r="E294">
            <v>-6.725774898671788</v>
          </cell>
          <cell r="F294">
            <v>292</v>
          </cell>
          <cell r="G294">
            <v>-0.81096990495370913</v>
          </cell>
        </row>
        <row r="295">
          <cell r="A295" t="str">
            <v>Howard</v>
          </cell>
          <cell r="B295">
            <v>1.29155653018701</v>
          </cell>
          <cell r="C295">
            <v>-7.281043888883362</v>
          </cell>
          <cell r="D295">
            <v>293</v>
          </cell>
          <cell r="E295">
            <v>-7.0667288784066029</v>
          </cell>
          <cell r="F295">
            <v>293</v>
          </cell>
          <cell r="G295">
            <v>-0.84716122622541801</v>
          </cell>
        </row>
        <row r="296">
          <cell r="A296" t="str">
            <v>CSU Bakersfield</v>
          </cell>
          <cell r="B296">
            <v>2.5410484218929725</v>
          </cell>
          <cell r="C296">
            <v>-7.4560455688412501</v>
          </cell>
          <cell r="D296">
            <v>295</v>
          </cell>
          <cell r="E296">
            <v>-7.206118219072895</v>
          </cell>
          <cell r="F296">
            <v>294</v>
          </cell>
          <cell r="G296">
            <v>-0.86195701894157584</v>
          </cell>
        </row>
        <row r="297">
          <cell r="A297" t="str">
            <v>The Citadel</v>
          </cell>
          <cell r="B297">
            <v>-4.3037084260011351</v>
          </cell>
          <cell r="C297">
            <v>-7.423594650214234</v>
          </cell>
          <cell r="D297">
            <v>294</v>
          </cell>
          <cell r="E297">
            <v>-7.3455974946089064</v>
          </cell>
          <cell r="F297">
            <v>295</v>
          </cell>
          <cell r="G297">
            <v>-0.87676235799523683</v>
          </cell>
        </row>
        <row r="298">
          <cell r="A298" t="str">
            <v>Air Force</v>
          </cell>
          <cell r="B298">
            <v>4.2467002733750787</v>
          </cell>
          <cell r="C298">
            <v>-8.2022463902781109</v>
          </cell>
          <cell r="D298">
            <v>296</v>
          </cell>
          <cell r="E298">
            <v>-7.8910227236867803</v>
          </cell>
          <cell r="F298">
            <v>296</v>
          </cell>
          <cell r="G298">
            <v>-0.93465773645835304</v>
          </cell>
        </row>
        <row r="299">
          <cell r="A299" t="str">
            <v>Le Moyne</v>
          </cell>
          <cell r="B299">
            <v>2.9215894335795198</v>
          </cell>
          <cell r="C299">
            <v>-8.3899739981466475</v>
          </cell>
          <cell r="D299">
            <v>298</v>
          </cell>
          <cell r="E299">
            <v>-8.1071849123534925</v>
          </cell>
          <cell r="F299">
            <v>297</v>
          </cell>
          <cell r="G299">
            <v>-0.95760275450130816</v>
          </cell>
        </row>
        <row r="300">
          <cell r="A300" t="str">
            <v>West Georgia</v>
          </cell>
          <cell r="B300">
            <v>1.3899251097547758</v>
          </cell>
          <cell r="C300">
            <v>-8.3560199930576751</v>
          </cell>
          <cell r="D300">
            <v>297</v>
          </cell>
          <cell r="E300">
            <v>-8.1123713654873644</v>
          </cell>
          <cell r="F300">
            <v>298</v>
          </cell>
          <cell r="G300">
            <v>-0.95815328214663609</v>
          </cell>
        </row>
        <row r="301">
          <cell r="A301" t="str">
            <v>Vermont</v>
          </cell>
          <cell r="B301">
            <v>6.6626892702945142</v>
          </cell>
          <cell r="C301">
            <v>-8.6887455084107135</v>
          </cell>
          <cell r="D301">
            <v>299</v>
          </cell>
          <cell r="E301">
            <v>-8.3049596389430835</v>
          </cell>
          <cell r="F301">
            <v>300</v>
          </cell>
          <cell r="G301">
            <v>-0.97859599433677025</v>
          </cell>
        </row>
        <row r="302">
          <cell r="A302" t="str">
            <v>Norfolk State</v>
          </cell>
          <cell r="B302">
            <v>5.436743031004343</v>
          </cell>
          <cell r="C302">
            <v>-9.076757006694379</v>
          </cell>
          <cell r="D302">
            <v>300</v>
          </cell>
          <cell r="E302">
            <v>-8.7139195057519103</v>
          </cell>
          <cell r="F302">
            <v>301</v>
          </cell>
          <cell r="G302">
            <v>-1.0220059522977396</v>
          </cell>
        </row>
        <row r="303">
          <cell r="A303" t="str">
            <v>Albany</v>
          </cell>
          <cell r="B303">
            <v>4.3879801597093353</v>
          </cell>
          <cell r="C303">
            <v>-9.1254103200897863</v>
          </cell>
          <cell r="D303">
            <v>301</v>
          </cell>
          <cell r="E303">
            <v>-8.7875755580948081</v>
          </cell>
          <cell r="F303">
            <v>303</v>
          </cell>
          <cell r="G303">
            <v>-1.029824338392018</v>
          </cell>
        </row>
        <row r="304">
          <cell r="A304" t="str">
            <v>UTSA</v>
          </cell>
          <cell r="B304">
            <v>7.437046694316864</v>
          </cell>
          <cell r="C304">
            <v>-9.1818570625674916</v>
          </cell>
          <cell r="D304">
            <v>302</v>
          </cell>
          <cell r="E304">
            <v>-8.7663844686453825</v>
          </cell>
          <cell r="F304">
            <v>302</v>
          </cell>
          <cell r="G304">
            <v>-1.027574962898709</v>
          </cell>
        </row>
        <row r="305">
          <cell r="A305" t="str">
            <v>Louisiana</v>
          </cell>
          <cell r="B305">
            <v>1.3462760774168561</v>
          </cell>
          <cell r="C305">
            <v>-9.253449449610212</v>
          </cell>
          <cell r="D305">
            <v>304</v>
          </cell>
          <cell r="E305">
            <v>-8.9884563114345362</v>
          </cell>
          <cell r="F305">
            <v>304</v>
          </cell>
          <cell r="G305">
            <v>-1.0511472743702857</v>
          </cell>
        </row>
        <row r="306">
          <cell r="A306" t="str">
            <v>Mercyhurst</v>
          </cell>
          <cell r="B306">
            <v>0.12893557395795002</v>
          </cell>
          <cell r="C306">
            <v>-9.2303741234768708</v>
          </cell>
          <cell r="D306">
            <v>303</v>
          </cell>
          <cell r="E306">
            <v>-8.9963913810410006</v>
          </cell>
          <cell r="F306">
            <v>305</v>
          </cell>
          <cell r="G306">
            <v>-1.051989560046682</v>
          </cell>
        </row>
        <row r="307">
          <cell r="A307" t="str">
            <v>Georgia State</v>
          </cell>
          <cell r="B307">
            <v>4.2236427966317782</v>
          </cell>
          <cell r="C307">
            <v>-9.3613569623113229</v>
          </cell>
          <cell r="D307">
            <v>305</v>
          </cell>
          <cell r="E307">
            <v>-9.021731968337745</v>
          </cell>
          <cell r="F307">
            <v>306</v>
          </cell>
          <cell r="G307">
            <v>-1.0546793932516898</v>
          </cell>
        </row>
        <row r="308">
          <cell r="A308" t="str">
            <v>UMBC</v>
          </cell>
          <cell r="B308">
            <v>3.041554422080345</v>
          </cell>
          <cell r="C308">
            <v>-9.4966620353740492</v>
          </cell>
          <cell r="D308">
            <v>306</v>
          </cell>
          <cell r="E308">
            <v>-8.1832066239376893</v>
          </cell>
          <cell r="F308">
            <v>299</v>
          </cell>
          <cell r="G308">
            <v>-0.96567224877648494</v>
          </cell>
        </row>
        <row r="309">
          <cell r="A309" t="str">
            <v>Marist</v>
          </cell>
          <cell r="B309">
            <v>8.0528738547149157</v>
          </cell>
          <cell r="C309">
            <v>-9.8555875903401677</v>
          </cell>
          <cell r="D309">
            <v>307</v>
          </cell>
          <cell r="E309">
            <v>-9.4078760542137889</v>
          </cell>
          <cell r="F309">
            <v>307</v>
          </cell>
          <cell r="G309">
            <v>-1.0956675192151399</v>
          </cell>
        </row>
        <row r="310">
          <cell r="A310" t="str">
            <v>Boston University</v>
          </cell>
          <cell r="B310">
            <v>7.3510399785875897</v>
          </cell>
          <cell r="C310">
            <v>-10.154032119678524</v>
          </cell>
          <cell r="D310">
            <v>309</v>
          </cell>
          <cell r="E310">
            <v>-9.7164053172218718</v>
          </cell>
          <cell r="F310">
            <v>308</v>
          </cell>
          <cell r="G310">
            <v>-1.1284170465499836</v>
          </cell>
        </row>
        <row r="311">
          <cell r="A311" t="str">
            <v>North Florida</v>
          </cell>
          <cell r="B311">
            <v>2.865313312896669</v>
          </cell>
          <cell r="C311">
            <v>-10.131198159592547</v>
          </cell>
          <cell r="D311">
            <v>308</v>
          </cell>
          <cell r="E311">
            <v>-9.8062853727803159</v>
          </cell>
          <cell r="F311">
            <v>309</v>
          </cell>
          <cell r="G311">
            <v>-1.1379575656815235</v>
          </cell>
        </row>
        <row r="312">
          <cell r="A312" t="str">
            <v>Stetson</v>
          </cell>
          <cell r="B312">
            <v>-0.67774691316149105</v>
          </cell>
          <cell r="C312">
            <v>-10.307344868702438</v>
          </cell>
          <cell r="D312">
            <v>310</v>
          </cell>
          <cell r="E312">
            <v>-10.066604919813914</v>
          </cell>
          <cell r="F312">
            <v>310</v>
          </cell>
          <cell r="G312">
            <v>-1.1655897650983666</v>
          </cell>
        </row>
        <row r="313">
          <cell r="A313" t="str">
            <v>VMI</v>
          </cell>
          <cell r="B313">
            <v>2.3097739189960778</v>
          </cell>
          <cell r="C313">
            <v>-10.487082737130024</v>
          </cell>
          <cell r="D313">
            <v>312</v>
          </cell>
          <cell r="E313">
            <v>-10.167161320726871</v>
          </cell>
          <cell r="F313">
            <v>311</v>
          </cell>
          <cell r="G313">
            <v>-1.1762635487397779</v>
          </cell>
        </row>
        <row r="314">
          <cell r="A314" t="str">
            <v>Kansas City</v>
          </cell>
          <cell r="B314">
            <v>0.25734278902593138</v>
          </cell>
          <cell r="C314">
            <v>-10.469595536408978</v>
          </cell>
          <cell r="D314">
            <v>311</v>
          </cell>
          <cell r="E314">
            <v>-10.201422078273106</v>
          </cell>
          <cell r="F314">
            <v>312</v>
          </cell>
          <cell r="G314">
            <v>-1.1799002333279218</v>
          </cell>
        </row>
        <row r="315">
          <cell r="A315" t="str">
            <v>Merrimack</v>
          </cell>
          <cell r="B315">
            <v>7.051953563983175</v>
          </cell>
          <cell r="C315">
            <v>-10.690244442854429</v>
          </cell>
          <cell r="D315">
            <v>315</v>
          </cell>
          <cell r="E315">
            <v>-10.246689492683487</v>
          </cell>
          <cell r="F315">
            <v>313</v>
          </cell>
          <cell r="G315">
            <v>-1.1847052440784633</v>
          </cell>
        </row>
        <row r="316">
          <cell r="A316" t="str">
            <v>Quinnipiac</v>
          </cell>
          <cell r="B316">
            <v>5.6548105336735999</v>
          </cell>
          <cell r="C316">
            <v>-10.662825634312281</v>
          </cell>
          <cell r="D316">
            <v>314</v>
          </cell>
          <cell r="E316">
            <v>-10.254884730112632</v>
          </cell>
          <cell r="F316">
            <v>314</v>
          </cell>
          <cell r="G316">
            <v>-1.1855751458491564</v>
          </cell>
        </row>
        <row r="317">
          <cell r="A317" t="str">
            <v>Southern Indiana</v>
          </cell>
          <cell r="B317">
            <v>3.1110757061181658</v>
          </cell>
          <cell r="C317">
            <v>-10.64989592099804</v>
          </cell>
          <cell r="D317">
            <v>313</v>
          </cell>
          <cell r="E317">
            <v>-10.305871630320134</v>
          </cell>
          <cell r="F317">
            <v>315</v>
          </cell>
          <cell r="G317">
            <v>-1.1909872641869257</v>
          </cell>
        </row>
        <row r="318">
          <cell r="A318" t="str">
            <v>Saint Peter's</v>
          </cell>
          <cell r="B318">
            <v>4.0669347086210985</v>
          </cell>
          <cell r="C318">
            <v>-10.698494748372468</v>
          </cell>
          <cell r="D318">
            <v>316</v>
          </cell>
          <cell r="E318">
            <v>-10.329359011947629</v>
          </cell>
          <cell r="F318">
            <v>316</v>
          </cell>
          <cell r="G318">
            <v>-1.1934803847393622</v>
          </cell>
        </row>
        <row r="319">
          <cell r="A319" t="str">
            <v>Lehigh Mountain</v>
          </cell>
          <cell r="B319">
            <v>3.6949409526490777</v>
          </cell>
          <cell r="C319">
            <v>-10.718077557738333</v>
          </cell>
          <cell r="D319">
            <v>317</v>
          </cell>
          <cell r="E319">
            <v>-10.357752094978649</v>
          </cell>
          <cell r="F319">
            <v>317</v>
          </cell>
          <cell r="G319">
            <v>-1.1964942319180025</v>
          </cell>
        </row>
        <row r="320">
          <cell r="A320" t="str">
            <v>Siena</v>
          </cell>
          <cell r="B320">
            <v>9.4070441913861114</v>
          </cell>
          <cell r="C320">
            <v>-11.018601338641448</v>
          </cell>
          <cell r="D320">
            <v>318</v>
          </cell>
          <cell r="E320">
            <v>-10.507960200390759</v>
          </cell>
          <cell r="F320">
            <v>318</v>
          </cell>
          <cell r="G320">
            <v>-1.212438406568237</v>
          </cell>
        </row>
        <row r="321">
          <cell r="A321" t="str">
            <v>Central Connecticut</v>
          </cell>
          <cell r="B321">
            <v>6.4606220782581207</v>
          </cell>
          <cell r="C321">
            <v>-11.184595268291142</v>
          </cell>
          <cell r="D321">
            <v>321</v>
          </cell>
          <cell r="E321">
            <v>-10.74346483462741</v>
          </cell>
          <cell r="F321">
            <v>319</v>
          </cell>
          <cell r="G321">
            <v>-1.2374365716732874</v>
          </cell>
        </row>
        <row r="322">
          <cell r="A322" t="str">
            <v>Prairie View A&amp;M</v>
          </cell>
          <cell r="B322">
            <v>0.35459686654895983</v>
          </cell>
          <cell r="C322">
            <v>-11.032870012263508</v>
          </cell>
          <cell r="D322">
            <v>319</v>
          </cell>
          <cell r="E322">
            <v>-10.748183340293197</v>
          </cell>
          <cell r="F322">
            <v>320</v>
          </cell>
          <cell r="G322">
            <v>-1.2379374279900421</v>
          </cell>
        </row>
        <row r="323">
          <cell r="A323" t="str">
            <v>UMass Lowell</v>
          </cell>
          <cell r="B323">
            <v>2.5368504732789625</v>
          </cell>
          <cell r="C323">
            <v>-11.125994578041592</v>
          </cell>
          <cell r="D323">
            <v>320</v>
          </cell>
          <cell r="E323">
            <v>-10.784423451758578</v>
          </cell>
          <cell r="F323">
            <v>321</v>
          </cell>
          <cell r="G323">
            <v>-1.2417842155183363</v>
          </cell>
        </row>
        <row r="324">
          <cell r="A324" t="str">
            <v>Fairfield</v>
          </cell>
          <cell r="B324">
            <v>2.7841993056044969</v>
          </cell>
          <cell r="C324">
            <v>-11.462916135056833</v>
          </cell>
          <cell r="D324">
            <v>322</v>
          </cell>
          <cell r="E324">
            <v>-11.106738249040299</v>
          </cell>
          <cell r="F324">
            <v>322</v>
          </cell>
          <cell r="G324">
            <v>-1.2759970391613429</v>
          </cell>
        </row>
        <row r="325">
          <cell r="A325" t="str">
            <v>Loyola (MD)</v>
          </cell>
          <cell r="B325">
            <v>4.7301769467469432</v>
          </cell>
          <cell r="C325">
            <v>-11.602578220235255</v>
          </cell>
          <cell r="D325">
            <v>324</v>
          </cell>
          <cell r="E325">
            <v>-11.1942593410607</v>
          </cell>
          <cell r="F325">
            <v>323</v>
          </cell>
          <cell r="G325">
            <v>-1.2852871608423531</v>
          </cell>
        </row>
        <row r="326">
          <cell r="A326" t="str">
            <v>Wagner</v>
          </cell>
          <cell r="B326">
            <v>-3.2143612197228788</v>
          </cell>
          <cell r="C326">
            <v>-11.478455770520238</v>
          </cell>
          <cell r="D326">
            <v>323</v>
          </cell>
          <cell r="E326">
            <v>-11.271853406750305</v>
          </cell>
          <cell r="F326">
            <v>324</v>
          </cell>
          <cell r="G326">
            <v>-1.2935235561539278</v>
          </cell>
        </row>
        <row r="327">
          <cell r="A327" t="str">
            <v>North Alabama</v>
          </cell>
          <cell r="B327">
            <v>7.6133101191911416</v>
          </cell>
          <cell r="C327">
            <v>-11.91527875751402</v>
          </cell>
          <cell r="D327">
            <v>325</v>
          </cell>
          <cell r="E327">
            <v>-11.427064035596391</v>
          </cell>
          <cell r="F327">
            <v>325</v>
          </cell>
          <cell r="G327">
            <v>-1.3099987348209188</v>
          </cell>
        </row>
        <row r="328">
          <cell r="A328" t="str">
            <v>Iona</v>
          </cell>
          <cell r="B328">
            <v>6.0918722633607372</v>
          </cell>
          <cell r="C328">
            <v>-11.938989830508037</v>
          </cell>
          <cell r="D328">
            <v>326</v>
          </cell>
          <cell r="E328">
            <v>-11.488218278161316</v>
          </cell>
          <cell r="F328">
            <v>326</v>
          </cell>
          <cell r="G328">
            <v>-1.3164900884092141</v>
          </cell>
        </row>
        <row r="329">
          <cell r="A329" t="str">
            <v>Gardner-Webb</v>
          </cell>
          <cell r="B329">
            <v>3.34020568035772</v>
          </cell>
          <cell r="C329">
            <v>-12.257420401458353</v>
          </cell>
          <cell r="D329">
            <v>328</v>
          </cell>
          <cell r="E329">
            <v>-11.867479749412949</v>
          </cell>
          <cell r="F329">
            <v>327</v>
          </cell>
          <cell r="G329">
            <v>-1.3567476438796753</v>
          </cell>
        </row>
        <row r="330">
          <cell r="A330" t="str">
            <v>Fairleigh Dickinson</v>
          </cell>
          <cell r="B330">
            <v>0.40152395020027842</v>
          </cell>
          <cell r="C330">
            <v>-12.237536717983909</v>
          </cell>
          <cell r="D330">
            <v>327</v>
          </cell>
          <cell r="E330">
            <v>-11.921560201279304</v>
          </cell>
          <cell r="F330">
            <v>328</v>
          </cell>
          <cell r="G330">
            <v>-1.3624881341638384</v>
          </cell>
        </row>
        <row r="331">
          <cell r="A331" t="str">
            <v>Bethune-Cookman</v>
          </cell>
          <cell r="B331">
            <v>6.8601819199753917</v>
          </cell>
          <cell r="C331">
            <v>-12.46431183921473</v>
          </cell>
          <cell r="D331">
            <v>330</v>
          </cell>
          <cell r="E331">
            <v>-11.981199495234977</v>
          </cell>
          <cell r="F331">
            <v>329</v>
          </cell>
          <cell r="G331">
            <v>-1.3688186801502686</v>
          </cell>
        </row>
        <row r="332">
          <cell r="A332" t="str">
            <v>North Carolina Central</v>
          </cell>
          <cell r="B332">
            <v>2.8651439119599189</v>
          </cell>
          <cell r="C332">
            <v>-12.432138115227719</v>
          </cell>
          <cell r="D332">
            <v>329</v>
          </cell>
          <cell r="E332">
            <v>-12.049706064548028</v>
          </cell>
          <cell r="F332">
            <v>330</v>
          </cell>
          <cell r="G332">
            <v>-1.3760904628734372</v>
          </cell>
        </row>
        <row r="333">
          <cell r="A333" t="str">
            <v>Grambling</v>
          </cell>
          <cell r="B333">
            <v>1.3566321282868876</v>
          </cell>
          <cell r="C333">
            <v>-12.531345422005382</v>
          </cell>
          <cell r="D333">
            <v>331</v>
          </cell>
          <cell r="E333">
            <v>-12.184145983248074</v>
          </cell>
          <cell r="F333">
            <v>331</v>
          </cell>
          <cell r="G333">
            <v>-1.3903608881466665</v>
          </cell>
        </row>
        <row r="334">
          <cell r="A334" t="str">
            <v>Western Illinois</v>
          </cell>
          <cell r="B334">
            <v>-2.5397040187127153</v>
          </cell>
          <cell r="C334">
            <v>-12.579165750264739</v>
          </cell>
          <cell r="D334">
            <v>333</v>
          </cell>
          <cell r="E334">
            <v>-12.328179206975937</v>
          </cell>
          <cell r="F334">
            <v>332</v>
          </cell>
          <cell r="G334">
            <v>-1.4056496161966789</v>
          </cell>
        </row>
        <row r="335">
          <cell r="A335" t="str">
            <v>New Haven</v>
          </cell>
          <cell r="B335">
            <v>-5.2930000000000001</v>
          </cell>
          <cell r="C335">
            <v>-12.578825771557284</v>
          </cell>
          <cell r="D335">
            <v>332</v>
          </cell>
          <cell r="E335">
            <v>-12.396680127268352</v>
          </cell>
          <cell r="F335">
            <v>333</v>
          </cell>
          <cell r="G335">
            <v>-1.4129207992919421</v>
          </cell>
        </row>
        <row r="336">
          <cell r="A336" t="str">
            <v>Chicago State</v>
          </cell>
          <cell r="B336">
            <v>-0.49518354088141603</v>
          </cell>
          <cell r="C336">
            <v>-12.896314835782082</v>
          </cell>
          <cell r="D336">
            <v>334</v>
          </cell>
          <cell r="E336">
            <v>-12.586286553409565</v>
          </cell>
          <cell r="F336">
            <v>334</v>
          </cell>
          <cell r="G336">
            <v>-1.4330469966426647</v>
          </cell>
        </row>
        <row r="337">
          <cell r="A337" t="str">
            <v>Alabama State</v>
          </cell>
          <cell r="B337">
            <v>3.1129567794137207</v>
          </cell>
          <cell r="C337">
            <v>-13.02715924964277</v>
          </cell>
          <cell r="D337">
            <v>335</v>
          </cell>
          <cell r="E337">
            <v>-12.623656348916358</v>
          </cell>
          <cell r="F337">
            <v>335</v>
          </cell>
          <cell r="G337">
            <v>-1.4370136970052658</v>
          </cell>
        </row>
        <row r="338">
          <cell r="A338" t="str">
            <v>Texas Southern</v>
          </cell>
          <cell r="B338">
            <v>1.0954485835368148</v>
          </cell>
          <cell r="C338">
            <v>-13.128326999428349</v>
          </cell>
          <cell r="D338">
            <v>337</v>
          </cell>
          <cell r="E338">
            <v>-12.77273260985422</v>
          </cell>
          <cell r="F338">
            <v>336</v>
          </cell>
          <cell r="G338">
            <v>-1.4528377294972272</v>
          </cell>
        </row>
        <row r="339">
          <cell r="A339" t="str">
            <v>Alabama A&amp;M</v>
          </cell>
          <cell r="B339">
            <v>-9.9882025662743068E-2</v>
          </cell>
          <cell r="C339">
            <v>-13.103316758423199</v>
          </cell>
          <cell r="D339">
            <v>336</v>
          </cell>
          <cell r="E339">
            <v>-12.778230890104188</v>
          </cell>
          <cell r="F339">
            <v>337</v>
          </cell>
          <cell r="G339">
            <v>-1.4534213567278678</v>
          </cell>
        </row>
        <row r="340">
          <cell r="A340" t="str">
            <v>Mount St. Mary's</v>
          </cell>
          <cell r="B340">
            <v>5.2742780940604961</v>
          </cell>
          <cell r="C340">
            <v>-13.284450614641239</v>
          </cell>
          <cell r="D340">
            <v>340</v>
          </cell>
          <cell r="E340">
            <v>-12.820482396923696</v>
          </cell>
          <cell r="F340">
            <v>338</v>
          </cell>
          <cell r="G340">
            <v>-1.4579062372349318</v>
          </cell>
        </row>
        <row r="341">
          <cell r="A341" t="str">
            <v>NJIT</v>
          </cell>
          <cell r="B341">
            <v>-0.69529800022591692</v>
          </cell>
          <cell r="C341">
            <v>-13.167619491017081</v>
          </cell>
          <cell r="D341">
            <v>338</v>
          </cell>
          <cell r="E341">
            <v>-12.855811453747302</v>
          </cell>
          <cell r="F341">
            <v>339</v>
          </cell>
          <cell r="G341">
            <v>-1.4616563188345779</v>
          </cell>
        </row>
        <row r="342">
          <cell r="A342" t="str">
            <v>Arkansas-Pine Bluff</v>
          </cell>
          <cell r="B342">
            <v>-4.6035883704208791</v>
          </cell>
          <cell r="C342">
            <v>-13.172791349476928</v>
          </cell>
          <cell r="D342">
            <v>339</v>
          </cell>
          <cell r="E342">
            <v>-12.958561275000525</v>
          </cell>
          <cell r="F342">
            <v>340</v>
          </cell>
          <cell r="G342">
            <v>-1.472562927974258</v>
          </cell>
        </row>
        <row r="343">
          <cell r="A343" t="str">
            <v>Morgan State</v>
          </cell>
          <cell r="B343">
            <v>0.79234271298094627</v>
          </cell>
          <cell r="C343">
            <v>-13.362185762440253</v>
          </cell>
          <cell r="D343">
            <v>341</v>
          </cell>
          <cell r="E343">
            <v>-13.008322550554722</v>
          </cell>
          <cell r="F343">
            <v>341</v>
          </cell>
          <cell r="G343">
            <v>-1.4778449496473081</v>
          </cell>
        </row>
        <row r="344">
          <cell r="A344" t="str">
            <v>Lafayette</v>
          </cell>
          <cell r="B344">
            <v>4.7436684030150609</v>
          </cell>
          <cell r="C344">
            <v>-13.535654034427344</v>
          </cell>
          <cell r="D344">
            <v>343</v>
          </cell>
          <cell r="E344">
            <v>-13.078670973491283</v>
          </cell>
          <cell r="F344">
            <v>342</v>
          </cell>
          <cell r="G344">
            <v>-1.4853122400348124</v>
          </cell>
        </row>
        <row r="345">
          <cell r="A345" t="str">
            <v>Army</v>
          </cell>
          <cell r="B345">
            <v>0.66986875819249847</v>
          </cell>
          <cell r="C345">
            <v>-13.501791661692582</v>
          </cell>
          <cell r="D345">
            <v>342</v>
          </cell>
          <cell r="E345">
            <v>-13.147500151195455</v>
          </cell>
          <cell r="F345">
            <v>343</v>
          </cell>
          <cell r="G345">
            <v>-1.4926182667457975</v>
          </cell>
        </row>
        <row r="346">
          <cell r="A346" t="str">
            <v>Bucknell</v>
          </cell>
          <cell r="B346">
            <v>7.7294375300092817</v>
          </cell>
          <cell r="C346">
            <v>-13.76988638352133</v>
          </cell>
          <cell r="D346">
            <v>345</v>
          </cell>
          <cell r="E346">
            <v>-13.232403285683064</v>
          </cell>
          <cell r="F346">
            <v>344</v>
          </cell>
          <cell r="G346">
            <v>-1.5016304994805674</v>
          </cell>
        </row>
        <row r="347">
          <cell r="A347" t="str">
            <v>St. Francis (PA)</v>
          </cell>
          <cell r="B347">
            <v>0.63558395070084839</v>
          </cell>
          <cell r="C347">
            <v>-13.631042348688933</v>
          </cell>
          <cell r="D347">
            <v>344</v>
          </cell>
          <cell r="E347">
            <v>-13.274376691204189</v>
          </cell>
          <cell r="F347">
            <v>345</v>
          </cell>
          <cell r="G347">
            <v>-1.5060858603045244</v>
          </cell>
        </row>
        <row r="348">
          <cell r="A348" t="str">
            <v>New Hampshire</v>
          </cell>
          <cell r="B348">
            <v>-2.3238898054954618</v>
          </cell>
          <cell r="C348">
            <v>-14.079742510587014</v>
          </cell>
          <cell r="D348">
            <v>346</v>
          </cell>
          <cell r="E348">
            <v>-13.785846192959724</v>
          </cell>
          <cell r="F348">
            <v>346</v>
          </cell>
          <cell r="G348">
            <v>-1.5603769322935142</v>
          </cell>
        </row>
        <row r="349">
          <cell r="A349" t="str">
            <v>Holy Cross</v>
          </cell>
          <cell r="B349">
            <v>3.9101987006149983</v>
          </cell>
          <cell r="C349">
            <v>-14.474677460488948</v>
          </cell>
          <cell r="D349">
            <v>347</v>
          </cell>
          <cell r="E349">
            <v>-14.01505555646135</v>
          </cell>
          <cell r="F349">
            <v>347</v>
          </cell>
          <cell r="G349">
            <v>-1.58470687183381</v>
          </cell>
        </row>
        <row r="350">
          <cell r="A350" t="str">
            <v>Florida A&amp;M</v>
          </cell>
          <cell r="B350">
            <v>3.0005176972413556</v>
          </cell>
          <cell r="C350">
            <v>-14.768415792022697</v>
          </cell>
          <cell r="D350">
            <v>348</v>
          </cell>
          <cell r="E350">
            <v>-14.324192454791095</v>
          </cell>
          <cell r="F350">
            <v>348</v>
          </cell>
          <cell r="G350">
            <v>-1.6175208979762623</v>
          </cell>
        </row>
        <row r="351">
          <cell r="A351" t="str">
            <v>Stonehill</v>
          </cell>
          <cell r="B351">
            <v>4.0222593156715423</v>
          </cell>
          <cell r="C351">
            <v>-14.921602497526056</v>
          </cell>
          <cell r="D351">
            <v>349</v>
          </cell>
          <cell r="E351">
            <v>-14.448005952196116</v>
          </cell>
          <cell r="F351">
            <v>349</v>
          </cell>
          <cell r="G351">
            <v>-1.6306633580403571</v>
          </cell>
        </row>
        <row r="352">
          <cell r="A352" t="str">
            <v>Maryland-Eastern Shore</v>
          </cell>
          <cell r="B352">
            <v>-7.46150564686896</v>
          </cell>
          <cell r="C352">
            <v>-15.248793778785394</v>
          </cell>
          <cell r="D352">
            <v>350</v>
          </cell>
          <cell r="E352">
            <v>-15.054111575487484</v>
          </cell>
          <cell r="F352">
            <v>351</v>
          </cell>
          <cell r="G352">
            <v>-1.6949997924007605</v>
          </cell>
        </row>
        <row r="353">
          <cell r="A353" t="str">
            <v>South Carolina State</v>
          </cell>
          <cell r="B353">
            <v>4.3558095170739604</v>
          </cell>
          <cell r="C353">
            <v>-15.557628109389473</v>
          </cell>
          <cell r="D353">
            <v>351</v>
          </cell>
          <cell r="E353">
            <v>-15.059792168727887</v>
          </cell>
          <cell r="F353">
            <v>352</v>
          </cell>
          <cell r="G353">
            <v>-1.6956027716507378</v>
          </cell>
        </row>
        <row r="354">
          <cell r="A354" t="str">
            <v>Sacred Heart</v>
          </cell>
          <cell r="B354">
            <v>9.1931430242842236</v>
          </cell>
          <cell r="C354">
            <v>-15.652577748775153</v>
          </cell>
          <cell r="D354">
            <v>352</v>
          </cell>
          <cell r="E354">
            <v>-15.031434729448668</v>
          </cell>
          <cell r="F354">
            <v>350</v>
          </cell>
          <cell r="G354">
            <v>-1.6925927079576981</v>
          </cell>
        </row>
        <row r="355">
          <cell r="A355" t="str">
            <v>Bryant</v>
          </cell>
          <cell r="B355">
            <v>4.5913220131176402</v>
          </cell>
          <cell r="C355">
            <v>-16.046944408611047</v>
          </cell>
          <cell r="D355">
            <v>353</v>
          </cell>
          <cell r="E355">
            <v>-15.530987748067828</v>
          </cell>
          <cell r="F355">
            <v>353</v>
          </cell>
          <cell r="G355">
            <v>-1.7456188782436697</v>
          </cell>
        </row>
        <row r="356">
          <cell r="A356" t="str">
            <v>Maine</v>
          </cell>
          <cell r="B356">
            <v>4.6720520639147853</v>
          </cell>
          <cell r="C356">
            <v>-16.349417168892639</v>
          </cell>
          <cell r="D356">
            <v>354</v>
          </cell>
          <cell r="E356">
            <v>-15.823880438072454</v>
          </cell>
          <cell r="F356">
            <v>354</v>
          </cell>
          <cell r="G356">
            <v>-1.7767086266324021</v>
          </cell>
        </row>
        <row r="357">
          <cell r="A357" t="str">
            <v>UL Monroe</v>
          </cell>
          <cell r="B357">
            <v>-1.7780745876225708</v>
          </cell>
          <cell r="C357">
            <v>-16.393627319106599</v>
          </cell>
          <cell r="D357">
            <v>355</v>
          </cell>
          <cell r="E357">
            <v>-16.028238500819498</v>
          </cell>
          <cell r="F357">
            <v>355</v>
          </cell>
          <cell r="G357">
            <v>-1.7984006693799153</v>
          </cell>
        </row>
        <row r="358">
          <cell r="A358" t="str">
            <v>Canisius</v>
          </cell>
          <cell r="B358">
            <v>1.1369916175008097</v>
          </cell>
          <cell r="C358">
            <v>-17.773842929028525</v>
          </cell>
          <cell r="D358">
            <v>356</v>
          </cell>
          <cell r="E358">
            <v>-17.301072065365293</v>
          </cell>
          <cell r="F358">
            <v>356</v>
          </cell>
          <cell r="G358">
            <v>-1.9335084293647664</v>
          </cell>
        </row>
        <row r="359">
          <cell r="A359" t="str">
            <v>Niagara</v>
          </cell>
          <cell r="B359">
            <v>1.7378405053987651</v>
          </cell>
          <cell r="C359">
            <v>-17.95177483343311</v>
          </cell>
          <cell r="D359">
            <v>357</v>
          </cell>
          <cell r="E359">
            <v>-17.459534449962312</v>
          </cell>
          <cell r="F359">
            <v>357</v>
          </cell>
          <cell r="G359">
            <v>-1.950328772904655</v>
          </cell>
        </row>
        <row r="360">
          <cell r="A360" t="str">
            <v>Manhatten</v>
          </cell>
          <cell r="B360">
            <v>7.2105478827849216</v>
          </cell>
          <cell r="C360">
            <v>-18.344865420618799</v>
          </cell>
          <cell r="D360">
            <v>358</v>
          </cell>
          <cell r="E360">
            <v>-17.705980088033705</v>
          </cell>
          <cell r="F360">
            <v>358</v>
          </cell>
          <cell r="G360">
            <v>-1.9764882952847433</v>
          </cell>
        </row>
        <row r="361">
          <cell r="A361" t="str">
            <v>Jackson State</v>
          </cell>
          <cell r="B361">
            <v>5.3578616105493566</v>
          </cell>
          <cell r="C361">
            <v>-18.384709233507117</v>
          </cell>
          <cell r="D361">
            <v>359</v>
          </cell>
          <cell r="E361">
            <v>-17.791144962405706</v>
          </cell>
          <cell r="F361">
            <v>359</v>
          </cell>
          <cell r="G361">
            <v>-1.9855283109838096</v>
          </cell>
        </row>
        <row r="362">
          <cell r="A362" t="str">
            <v>Rider</v>
          </cell>
          <cell r="B362">
            <v>3.9136887287158708</v>
          </cell>
          <cell r="C362">
            <v>-18.879251907227513</v>
          </cell>
          <cell r="D362">
            <v>360</v>
          </cell>
          <cell r="E362">
            <v>-18.309428391328929</v>
          </cell>
          <cell r="F362">
            <v>360</v>
          </cell>
          <cell r="G362">
            <v>-2.040542662482367</v>
          </cell>
        </row>
        <row r="363">
          <cell r="A363" t="str">
            <v>Delaware State</v>
          </cell>
          <cell r="B363">
            <v>1.6756310890303849</v>
          </cell>
          <cell r="C363">
            <v>-20.415923516606902</v>
          </cell>
          <cell r="D363">
            <v>362</v>
          </cell>
          <cell r="E363">
            <v>-19.863634651465969</v>
          </cell>
          <cell r="F363">
            <v>361</v>
          </cell>
          <cell r="G363">
            <v>-2.2055173553334946</v>
          </cell>
        </row>
        <row r="364">
          <cell r="A364" t="str">
            <v>Binghamton</v>
          </cell>
          <cell r="B364">
            <v>-0.20716602569142617</v>
          </cell>
          <cell r="C364">
            <v>-20.398726518357449</v>
          </cell>
          <cell r="D364">
            <v>361</v>
          </cell>
          <cell r="E364">
            <v>-19.893937506040796</v>
          </cell>
          <cell r="F364">
            <v>362</v>
          </cell>
          <cell r="G364">
            <v>-2.2087339194757298</v>
          </cell>
        </row>
        <row r="365">
          <cell r="A365" t="str">
            <v>Alcorn State</v>
          </cell>
          <cell r="B365">
            <v>0.85539572328334845</v>
          </cell>
          <cell r="C365">
            <v>-20.467251708197207</v>
          </cell>
          <cell r="D365">
            <v>363</v>
          </cell>
          <cell r="E365">
            <v>-19.934185522410193</v>
          </cell>
          <cell r="F365">
            <v>363</v>
          </cell>
          <cell r="G365">
            <v>-2.2130061350166859</v>
          </cell>
        </row>
        <row r="366">
          <cell r="A366" t="str">
            <v>Coppin State</v>
          </cell>
          <cell r="B366">
            <v>-3.5837178026593812</v>
          </cell>
          <cell r="C366">
            <v>-20.498087012206661</v>
          </cell>
          <cell r="D366">
            <v>364</v>
          </cell>
          <cell r="E366">
            <v>-20.075227781967978</v>
          </cell>
          <cell r="F366">
            <v>364</v>
          </cell>
          <cell r="G366">
            <v>-2.227977380498301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-23.543871630067695</v>
          </cell>
          <cell r="D367">
            <v>365</v>
          </cell>
          <cell r="E367">
            <v>-23.310824408249996</v>
          </cell>
          <cell r="F367">
            <v>365</v>
          </cell>
          <cell r="G367">
            <v>-2.5714270070388312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K23"/>
  <sheetViews>
    <sheetView workbookViewId="0">
      <selection activeCell="J4" sqref="J4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1" x14ac:dyDescent="0.2">
      <c r="A1" s="1" t="s">
        <v>373</v>
      </c>
      <c r="B1" s="1" t="s">
        <v>0</v>
      </c>
      <c r="C1" s="1" t="s">
        <v>368</v>
      </c>
      <c r="D1" s="1" t="s">
        <v>403</v>
      </c>
      <c r="E1" s="1" t="s">
        <v>369</v>
      </c>
      <c r="F1" s="1" t="s">
        <v>404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</row>
    <row r="2" spans="1:11" x14ac:dyDescent="0.2">
      <c r="A2" s="1">
        <v>20</v>
      </c>
      <c r="B2" s="6" t="str">
        <f>VLOOKUP(A2,[1]Games!$B$2:$K$398,2,FALSE)</f>
        <v>Uconn</v>
      </c>
      <c r="C2" s="6" t="str">
        <f>VLOOKUP(A2,[1]Games!$B$2:$K$398,3,FALSE)</f>
        <v>Georgetown</v>
      </c>
      <c r="D2" s="6" t="str">
        <f>B2</f>
        <v>Uconn</v>
      </c>
      <c r="E2" s="5">
        <f>VLOOKUP(A2,[1]Games!$B$2:$K$398,4,FALSE)</f>
        <v>20.613706983984411</v>
      </c>
      <c r="F2" s="5">
        <f>-VLOOKUP(A2,[2]Games!$A$2:$X$300,24,FALSE)</f>
        <v>13.5</v>
      </c>
      <c r="G2" s="7">
        <f>VLOOKUP(A2,[1]Games!$B$2:$K$398,9,FALSE)</f>
        <v>0.81188968831837982</v>
      </c>
      <c r="H2" s="7">
        <f>VLOOKUP(A2,[1]Games!$B$2:$K$398,7,FALSE)</f>
        <v>6.3898928963300572E-2</v>
      </c>
      <c r="I2" s="7">
        <f>VLOOKUP(A2,[1]Games!$B$2:$K$398,8,FALSE)/4</f>
        <v>5.3351664183693449E-2</v>
      </c>
      <c r="J2" s="8" t="s">
        <v>428</v>
      </c>
      <c r="K2" s="9">
        <f>IF(J2="Yes",(H2*1500)/100,0)</f>
        <v>0</v>
      </c>
    </row>
    <row r="3" spans="1:11" x14ac:dyDescent="0.2">
      <c r="A3" s="1">
        <v>22</v>
      </c>
      <c r="B3" s="6" t="str">
        <f>VLOOKUP(A3,[1]Games!$B$2:$K$398,2,FALSE)</f>
        <v>Duke</v>
      </c>
      <c r="C3" s="6" t="str">
        <f>VLOOKUP(A3,[1]Games!$B$2:$K$398,3,FALSE)</f>
        <v>Clemson</v>
      </c>
      <c r="D3" s="6" t="str">
        <f t="shared" ref="D3:D4" si="0">B3</f>
        <v>Duke</v>
      </c>
      <c r="E3" s="5">
        <f>VLOOKUP(A3,[1]Games!$B$2:$K$398,4,FALSE)</f>
        <v>18.63736846880764</v>
      </c>
      <c r="F3" s="5">
        <f>-VLOOKUP(A3,[2]Games!$A$2:$X$300,24,FALSE)</f>
        <v>11.5</v>
      </c>
      <c r="G3" s="7">
        <f>VLOOKUP(A3,[1]Games!$B$2:$K$398,9,FALSE)</f>
        <v>0.79051542793376806</v>
      </c>
      <c r="H3" s="7">
        <f>VLOOKUP(A3,[1]Games!$B$2:$K$398,7,FALSE)</f>
        <v>6.6796767782237809E-2</v>
      </c>
      <c r="I3" s="7">
        <f>VLOOKUP(A3,[1]Games!$B$2:$K$398,8,FALSE)/4</f>
        <v>5.4998163512635152E-2</v>
      </c>
      <c r="J3" s="8" t="s">
        <v>428</v>
      </c>
      <c r="K3" s="9">
        <f t="shared" ref="K3:K4" si="1">IF(J3="Yes",(H3*1500)/100,0)</f>
        <v>0</v>
      </c>
    </row>
    <row r="4" spans="1:11" x14ac:dyDescent="0.2">
      <c r="A4" s="1">
        <v>38</v>
      </c>
      <c r="B4" s="6" t="str">
        <f>VLOOKUP(A4,[1]Games!$B$2:$K$398,2,FALSE)</f>
        <v>Davidson</v>
      </c>
      <c r="C4" s="6" t="str">
        <f>VLOOKUP(A4,[1]Games!$B$2:$K$398,3,FALSE)</f>
        <v>St. Joseph's</v>
      </c>
      <c r="D4" s="6" t="str">
        <f t="shared" ref="D4:D5" si="2">B4</f>
        <v>Davidson</v>
      </c>
      <c r="E4" s="5">
        <f>VLOOKUP(A4,[1]Games!$B$2:$K$398,4,FALSE)</f>
        <v>3.9406812253154482</v>
      </c>
      <c r="F4" s="5">
        <f>-VLOOKUP(A4,[2]Games!$A$2:$X$300,24,FALSE)</f>
        <v>-2</v>
      </c>
      <c r="G4" s="7">
        <f>VLOOKUP(A4,[1]Games!$B$2:$K$398,9,FALSE)</f>
        <v>0.46882512822335881</v>
      </c>
      <c r="H4" s="7">
        <f>VLOOKUP(A4,[1]Games!$B$2:$K$398,7,FALSE)</f>
        <v>7.1623756884621192E-2</v>
      </c>
      <c r="I4" s="7">
        <f>VLOOKUP(A4,[1]Games!$B$2:$K$398,8,FALSE)/4</f>
        <v>5.7740770957171152E-2</v>
      </c>
      <c r="J4" s="8" t="s">
        <v>393</v>
      </c>
      <c r="K4" s="9">
        <f t="shared" ref="K4:K5" si="3">IF(J4="Yes",(H4*1500)/100,0)</f>
        <v>1.0743563532693179</v>
      </c>
    </row>
    <row r="5" spans="1:11" x14ac:dyDescent="0.2">
      <c r="A5" s="1">
        <v>43</v>
      </c>
      <c r="B5" s="6" t="str">
        <f>VLOOKUP(A5,[1]Games!$B$2:$K$398,2,FALSE)</f>
        <v>Missouri State</v>
      </c>
      <c r="C5" s="6" t="str">
        <f>VLOOKUP(A5,[1]Games!$B$2:$K$398,3,FALSE)</f>
        <v>Louisiana Tech</v>
      </c>
      <c r="D5" s="6" t="str">
        <f t="shared" si="2"/>
        <v>Missouri State</v>
      </c>
      <c r="E5" s="5">
        <f>VLOOKUP(A5,[1]Games!$B$2:$K$398,4,FALSE)</f>
        <v>3.1421879785812332</v>
      </c>
      <c r="F5" s="5">
        <f>-VLOOKUP(A5,[2]Games!$A$2:$X$300,24,FALSE)</f>
        <v>-1.5</v>
      </c>
      <c r="G5" s="7">
        <f>VLOOKUP(A5,[1]Games!$B$2:$K$398,9,FALSE)</f>
        <v>0.37265385549244068</v>
      </c>
      <c r="H5" s="7">
        <f>VLOOKUP(A5,[1]Games!$B$2:$K$398,7,FALSE)</f>
        <v>4.5881118354284427E-2</v>
      </c>
      <c r="I5" s="7">
        <f>VLOOKUP(A5,[1]Games!$B$2:$K$398,8,FALSE)/4</f>
        <v>4.3114271792206997E-2</v>
      </c>
      <c r="J5" s="8" t="s">
        <v>393</v>
      </c>
      <c r="K5" s="9">
        <f t="shared" si="3"/>
        <v>0.68821677531426639</v>
      </c>
    </row>
    <row r="6" spans="1:11" x14ac:dyDescent="0.2">
      <c r="A6" s="1">
        <v>48</v>
      </c>
      <c r="B6" s="6" t="str">
        <f>VLOOKUP(A6,[1]Games!$B$2:$K$398,2,FALSE)</f>
        <v>Tennessee</v>
      </c>
      <c r="C6" s="6" t="str">
        <f>VLOOKUP(A6,[1]Games!$B$2:$K$398,3,FALSE)</f>
        <v>Vanderbilt</v>
      </c>
      <c r="D6" s="6" t="str">
        <f t="shared" ref="D6" si="4">B6</f>
        <v>Tennessee</v>
      </c>
      <c r="E6" s="5">
        <f>VLOOKUP(A6,[1]Games!$B$2:$K$398,4,FALSE)</f>
        <v>3.1650827197892308</v>
      </c>
      <c r="F6" s="5">
        <f>-VLOOKUP(A6,[2]Games!$A$2:$X$300,24,FALSE)</f>
        <v>-1.5</v>
      </c>
      <c r="G6" s="7">
        <f>VLOOKUP(A6,[1]Games!$B$2:$K$398,9,FALSE)</f>
        <v>0.37465373235659188</v>
      </c>
      <c r="H6" s="7">
        <f>VLOOKUP(A6,[1]Games!$B$2:$K$398,7,FALSE)</f>
        <v>4.6340777072442073E-2</v>
      </c>
      <c r="I6" s="7">
        <f>VLOOKUP(A6,[1]Games!$B$2:$K$398,8,FALSE)/4</f>
        <v>4.3375441518432999E-2</v>
      </c>
      <c r="J6" s="8" t="s">
        <v>393</v>
      </c>
      <c r="K6" s="9">
        <f t="shared" ref="K6" si="5">IF(J6="Yes",(H6*1500)/100,0)</f>
        <v>0.69511165608663106</v>
      </c>
    </row>
    <row r="7" spans="1:11" x14ac:dyDescent="0.2">
      <c r="E7" s="10"/>
      <c r="F7" s="10"/>
      <c r="G7" s="11"/>
      <c r="H7" s="11"/>
      <c r="I7" s="11"/>
      <c r="J7" s="11"/>
      <c r="K7" s="10"/>
    </row>
    <row r="8" spans="1:11" x14ac:dyDescent="0.2">
      <c r="E8" s="10"/>
      <c r="F8" s="10"/>
      <c r="G8" s="11"/>
      <c r="H8" s="11"/>
      <c r="I8" s="11"/>
      <c r="J8" s="11"/>
      <c r="K8" s="10"/>
    </row>
    <row r="9" spans="1:11" x14ac:dyDescent="0.2">
      <c r="E9" s="10"/>
      <c r="F9" s="10"/>
      <c r="G9" s="11"/>
      <c r="H9" s="11"/>
      <c r="I9" s="11"/>
      <c r="J9" s="11"/>
      <c r="K9" s="10"/>
    </row>
    <row r="10" spans="1:11" x14ac:dyDescent="0.2">
      <c r="E10" s="10"/>
      <c r="F10" s="10"/>
      <c r="G10" s="11"/>
      <c r="H10" s="11"/>
      <c r="I10" s="11"/>
      <c r="J10" s="11"/>
      <c r="K10" s="10"/>
    </row>
    <row r="11" spans="1:11" x14ac:dyDescent="0.2">
      <c r="E11" s="10"/>
      <c r="F11" s="10"/>
      <c r="G11" s="11"/>
      <c r="H11" s="11"/>
      <c r="I11" s="11"/>
      <c r="J11" s="11"/>
      <c r="K11" s="10"/>
    </row>
    <row r="12" spans="1:11" x14ac:dyDescent="0.2">
      <c r="E12" s="10"/>
      <c r="F12" s="10"/>
      <c r="G12" s="11"/>
      <c r="H12" s="11"/>
      <c r="I12" s="11"/>
      <c r="J12" s="11"/>
      <c r="K12" s="10"/>
    </row>
    <row r="13" spans="1:11" x14ac:dyDescent="0.2">
      <c r="E13" s="10"/>
      <c r="F13" s="10"/>
      <c r="G13" s="11"/>
      <c r="H13" s="11"/>
      <c r="I13" s="11"/>
      <c r="J13" s="11"/>
      <c r="K13" s="10"/>
    </row>
    <row r="14" spans="1:11" x14ac:dyDescent="0.2">
      <c r="E14" s="10"/>
      <c r="F14" s="10"/>
      <c r="G14" s="11"/>
      <c r="H14" s="11"/>
      <c r="I14" s="11"/>
      <c r="J14" s="11"/>
      <c r="K14" s="10"/>
    </row>
    <row r="15" spans="1:11" x14ac:dyDescent="0.2">
      <c r="E15" s="10"/>
      <c r="F15" s="10"/>
      <c r="G15" s="11"/>
      <c r="H15" s="11"/>
      <c r="I15" s="11"/>
      <c r="J15" s="11"/>
      <c r="K15" s="10"/>
    </row>
    <row r="16" spans="1:11" x14ac:dyDescent="0.2">
      <c r="E16" s="10"/>
      <c r="F16" s="10"/>
      <c r="G16" s="11"/>
      <c r="H16" s="11"/>
      <c r="I16" s="11"/>
      <c r="J16" s="11"/>
      <c r="K16" s="10"/>
    </row>
    <row r="17" spans="5:11" x14ac:dyDescent="0.2">
      <c r="E17" s="10"/>
      <c r="F17" s="10"/>
      <c r="G17" s="11"/>
      <c r="H17" s="11"/>
      <c r="I17" s="11"/>
      <c r="J17" s="11"/>
      <c r="K17" s="10"/>
    </row>
    <row r="18" spans="5:11" x14ac:dyDescent="0.2">
      <c r="E18" s="10"/>
      <c r="F18" s="10"/>
      <c r="G18" s="11"/>
      <c r="H18" s="11"/>
      <c r="I18" s="11"/>
      <c r="J18" s="11"/>
      <c r="K18" s="10"/>
    </row>
    <row r="19" spans="5:11" x14ac:dyDescent="0.2">
      <c r="E19" s="10"/>
      <c r="F19" s="10"/>
      <c r="G19" s="11"/>
      <c r="H19" s="11"/>
      <c r="I19" s="11"/>
      <c r="J19" s="11"/>
      <c r="K19" s="10"/>
    </row>
    <row r="20" spans="5:11" x14ac:dyDescent="0.2">
      <c r="E20" s="10"/>
      <c r="F20" s="10"/>
      <c r="G20" s="11"/>
      <c r="H20" s="11"/>
      <c r="I20" s="11"/>
      <c r="J20" s="11"/>
      <c r="K20" s="10"/>
    </row>
    <row r="21" spans="5:11" x14ac:dyDescent="0.2">
      <c r="E21" s="10"/>
      <c r="F21" s="10"/>
      <c r="G21" s="11"/>
      <c r="H21" s="11"/>
      <c r="I21" s="11"/>
      <c r="J21" s="11"/>
      <c r="K21" s="10"/>
    </row>
    <row r="22" spans="5:11" x14ac:dyDescent="0.2">
      <c r="E22" s="10"/>
      <c r="F22" s="10"/>
      <c r="G22" s="11"/>
      <c r="H22" s="11"/>
      <c r="I22" s="11"/>
      <c r="J22" s="11"/>
      <c r="K22" s="10"/>
    </row>
    <row r="23" spans="5:11" x14ac:dyDescent="0.2">
      <c r="E23" s="10"/>
      <c r="F23" s="10"/>
      <c r="G23" s="11"/>
      <c r="H23" s="11"/>
      <c r="I23" s="11"/>
      <c r="J23" s="11"/>
      <c r="K23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16"/>
  <sheetViews>
    <sheetView tabSelected="1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395</v>
      </c>
      <c r="F1" s="1" t="s">
        <v>396</v>
      </c>
      <c r="G1" s="1"/>
    </row>
    <row r="2" spans="1:16" x14ac:dyDescent="0.2">
      <c r="A2" s="1">
        <f>COUNTIF($C$6:$C$150,"W")</f>
        <v>2</v>
      </c>
      <c r="B2" s="1">
        <f>COUNTIF($C$6:$C$150,"L")</f>
        <v>5</v>
      </c>
      <c r="C2" s="13">
        <f>SUM(F6:F13)/SUM(E6:E13)</f>
        <v>-0.52691906581309589</v>
      </c>
      <c r="D2" s="14">
        <f>AVERAGE(H6:H150)</f>
        <v>4.1788135989584758E-2</v>
      </c>
      <c r="E2" s="1">
        <v>2</v>
      </c>
      <c r="F2" s="1">
        <v>5</v>
      </c>
    </row>
    <row r="5" spans="1:16" x14ac:dyDescent="0.2">
      <c r="A5" s="1" t="s">
        <v>394</v>
      </c>
      <c r="B5" s="1" t="s">
        <v>397</v>
      </c>
      <c r="C5" s="1" t="s">
        <v>398</v>
      </c>
      <c r="D5" s="1" t="s">
        <v>432</v>
      </c>
      <c r="E5" s="1" t="s">
        <v>402</v>
      </c>
      <c r="F5" s="1" t="s">
        <v>401</v>
      </c>
      <c r="G5" s="1" t="s">
        <v>400</v>
      </c>
      <c r="H5" s="1" t="s">
        <v>391</v>
      </c>
      <c r="I5" s="1" t="s">
        <v>399</v>
      </c>
      <c r="J5" s="1" t="s">
        <v>415</v>
      </c>
      <c r="K5" s="1" t="s">
        <v>423</v>
      </c>
      <c r="L5" s="1" t="s">
        <v>421</v>
      </c>
      <c r="M5" s="1" t="s">
        <v>422</v>
      </c>
      <c r="N5" s="1" t="s">
        <v>419</v>
      </c>
      <c r="O5" s="1" t="s">
        <v>421</v>
      </c>
      <c r="P5" s="1" t="s">
        <v>420</v>
      </c>
    </row>
    <row r="6" spans="1:16" x14ac:dyDescent="0.2">
      <c r="A6" s="1" t="s">
        <v>424</v>
      </c>
      <c r="B6" s="1">
        <v>1</v>
      </c>
      <c r="C6" s="1" t="s">
        <v>389</v>
      </c>
      <c r="D6" s="1" t="s">
        <v>439</v>
      </c>
      <c r="E6" s="1">
        <v>0.94499999999999995</v>
      </c>
      <c r="F6" s="15">
        <f>IF(C6="P",0,IF(C6="L",-E6,IF(K6&lt;0,E6*(100/-K6),E6*(K6/100)))/1)</f>
        <v>-0.94499999999999995</v>
      </c>
      <c r="G6" s="15">
        <f>F6</f>
        <v>-0.94499999999999995</v>
      </c>
      <c r="H6" s="11">
        <f>((M6-P6)*3.55%)+(O6-L6)</f>
        <v>-1.9985536081552357E-2</v>
      </c>
      <c r="I6" s="11">
        <f>H6</f>
        <v>-1.9985536081552357E-2</v>
      </c>
      <c r="J6" s="1" t="s">
        <v>416</v>
      </c>
      <c r="K6" s="1">
        <v>-112</v>
      </c>
      <c r="L6" s="13">
        <f>IF(K6&lt;0,K6/(K6-100),100/(K6+100))</f>
        <v>0.52830188679245282</v>
      </c>
      <c r="M6" s="1">
        <v>-14.5</v>
      </c>
      <c r="N6" s="1">
        <v>-111</v>
      </c>
      <c r="O6" s="13">
        <f>IF(N6&lt;0,N6/(N6-100),100/(N6+100))</f>
        <v>0.52606635071090047</v>
      </c>
      <c r="P6" s="1">
        <v>-14</v>
      </c>
    </row>
    <row r="7" spans="1:16" x14ac:dyDescent="0.2">
      <c r="A7" s="1" t="s">
        <v>426</v>
      </c>
      <c r="B7" s="1">
        <v>2</v>
      </c>
      <c r="C7" s="1" t="s">
        <v>389</v>
      </c>
      <c r="D7" s="1" t="s">
        <v>438</v>
      </c>
      <c r="E7" s="1">
        <v>0.68979999999999997</v>
      </c>
      <c r="F7" s="15">
        <f>IF(C7="P",0,IF(C7="L",-E7,IF(K7&lt;0,E7*(100/-K7),E7*(K7/100)))/1)</f>
        <v>-0.68979999999999997</v>
      </c>
      <c r="G7" s="15">
        <f>F7+G6</f>
        <v>-1.6347999999999998</v>
      </c>
      <c r="H7" s="11">
        <f>((M7-P7)*3.55%)+(O7-L7)</f>
        <v>5.3772693633062259E-3</v>
      </c>
      <c r="I7" s="11">
        <f>AVERAGE($H$6:H7)</f>
        <v>-7.3041333591230655E-3</v>
      </c>
      <c r="J7" s="1" t="s">
        <v>416</v>
      </c>
      <c r="K7" s="1">
        <v>-103</v>
      </c>
      <c r="L7" s="13">
        <f>IF(K7&lt;0,K7/(K7-100),100/(K7+100))</f>
        <v>0.5073891625615764</v>
      </c>
      <c r="M7" s="1">
        <v>3</v>
      </c>
      <c r="N7" s="1">
        <v>-113</v>
      </c>
      <c r="O7" s="13">
        <f>IF(N7&lt;0,N7/(N7-100),100/(N7+100))</f>
        <v>0.53051643192488263</v>
      </c>
      <c r="P7" s="1">
        <v>3.5</v>
      </c>
    </row>
    <row r="8" spans="1:16" x14ac:dyDescent="0.2">
      <c r="A8" s="1" t="s">
        <v>427</v>
      </c>
      <c r="B8" s="1">
        <v>3</v>
      </c>
      <c r="C8" s="1" t="s">
        <v>388</v>
      </c>
      <c r="D8" s="1" t="s">
        <v>437</v>
      </c>
      <c r="E8" s="1">
        <v>0.74019999999999997</v>
      </c>
      <c r="F8" s="15">
        <f>IF(C8="P",0,IF(C8="L",-E8,IF(K8&lt;0,E8*(100/-K8),E8*(K8/100)))/1)</f>
        <v>0.6729090909090909</v>
      </c>
      <c r="G8" s="15">
        <f>F8+G7</f>
        <v>-0.96189090909090891</v>
      </c>
      <c r="H8" s="11">
        <f>((M8-P8)*3.55%)+(O8-L8)</f>
        <v>0.10782963875205255</v>
      </c>
      <c r="I8" s="11">
        <f>AVERAGE($H$6:H8)</f>
        <v>3.1073790677935476E-2</v>
      </c>
      <c r="J8" s="1" t="s">
        <v>416</v>
      </c>
      <c r="K8" s="1">
        <v>-110</v>
      </c>
      <c r="L8" s="13">
        <f>IF(K8&lt;0,K8/(K8-100),100/(K8+100))</f>
        <v>0.52380952380952384</v>
      </c>
      <c r="M8" s="1">
        <v>2.5</v>
      </c>
      <c r="N8" s="1">
        <v>-103</v>
      </c>
      <c r="O8" s="13">
        <f>IF(N8&lt;0,N8/(N8-100),100/(N8+100))</f>
        <v>0.5073891625615764</v>
      </c>
      <c r="P8" s="1">
        <v>-1</v>
      </c>
    </row>
    <row r="9" spans="1:16" x14ac:dyDescent="0.2">
      <c r="A9" s="1" t="s">
        <v>429</v>
      </c>
      <c r="B9" s="1">
        <v>4</v>
      </c>
      <c r="C9" s="1" t="s">
        <v>388</v>
      </c>
      <c r="D9" s="1" t="s">
        <v>436</v>
      </c>
      <c r="E9" s="1">
        <v>0.67900000000000005</v>
      </c>
      <c r="F9" s="15">
        <f>IF(C9="P",0,IF(C9="L",-E9,IF(K9&lt;0,E9*(100/-K9),E9*(K9/100)))/1)</f>
        <v>0.61727272727272731</v>
      </c>
      <c r="G9" s="15">
        <f>F9+G8</f>
        <v>-0.3446181818181816</v>
      </c>
      <c r="H9" s="11">
        <f>((M9-P9)*3.55%)+(O9-L9)</f>
        <v>8.5035829865926608E-3</v>
      </c>
      <c r="I9" s="11">
        <f>AVERAGE($H$6:H9)</f>
        <v>2.5431238755099773E-2</v>
      </c>
      <c r="J9" s="1" t="s">
        <v>416</v>
      </c>
      <c r="K9" s="1">
        <v>-110</v>
      </c>
      <c r="L9" s="13">
        <f>IF(K9&lt;0,K9/(K9-100),100/(K9+100))</f>
        <v>0.52380952380952384</v>
      </c>
      <c r="M9" s="1">
        <v>4.5</v>
      </c>
      <c r="N9" s="1">
        <v>-106</v>
      </c>
      <c r="O9" s="13">
        <f>IF(N9&lt;0,N9/(N9-100),100/(N9+100))</f>
        <v>0.5145631067961165</v>
      </c>
      <c r="P9" s="1">
        <v>4</v>
      </c>
    </row>
    <row r="10" spans="1:16" x14ac:dyDescent="0.2">
      <c r="A10" s="1" t="s">
        <v>430</v>
      </c>
      <c r="B10" s="1">
        <v>5</v>
      </c>
      <c r="C10" s="1" t="s">
        <v>389</v>
      </c>
      <c r="D10" s="1" t="s">
        <v>435</v>
      </c>
      <c r="E10" s="1">
        <v>1.2898000000000001</v>
      </c>
      <c r="F10" s="15">
        <f>IF(C10="P",0,IF(C10="L",-E10,IF(K10&lt;0,E10*(100/-K10),E10*(K10/100)))/1)</f>
        <v>-1.2898000000000001</v>
      </c>
      <c r="G10" s="15">
        <f>F10+G9</f>
        <v>-1.6344181818181815</v>
      </c>
      <c r="H10" s="11">
        <f>((M10-P10)*3.55%)+(O10-L10)</f>
        <v>-3.9992362982928985E-2</v>
      </c>
      <c r="I10" s="11">
        <f>AVERAGE($H$6:H10)</f>
        <v>1.2346518407494022E-2</v>
      </c>
      <c r="J10" s="1" t="s">
        <v>416</v>
      </c>
      <c r="K10" s="1">
        <v>-112</v>
      </c>
      <c r="L10" s="13">
        <f>IF(K10&lt;0,K10/(K10-100),100/(K10+100))</f>
        <v>0.52830188679245282</v>
      </c>
      <c r="M10" s="1">
        <v>-6.5</v>
      </c>
      <c r="N10" s="1">
        <v>-110</v>
      </c>
      <c r="O10" s="13">
        <f>IF(N10&lt;0,N10/(N10-100),100/(N10+100))</f>
        <v>0.52380952380952384</v>
      </c>
      <c r="P10" s="1">
        <v>-5.5</v>
      </c>
    </row>
    <row r="11" spans="1:16" x14ac:dyDescent="0.2">
      <c r="A11" s="1" t="s">
        <v>431</v>
      </c>
      <c r="B11" s="1">
        <v>6</v>
      </c>
      <c r="C11" s="1" t="s">
        <v>389</v>
      </c>
      <c r="D11" s="1" t="s">
        <v>433</v>
      </c>
      <c r="E11" s="1">
        <v>0.68820000000000003</v>
      </c>
      <c r="F11" s="15">
        <f>IF(C11="P",0,IF(C11="L",-E11,IF(K11&lt;0,E11*(100/-K11),E11*(K11/100)))/1)</f>
        <v>-0.68820000000000003</v>
      </c>
      <c r="G11" s="15">
        <f t="shared" ref="G11:G12" si="0">F11+G10</f>
        <v>-2.3226181818181817</v>
      </c>
      <c r="H11" s="11">
        <f>((M11-P11)*3.55%)+(O11-L11)</f>
        <v>9.1028423331054986E-2</v>
      </c>
      <c r="I11" s="11">
        <f>AVERAGE($H$6:H11)</f>
        <v>2.5460169228087515E-2</v>
      </c>
      <c r="J11" s="1" t="s">
        <v>416</v>
      </c>
      <c r="K11" s="1">
        <v>-109</v>
      </c>
      <c r="L11" s="13">
        <f>IF(K11&lt;0,K11/(K11-100),100/(K11+100))</f>
        <v>0.52153110047846885</v>
      </c>
      <c r="M11" s="1">
        <v>1.5</v>
      </c>
      <c r="N11" s="1">
        <v>-110</v>
      </c>
      <c r="O11" s="13">
        <f>IF(N11&lt;0,N11/(N11-100),100/(N11+100))</f>
        <v>0.52380952380952384</v>
      </c>
      <c r="P11" s="1">
        <v>-1</v>
      </c>
    </row>
    <row r="12" spans="1:16" x14ac:dyDescent="0.2">
      <c r="A12" s="1" t="s">
        <v>431</v>
      </c>
      <c r="B12" s="1">
        <v>7</v>
      </c>
      <c r="C12" s="1" t="s">
        <v>389</v>
      </c>
      <c r="D12" s="1" t="s">
        <v>434</v>
      </c>
      <c r="E12" s="1">
        <v>0.69510000000000005</v>
      </c>
      <c r="F12" s="15">
        <f>IF(C12="P",0,IF(C12="L",-E12,IF(K12&lt;0,E12*(100/-K12),E12*(K12/100)))/1)</f>
        <v>-0.69510000000000005</v>
      </c>
      <c r="G12" s="15">
        <f t="shared" si="0"/>
        <v>-3.0177181818181817</v>
      </c>
      <c r="H12" s="11">
        <f>((M12-P12)*3.55%)+(O12-L12)</f>
        <v>0.13975593655856822</v>
      </c>
      <c r="I12" s="11">
        <f>AVERAGE($H$6:H12)</f>
        <v>4.1788135989584758E-2</v>
      </c>
      <c r="J12" s="1" t="s">
        <v>416</v>
      </c>
      <c r="K12" s="1">
        <v>-109</v>
      </c>
      <c r="L12" s="13">
        <f>IF(K12&lt;0,K12/(K12-100),100/(K12+100))</f>
        <v>0.52153110047846885</v>
      </c>
      <c r="M12" s="1">
        <v>1.5</v>
      </c>
      <c r="N12" s="1">
        <v>-116</v>
      </c>
      <c r="O12" s="13">
        <f>IF(N12&lt;0,N12/(N12-100),100/(N12+100))</f>
        <v>0.53703703703703709</v>
      </c>
      <c r="P12" s="1">
        <v>-2</v>
      </c>
    </row>
    <row r="13" spans="1:16" x14ac:dyDescent="0.2">
      <c r="F13" s="15"/>
      <c r="G13" s="15"/>
      <c r="H13" s="11"/>
      <c r="I13" s="11"/>
      <c r="J13" s="1"/>
      <c r="K13" s="1"/>
      <c r="L13" s="13"/>
      <c r="M13" s="1"/>
      <c r="N13" s="1"/>
      <c r="O13" s="13"/>
      <c r="P13" s="1"/>
    </row>
    <row r="14" spans="1:16" x14ac:dyDescent="0.2">
      <c r="I14" s="1"/>
    </row>
    <row r="15" spans="1:16" x14ac:dyDescent="0.2">
      <c r="I15" s="1"/>
    </row>
    <row r="16" spans="1:16" x14ac:dyDescent="0.2">
      <c r="I1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5"/>
  <sheetViews>
    <sheetView workbookViewId="0">
      <selection activeCell="I10" sqref="I10"/>
    </sheetView>
  </sheetViews>
  <sheetFormatPr baseColWidth="10" defaultRowHeight="16" x14ac:dyDescent="0.2"/>
  <cols>
    <col min="1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415</v>
      </c>
      <c r="B1" s="1" t="s">
        <v>406</v>
      </c>
      <c r="C1" s="1" t="s">
        <v>0</v>
      </c>
      <c r="D1" s="1" t="s">
        <v>407</v>
      </c>
      <c r="E1" s="1" t="s">
        <v>402</v>
      </c>
      <c r="F1" s="1" t="s">
        <v>408</v>
      </c>
      <c r="G1" s="1" t="s">
        <v>409</v>
      </c>
      <c r="H1" s="1" t="s">
        <v>394</v>
      </c>
      <c r="I1" s="1" t="s">
        <v>410</v>
      </c>
      <c r="J1" s="1" t="s">
        <v>411</v>
      </c>
      <c r="K1" s="1" t="s">
        <v>412</v>
      </c>
    </row>
    <row r="2" spans="1:11" x14ac:dyDescent="0.2">
      <c r="A2" s="1" t="s">
        <v>416</v>
      </c>
      <c r="B2" s="1" t="s">
        <v>413</v>
      </c>
      <c r="C2" s="1" t="s">
        <v>2</v>
      </c>
      <c r="D2" s="1">
        <v>2800</v>
      </c>
      <c r="E2" s="1">
        <v>1.111</v>
      </c>
      <c r="F2" s="1">
        <v>475</v>
      </c>
      <c r="G2" s="1" t="s">
        <v>414</v>
      </c>
      <c r="H2" s="12" t="s">
        <v>417</v>
      </c>
      <c r="K2" s="1">
        <f>IF(J2="W",(D2/100)*E2,IF(J2="",0,-E2))</f>
        <v>0</v>
      </c>
    </row>
    <row r="3" spans="1:11" x14ac:dyDescent="0.2">
      <c r="A3" s="1" t="s">
        <v>416</v>
      </c>
      <c r="B3" s="1" t="s">
        <v>413</v>
      </c>
      <c r="C3" s="1" t="s">
        <v>30</v>
      </c>
      <c r="D3" s="1">
        <v>2000</v>
      </c>
      <c r="E3" s="1">
        <v>1.58</v>
      </c>
      <c r="F3" s="1">
        <v>6000</v>
      </c>
      <c r="G3" s="1" t="s">
        <v>414</v>
      </c>
      <c r="H3" s="12" t="s">
        <v>418</v>
      </c>
      <c r="K3" s="1">
        <f t="shared" ref="K3:K5" si="0">IF(J3="W",(D3/100)*E3,IF(J3="",0,-E3))</f>
        <v>0</v>
      </c>
    </row>
    <row r="4" spans="1:11" x14ac:dyDescent="0.2">
      <c r="A4" s="1" t="s">
        <v>416</v>
      </c>
      <c r="B4" s="1" t="s">
        <v>413</v>
      </c>
      <c r="C4" s="1" t="s">
        <v>13</v>
      </c>
      <c r="D4" s="1">
        <v>7000</v>
      </c>
      <c r="E4" s="1">
        <v>0.45</v>
      </c>
      <c r="F4" s="1">
        <v>1800</v>
      </c>
      <c r="G4" s="1" t="s">
        <v>414</v>
      </c>
      <c r="H4" s="12" t="s">
        <v>418</v>
      </c>
      <c r="K4" s="1">
        <f t="shared" si="0"/>
        <v>0</v>
      </c>
    </row>
    <row r="5" spans="1:11" x14ac:dyDescent="0.2">
      <c r="A5" s="1" t="s">
        <v>416</v>
      </c>
      <c r="B5" s="1" t="s">
        <v>413</v>
      </c>
      <c r="C5" s="1" t="s">
        <v>48</v>
      </c>
      <c r="D5" s="1">
        <v>20000</v>
      </c>
      <c r="E5" s="1">
        <v>0.15</v>
      </c>
      <c r="F5" s="1">
        <v>50000</v>
      </c>
      <c r="G5" s="1" t="s">
        <v>414</v>
      </c>
      <c r="H5" s="12" t="s">
        <v>418</v>
      </c>
      <c r="K5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G29" sqref="G29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405</v>
      </c>
    </row>
    <row r="2" spans="1:4" x14ac:dyDescent="0.2">
      <c r="A2" s="1" t="s">
        <v>1</v>
      </c>
      <c r="B2" s="3">
        <f>VLOOKUP(A2,[3]TeamRtg!$A$3:$G$367,7,FALSE)</f>
        <v>2.4311706039062191</v>
      </c>
      <c r="C2" s="1">
        <f>RANK(B2,$B$2:$B$366)</f>
        <v>2</v>
      </c>
      <c r="D2" s="1">
        <v>1</v>
      </c>
    </row>
    <row r="3" spans="1:4" x14ac:dyDescent="0.2">
      <c r="A3" s="1" t="s">
        <v>2</v>
      </c>
      <c r="B3" s="3">
        <f>VLOOKUP(A3,[3]TeamRtg!$A$3:$G$367,7,FALSE)</f>
        <v>2.4214410704356735</v>
      </c>
      <c r="C3" s="1">
        <f t="shared" ref="C3:C66" si="0">RANK(B3,$B$2:$B$366)</f>
        <v>3</v>
      </c>
      <c r="D3" s="1">
        <v>3</v>
      </c>
    </row>
    <row r="4" spans="1:4" x14ac:dyDescent="0.2">
      <c r="A4" s="1" t="s">
        <v>3</v>
      </c>
      <c r="B4" s="3">
        <f>VLOOKUP(A4,[3]TeamRtg!$A$3:$G$367,7,FALSE)</f>
        <v>2.4415313177677405</v>
      </c>
      <c r="C4" s="1">
        <f t="shared" si="0"/>
        <v>1</v>
      </c>
      <c r="D4" s="1">
        <v>2</v>
      </c>
    </row>
    <row r="5" spans="1:4" x14ac:dyDescent="0.2">
      <c r="A5" s="1" t="s">
        <v>4</v>
      </c>
      <c r="B5" s="3">
        <f>VLOOKUP(A5,[3]TeamRtg!$A$3:$G$367,7,FALSE)</f>
        <v>2.3176561378674214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2.1686520528597688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2.0814439314467861</v>
      </c>
      <c r="C7" s="1">
        <f t="shared" si="0"/>
        <v>8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2.1132294905187523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2.0566571983436854</v>
      </c>
      <c r="C9" s="1">
        <f t="shared" si="0"/>
        <v>10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2.0619131077137984</v>
      </c>
      <c r="C10" s="1">
        <f t="shared" si="0"/>
        <v>9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2.0947880105552925</v>
      </c>
      <c r="C11" s="1">
        <f t="shared" si="0"/>
        <v>7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1.8048359090522448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2.0559950590131626</v>
      </c>
      <c r="C13" s="1">
        <f t="shared" si="0"/>
        <v>11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1.9252867153825399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1.996628909938958</v>
      </c>
      <c r="C15" s="1">
        <f t="shared" si="0"/>
        <v>12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1.9397906379670637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1.8357122050175474</v>
      </c>
      <c r="C17" s="1">
        <f t="shared" si="0"/>
        <v>16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1.8727293221099315</v>
      </c>
      <c r="C18" s="1">
        <f t="shared" si="0"/>
        <v>15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1.7733777988780117</v>
      </c>
      <c r="C19" s="1">
        <f t="shared" si="0"/>
        <v>18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1.7689552867572522</v>
      </c>
      <c r="C20" s="1">
        <f t="shared" si="0"/>
        <v>19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1.7289060104151099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1.6381936118246825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1.6649218764884148</v>
      </c>
      <c r="C23" s="1">
        <f t="shared" si="0"/>
        <v>21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1.6057302251343206</v>
      </c>
      <c r="C24" s="1">
        <f t="shared" si="0"/>
        <v>24</v>
      </c>
      <c r="D24" s="1">
        <v>25</v>
      </c>
    </row>
    <row r="25" spans="1:4" x14ac:dyDescent="0.2">
      <c r="A25" s="1" t="s">
        <v>24</v>
      </c>
      <c r="B25" s="3">
        <f>VLOOKUP(A25,[3]TeamRtg!$A$3:$G$367,7,FALSE)</f>
        <v>1.6053942037630158</v>
      </c>
      <c r="C25" s="1">
        <f t="shared" si="0"/>
        <v>25</v>
      </c>
      <c r="D25" s="1">
        <v>24</v>
      </c>
    </row>
    <row r="26" spans="1:4" x14ac:dyDescent="0.2">
      <c r="A26" s="1" t="s">
        <v>25</v>
      </c>
      <c r="B26" s="3">
        <f>VLOOKUP(A26,[3]TeamRtg!$A$3:$G$367,7,FALSE)</f>
        <v>1.5318276137889888</v>
      </c>
      <c r="C26" s="1">
        <f t="shared" si="0"/>
        <v>28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1.6003689470289668</v>
      </c>
      <c r="C27" s="1">
        <f t="shared" si="0"/>
        <v>26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1.5490697403844012</v>
      </c>
      <c r="C28" s="1">
        <f t="shared" si="0"/>
        <v>27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1.6153989952586549</v>
      </c>
      <c r="C29" s="1">
        <f t="shared" si="0"/>
        <v>23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1.4475676529193795</v>
      </c>
      <c r="C30" s="1">
        <f t="shared" si="0"/>
        <v>32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1.5068147390924282</v>
      </c>
      <c r="C31" s="1">
        <f t="shared" si="0"/>
        <v>29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1.5005174246451425</v>
      </c>
      <c r="C32" s="1">
        <f t="shared" si="0"/>
        <v>30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1.4474157104326741</v>
      </c>
      <c r="C33" s="1">
        <f t="shared" si="0"/>
        <v>33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1.4573234554329897</v>
      </c>
      <c r="C34" s="1">
        <f t="shared" si="0"/>
        <v>31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1.3391693675937064</v>
      </c>
      <c r="C35" s="1">
        <f t="shared" si="0"/>
        <v>37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1.4034541484429846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1.3884671035707019</v>
      </c>
      <c r="C37" s="1">
        <f t="shared" si="0"/>
        <v>35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1.3639679215992009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1.2748484280084527</v>
      </c>
      <c r="C39" s="1">
        <f t="shared" si="0"/>
        <v>41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1.3064327273073886</v>
      </c>
      <c r="C40" s="1">
        <f t="shared" si="0"/>
        <v>38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1.2866357522437701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1.2839657223553247</v>
      </c>
      <c r="C42" s="1">
        <f t="shared" si="0"/>
        <v>40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1.2646671855205285</v>
      </c>
      <c r="C43" s="1">
        <f t="shared" si="0"/>
        <v>42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1.2497697035463875</v>
      </c>
      <c r="C44" s="1">
        <f t="shared" si="0"/>
        <v>43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1.2230355781304028</v>
      </c>
      <c r="C45" s="1">
        <f t="shared" si="0"/>
        <v>46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1.2456787742058886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1.234293270724365</v>
      </c>
      <c r="C47" s="1">
        <f t="shared" si="0"/>
        <v>45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1.2222282004856275</v>
      </c>
      <c r="C48" s="1">
        <f t="shared" si="0"/>
        <v>47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1.1314196564423966</v>
      </c>
      <c r="C49" s="1">
        <f t="shared" si="0"/>
        <v>54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1.1862694098871338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1.1937982764131005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1.1424884084989479</v>
      </c>
      <c r="C52" s="1">
        <f t="shared" si="0"/>
        <v>51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1.1335616454460096</v>
      </c>
      <c r="C53" s="1">
        <f t="shared" si="0"/>
        <v>53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1.1692178037445353</v>
      </c>
      <c r="C54" s="1">
        <f t="shared" si="0"/>
        <v>50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1.137736838397948</v>
      </c>
      <c r="C55" s="1">
        <f t="shared" si="0"/>
        <v>52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1.0347396777114179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0.9717528521667933</v>
      </c>
      <c r="C57" s="1">
        <f t="shared" si="0"/>
        <v>59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1.0182854986996155</v>
      </c>
      <c r="C58" s="1">
        <f t="shared" si="0"/>
        <v>56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1.017440192775148</v>
      </c>
      <c r="C59" s="1">
        <f t="shared" si="0"/>
        <v>57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1.0066001536458984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0.92665348518592261</v>
      </c>
      <c r="C61" s="1">
        <f t="shared" si="0"/>
        <v>65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0.95130808672595302</v>
      </c>
      <c r="C62" s="1">
        <f t="shared" si="0"/>
        <v>61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0.94993518200709981</v>
      </c>
      <c r="C63" s="1">
        <f t="shared" si="0"/>
        <v>62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0.96940672302154351</v>
      </c>
      <c r="C64" s="1">
        <f t="shared" si="0"/>
        <v>60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0.88054481459803158</v>
      </c>
      <c r="C65" s="1">
        <f t="shared" si="0"/>
        <v>68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0.94528473284145309</v>
      </c>
      <c r="C66" s="1">
        <f t="shared" si="0"/>
        <v>63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0.90467707758640559</v>
      </c>
      <c r="C67" s="1">
        <f t="shared" ref="C67:C130" si="1">RANK(B67,$B$2:$B$366)</f>
        <v>66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0.83237590813424611</v>
      </c>
      <c r="C68" s="1">
        <f t="shared" si="1"/>
        <v>73</v>
      </c>
      <c r="D68" s="1">
        <v>72</v>
      </c>
    </row>
    <row r="69" spans="1:4" x14ac:dyDescent="0.2">
      <c r="A69" s="1" t="s">
        <v>68</v>
      </c>
      <c r="B69" s="3">
        <f>VLOOKUP(A69,[3]TeamRtg!$A$3:$G$367,7,FALSE)</f>
        <v>0.82785948062416614</v>
      </c>
      <c r="C69" s="1">
        <f t="shared" si="1"/>
        <v>74</v>
      </c>
      <c r="D69" s="1">
        <v>73</v>
      </c>
    </row>
    <row r="70" spans="1:4" x14ac:dyDescent="0.2">
      <c r="A70" s="1" t="s">
        <v>69</v>
      </c>
      <c r="B70" s="3">
        <f>VLOOKUP(A70,[3]TeamRtg!$A$3:$G$367,7,FALSE)</f>
        <v>0.93333845321419207</v>
      </c>
      <c r="C70" s="1">
        <f t="shared" si="1"/>
        <v>64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0.87683477615642724</v>
      </c>
      <c r="C71" s="1">
        <f t="shared" si="1"/>
        <v>70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0.85061563686329422</v>
      </c>
      <c r="C72" s="1">
        <f t="shared" si="1"/>
        <v>71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0.87895390538425899</v>
      </c>
      <c r="C73" s="1">
        <f t="shared" si="1"/>
        <v>69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0.8817330377804985</v>
      </c>
      <c r="C74" s="1">
        <f t="shared" si="1"/>
        <v>67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0.76466818738021414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0.8156630505951481</v>
      </c>
      <c r="C76" s="1">
        <f t="shared" si="1"/>
        <v>75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0.80881080325719179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0.83687669469247972</v>
      </c>
      <c r="C78" s="1">
        <f t="shared" si="1"/>
        <v>72</v>
      </c>
      <c r="D78" s="1">
        <v>74</v>
      </c>
    </row>
    <row r="79" spans="1:4" x14ac:dyDescent="0.2">
      <c r="A79" s="1" t="s">
        <v>78</v>
      </c>
      <c r="B79" s="3">
        <f>VLOOKUP(A79,[3]TeamRtg!$A$3:$G$367,7,FALSE)</f>
        <v>0.75976189146651607</v>
      </c>
      <c r="C79" s="1">
        <f t="shared" si="1"/>
        <v>79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0.71308410097107766</v>
      </c>
      <c r="C80" s="1">
        <f t="shared" si="1"/>
        <v>83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0.73577816920029526</v>
      </c>
      <c r="C81" s="1">
        <f t="shared" si="1"/>
        <v>81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0.77158900841646982</v>
      </c>
      <c r="C82" s="1">
        <f t="shared" si="1"/>
        <v>77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0.75446643660099388</v>
      </c>
      <c r="C83" s="1">
        <f t="shared" si="1"/>
        <v>80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0.66361367770455626</v>
      </c>
      <c r="C84" s="1">
        <f t="shared" si="1"/>
        <v>90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0.70665048110951045</v>
      </c>
      <c r="C85" s="1">
        <f t="shared" si="1"/>
        <v>84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0.67501473438103177</v>
      </c>
      <c r="C86" s="1">
        <f t="shared" si="1"/>
        <v>87</v>
      </c>
      <c r="D86" s="1">
        <v>86</v>
      </c>
    </row>
    <row r="87" spans="1:4" x14ac:dyDescent="0.2">
      <c r="A87" s="1" t="s">
        <v>86</v>
      </c>
      <c r="B87" s="3">
        <f>VLOOKUP(A87,[3]TeamRtg!$A$3:$G$367,7,FALSE)</f>
        <v>0.72780396508086254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0.65265629793473967</v>
      </c>
      <c r="C88" s="1">
        <f t="shared" si="1"/>
        <v>91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0.66965542812902779</v>
      </c>
      <c r="C89" s="1">
        <f t="shared" si="1"/>
        <v>88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0.67518578163765253</v>
      </c>
      <c r="C90" s="1">
        <f t="shared" si="1"/>
        <v>86</v>
      </c>
      <c r="D90" s="1">
        <v>87</v>
      </c>
    </row>
    <row r="91" spans="1:4" x14ac:dyDescent="0.2">
      <c r="A91" s="1" t="s">
        <v>90</v>
      </c>
      <c r="B91" s="3">
        <f>VLOOKUP(A91,[3]TeamRtg!$A$3:$G$367,7,FALSE)</f>
        <v>0.63615709230280681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0.69148082681183287</v>
      </c>
      <c r="C92" s="1">
        <f t="shared" si="1"/>
        <v>85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0.59192792112891679</v>
      </c>
      <c r="C93" s="1">
        <f t="shared" si="1"/>
        <v>95</v>
      </c>
      <c r="D93" s="1">
        <v>94</v>
      </c>
    </row>
    <row r="94" spans="1:4" x14ac:dyDescent="0.2">
      <c r="A94" s="1" t="s">
        <v>93</v>
      </c>
      <c r="B94" s="3">
        <f>VLOOKUP(A94,[3]TeamRtg!$A$3:$G$367,7,FALSE)</f>
        <v>0.64950605821025109</v>
      </c>
      <c r="C94" s="1">
        <f t="shared" si="1"/>
        <v>92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0.66807045359057859</v>
      </c>
      <c r="C95" s="1">
        <f t="shared" si="1"/>
        <v>89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0.49263873536270075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0.58790974351864111</v>
      </c>
      <c r="C97" s="1">
        <f t="shared" si="1"/>
        <v>96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0.55655857724075553</v>
      </c>
      <c r="C98" s="1">
        <f t="shared" si="1"/>
        <v>98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0.50240069004657917</v>
      </c>
      <c r="C99" s="1">
        <f t="shared" si="1"/>
        <v>105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0.59229790360670287</v>
      </c>
      <c r="C100" s="1">
        <f t="shared" si="1"/>
        <v>94</v>
      </c>
      <c r="D100" s="1">
        <v>95</v>
      </c>
    </row>
    <row r="101" spans="1:4" x14ac:dyDescent="0.2">
      <c r="A101" s="1" t="s">
        <v>100</v>
      </c>
      <c r="B101" s="3">
        <f>VLOOKUP(A101,[3]TeamRtg!$A$3:$G$367,7,FALSE)</f>
        <v>0.53798401618269576</v>
      </c>
      <c r="C101" s="1">
        <f t="shared" si="1"/>
        <v>99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0.56541930426228315</v>
      </c>
      <c r="C102" s="1">
        <f t="shared" si="1"/>
        <v>97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0.53194918987106632</v>
      </c>
      <c r="C103" s="1">
        <f t="shared" si="1"/>
        <v>100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0.50590225983899351</v>
      </c>
      <c r="C104" s="1">
        <f t="shared" si="1"/>
        <v>104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0.4876353124086954</v>
      </c>
      <c r="C105" s="1">
        <f t="shared" si="1"/>
        <v>108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0.51677885833412929</v>
      </c>
      <c r="C106" s="1">
        <f t="shared" si="1"/>
        <v>103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0.52416771563285847</v>
      </c>
      <c r="C107" s="1">
        <f t="shared" si="1"/>
        <v>102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0.47059002178688186</v>
      </c>
      <c r="C108" s="1">
        <f t="shared" si="1"/>
        <v>113</v>
      </c>
      <c r="D108" s="1">
        <v>110</v>
      </c>
    </row>
    <row r="109" spans="1:4" x14ac:dyDescent="0.2">
      <c r="A109" s="1" t="s">
        <v>108</v>
      </c>
      <c r="B109" s="3">
        <f>VLOOKUP(A109,[3]TeamRtg!$A$3:$G$367,7,FALSE)</f>
        <v>0.46396279367808851</v>
      </c>
      <c r="C109" s="1">
        <f t="shared" si="1"/>
        <v>116</v>
      </c>
      <c r="D109" s="1">
        <v>118</v>
      </c>
    </row>
    <row r="110" spans="1:4" x14ac:dyDescent="0.2">
      <c r="A110" s="1" t="s">
        <v>109</v>
      </c>
      <c r="B110" s="3">
        <f>VLOOKUP(A110,[3]TeamRtg!$A$3:$G$367,7,FALSE)</f>
        <v>0.48938269991178346</v>
      </c>
      <c r="C110" s="1">
        <f t="shared" si="1"/>
        <v>107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0.4348013338455512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0.48744808153909702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0.46255162166532843</v>
      </c>
      <c r="C113" s="1">
        <f t="shared" si="1"/>
        <v>117</v>
      </c>
      <c r="D113" s="1">
        <v>115</v>
      </c>
    </row>
    <row r="114" spans="1:4" x14ac:dyDescent="0.2">
      <c r="A114" s="1" t="s">
        <v>113</v>
      </c>
      <c r="B114" s="3">
        <f>VLOOKUP(A114,[3]TeamRtg!$A$3:$G$367,7,FALSE)</f>
        <v>0.47513459069577074</v>
      </c>
      <c r="C114" s="1">
        <f t="shared" si="1"/>
        <v>112</v>
      </c>
      <c r="D114" s="1">
        <v>113</v>
      </c>
    </row>
    <row r="115" spans="1:4" x14ac:dyDescent="0.2">
      <c r="A115" s="1" t="s">
        <v>114</v>
      </c>
      <c r="B115" s="3">
        <f>VLOOKUP(A115,[3]TeamRtg!$A$3:$G$367,7,FALSE)</f>
        <v>0.4823783568675708</v>
      </c>
      <c r="C115" s="1">
        <f t="shared" si="1"/>
        <v>111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0.52864176434185162</v>
      </c>
      <c r="C116" s="1">
        <f t="shared" si="1"/>
        <v>101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0.46415685763211117</v>
      </c>
      <c r="C117" s="1">
        <f t="shared" si="1"/>
        <v>115</v>
      </c>
      <c r="D117" s="1">
        <v>114</v>
      </c>
    </row>
    <row r="118" spans="1:4" x14ac:dyDescent="0.2">
      <c r="A118" s="1" t="s">
        <v>117</v>
      </c>
      <c r="B118" s="3">
        <f>VLOOKUP(A118,[3]TeamRtg!$A$3:$G$367,7,FALSE)</f>
        <v>0.46083471617460059</v>
      </c>
      <c r="C118" s="1">
        <f t="shared" si="1"/>
        <v>118</v>
      </c>
      <c r="D118" s="1">
        <v>117</v>
      </c>
    </row>
    <row r="119" spans="1:4" x14ac:dyDescent="0.2">
      <c r="A119" s="1" t="s">
        <v>118</v>
      </c>
      <c r="B119" s="3">
        <f>VLOOKUP(A119,[3]TeamRtg!$A$3:$G$367,7,FALSE)</f>
        <v>0.45053939268992804</v>
      </c>
      <c r="C119" s="1">
        <f t="shared" si="1"/>
        <v>119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0.39427522567161333</v>
      </c>
      <c r="C120" s="1">
        <f t="shared" si="1"/>
        <v>125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0.39457472606715172</v>
      </c>
      <c r="C121" s="1">
        <f t="shared" si="1"/>
        <v>124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0.39742892522140033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0.39155806705042134</v>
      </c>
      <c r="C123" s="1">
        <f t="shared" si="1"/>
        <v>126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0.42272366133562028</v>
      </c>
      <c r="C124" s="1">
        <f t="shared" si="1"/>
        <v>122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0.48342679572554526</v>
      </c>
      <c r="C125" s="1">
        <f t="shared" si="1"/>
        <v>110</v>
      </c>
      <c r="D125" s="1">
        <v>112</v>
      </c>
    </row>
    <row r="126" spans="1:4" x14ac:dyDescent="0.2">
      <c r="A126" s="1" t="s">
        <v>125</v>
      </c>
      <c r="B126" s="3">
        <f>VLOOKUP(A126,[3]TeamRtg!$A$3:$G$367,7,FALSE)</f>
        <v>0.46663524038646875</v>
      </c>
      <c r="C126" s="1">
        <f t="shared" si="1"/>
        <v>114</v>
      </c>
      <c r="D126" s="1">
        <v>116</v>
      </c>
    </row>
    <row r="127" spans="1:4" x14ac:dyDescent="0.2">
      <c r="A127" s="1" t="s">
        <v>126</v>
      </c>
      <c r="B127" s="3">
        <f>VLOOKUP(A127,[3]TeamRtg!$A$3:$G$367,7,FALSE)</f>
        <v>0.37899129588733482</v>
      </c>
      <c r="C127" s="1">
        <f t="shared" si="1"/>
        <v>128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0.32441488788114553</v>
      </c>
      <c r="C128" s="1">
        <f t="shared" si="1"/>
        <v>134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0.37247646390186734</v>
      </c>
      <c r="C129" s="1">
        <f t="shared" si="1"/>
        <v>129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0.33453517199533567</v>
      </c>
      <c r="C130" s="1">
        <f t="shared" si="1"/>
        <v>133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0.3542409205038099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0.25919327582931828</v>
      </c>
      <c r="C132" s="1">
        <f t="shared" si="2"/>
        <v>146</v>
      </c>
      <c r="D132" s="1">
        <v>145</v>
      </c>
    </row>
    <row r="133" spans="1:4" x14ac:dyDescent="0.2">
      <c r="A133" s="1" t="s">
        <v>132</v>
      </c>
      <c r="B133" s="3">
        <f>VLOOKUP(A133,[3]TeamRtg!$A$3:$G$367,7,FALSE)</f>
        <v>0.39140348695499111</v>
      </c>
      <c r="C133" s="1">
        <f t="shared" si="2"/>
        <v>127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0.31367835630169721</v>
      </c>
      <c r="C134" s="1">
        <f t="shared" si="2"/>
        <v>135</v>
      </c>
      <c r="D134" s="1">
        <v>136</v>
      </c>
    </row>
    <row r="135" spans="1:4" x14ac:dyDescent="0.2">
      <c r="A135" s="1" t="s">
        <v>134</v>
      </c>
      <c r="B135" s="3">
        <f>VLOOKUP(A135,[3]TeamRtg!$A$3:$G$367,7,FALSE)</f>
        <v>0.30985259736993964</v>
      </c>
      <c r="C135" s="1">
        <f t="shared" si="2"/>
        <v>137</v>
      </c>
      <c r="D135" s="1">
        <v>138</v>
      </c>
    </row>
    <row r="136" spans="1:4" x14ac:dyDescent="0.2">
      <c r="A136" s="1" t="s">
        <v>135</v>
      </c>
      <c r="B136" s="3">
        <f>VLOOKUP(A136,[3]TeamRtg!$A$3:$G$367,7,FALSE)</f>
        <v>0.30685278406016597</v>
      </c>
      <c r="C136" s="1">
        <f t="shared" si="2"/>
        <v>138</v>
      </c>
      <c r="D136" s="1">
        <v>137</v>
      </c>
    </row>
    <row r="137" spans="1:4" x14ac:dyDescent="0.2">
      <c r="A137" s="1" t="s">
        <v>136</v>
      </c>
      <c r="B137" s="3">
        <f>VLOOKUP(A137,[3]TeamRtg!$A$3:$G$367,7,FALSE)</f>
        <v>0.29131348455704903</v>
      </c>
      <c r="C137" s="1">
        <f t="shared" si="2"/>
        <v>143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0.34206242673001991</v>
      </c>
      <c r="C138" s="1">
        <f t="shared" si="2"/>
        <v>131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0.31187856569218164</v>
      </c>
      <c r="C139" s="1">
        <f t="shared" si="2"/>
        <v>136</v>
      </c>
      <c r="D139" s="1">
        <v>135</v>
      </c>
    </row>
    <row r="140" spans="1:4" x14ac:dyDescent="0.2">
      <c r="A140" s="1" t="s">
        <v>139</v>
      </c>
      <c r="B140" s="3">
        <f>VLOOKUP(A140,[3]TeamRtg!$A$3:$G$367,7,FALSE)</f>
        <v>0.29736239372140527</v>
      </c>
      <c r="C140" s="1">
        <f t="shared" si="2"/>
        <v>141</v>
      </c>
      <c r="D140" s="1">
        <v>142</v>
      </c>
    </row>
    <row r="141" spans="1:4" x14ac:dyDescent="0.2">
      <c r="A141" s="1" t="s">
        <v>140</v>
      </c>
      <c r="B141" s="3">
        <f>VLOOKUP(A141,[3]TeamRtg!$A$3:$G$367,7,FALSE)</f>
        <v>0.22583523881445158</v>
      </c>
      <c r="C141" s="1">
        <f t="shared" si="2"/>
        <v>150</v>
      </c>
      <c r="D141" s="1">
        <v>149</v>
      </c>
    </row>
    <row r="142" spans="1:4" x14ac:dyDescent="0.2">
      <c r="A142" s="1" t="s">
        <v>141</v>
      </c>
      <c r="B142" s="3">
        <f>VLOOKUP(A142,[3]TeamRtg!$A$3:$G$367,7,FALSE)</f>
        <v>0.27518497133996023</v>
      </c>
      <c r="C142" s="1">
        <f t="shared" si="2"/>
        <v>144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0.33515342093973205</v>
      </c>
      <c r="C143" s="1">
        <f t="shared" si="2"/>
        <v>132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0.42702586563286615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0.30277327837819568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0.18008699198142078</v>
      </c>
      <c r="C146" s="1">
        <f t="shared" si="2"/>
        <v>160</v>
      </c>
      <c r="D146" s="1">
        <v>159</v>
      </c>
    </row>
    <row r="147" spans="1:4" x14ac:dyDescent="0.2">
      <c r="A147" s="1" t="s">
        <v>146</v>
      </c>
      <c r="B147" s="3">
        <f>VLOOKUP(A147,[3]TeamRtg!$A$3:$G$367,7,FALSE)</f>
        <v>0.26375718343450921</v>
      </c>
      <c r="C147" s="1">
        <f t="shared" si="2"/>
        <v>145</v>
      </c>
      <c r="D147" s="1">
        <v>146</v>
      </c>
    </row>
    <row r="148" spans="1:4" x14ac:dyDescent="0.2">
      <c r="A148" s="1" t="s">
        <v>147</v>
      </c>
      <c r="B148" s="3">
        <f>VLOOKUP(A148,[3]TeamRtg!$A$3:$G$367,7,FALSE)</f>
        <v>0.23497031131097293</v>
      </c>
      <c r="C148" s="1">
        <f t="shared" si="2"/>
        <v>149</v>
      </c>
      <c r="D148" s="1">
        <v>150</v>
      </c>
    </row>
    <row r="149" spans="1:4" x14ac:dyDescent="0.2">
      <c r="A149" s="1" t="s">
        <v>148</v>
      </c>
      <c r="B149" s="3">
        <f>VLOOKUP(A149,[3]TeamRtg!$A$3:$G$367,7,FALSE)</f>
        <v>0.248191202427506</v>
      </c>
      <c r="C149" s="1">
        <f t="shared" si="2"/>
        <v>148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0.24955187331667644</v>
      </c>
      <c r="C150" s="1">
        <f t="shared" si="2"/>
        <v>147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0.20818443424502331</v>
      </c>
      <c r="C151" s="1">
        <f t="shared" si="2"/>
        <v>152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0.21781705182487729</v>
      </c>
      <c r="C152" s="1">
        <f t="shared" si="2"/>
        <v>151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0.30445131214125848</v>
      </c>
      <c r="C153" s="1">
        <f t="shared" si="2"/>
        <v>139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0.29435329341145933</v>
      </c>
      <c r="C154" s="1">
        <f t="shared" si="2"/>
        <v>142</v>
      </c>
      <c r="D154" s="1">
        <v>141</v>
      </c>
    </row>
    <row r="155" spans="1:4" x14ac:dyDescent="0.2">
      <c r="A155" s="1" t="s">
        <v>154</v>
      </c>
      <c r="B155" s="3">
        <f>VLOOKUP(A155,[3]TeamRtg!$A$3:$G$367,7,FALSE)</f>
        <v>0.15988458585702311</v>
      </c>
      <c r="C155" s="1">
        <f t="shared" si="2"/>
        <v>162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0.20488029437907612</v>
      </c>
      <c r="C156" s="1">
        <f t="shared" si="2"/>
        <v>153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0.18137528806481498</v>
      </c>
      <c r="C157" s="1">
        <f t="shared" si="2"/>
        <v>159</v>
      </c>
      <c r="D157" s="1">
        <v>158</v>
      </c>
    </row>
    <row r="158" spans="1:4" x14ac:dyDescent="0.2">
      <c r="A158" s="1" t="s">
        <v>157</v>
      </c>
      <c r="B158" s="3">
        <f>VLOOKUP(A158,[3]TeamRtg!$A$3:$G$367,7,FALSE)</f>
        <v>0.1859268454303645</v>
      </c>
      <c r="C158" s="1">
        <f t="shared" si="2"/>
        <v>156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0.19643255754885527</v>
      </c>
      <c r="C159" s="1">
        <f t="shared" si="2"/>
        <v>154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0.16673725698316366</v>
      </c>
      <c r="C160" s="1">
        <f t="shared" si="2"/>
        <v>161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0.18611554784613968</v>
      </c>
      <c r="C161" s="1">
        <f t="shared" si="2"/>
        <v>155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0.18201820591522963</v>
      </c>
      <c r="C162" s="1">
        <f t="shared" si="2"/>
        <v>158</v>
      </c>
      <c r="D162" s="1">
        <v>160</v>
      </c>
    </row>
    <row r="163" spans="1:4" x14ac:dyDescent="0.2">
      <c r="A163" s="1" t="s">
        <v>162</v>
      </c>
      <c r="B163" s="3">
        <f>VLOOKUP(A163,[3]TeamRtg!$A$3:$G$367,7,FALSE)</f>
        <v>7.726388179934443E-2</v>
      </c>
      <c r="C163" s="1">
        <f t="shared" si="2"/>
        <v>170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9.5521621352901862E-2</v>
      </c>
      <c r="C164" s="1">
        <f t="shared" si="2"/>
        <v>168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0.11156712677208909</v>
      </c>
      <c r="C165" s="1">
        <f t="shared" si="2"/>
        <v>165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0.11725752429713417</v>
      </c>
      <c r="C166" s="1">
        <f t="shared" si="2"/>
        <v>163</v>
      </c>
      <c r="D166" s="1">
        <v>164</v>
      </c>
    </row>
    <row r="167" spans="1:4" x14ac:dyDescent="0.2">
      <c r="A167" s="1" t="s">
        <v>166</v>
      </c>
      <c r="B167" s="3">
        <f>VLOOKUP(A167,[3]TeamRtg!$A$3:$G$367,7,FALSE)</f>
        <v>9.7865132903412075E-2</v>
      </c>
      <c r="C167" s="1">
        <f t="shared" si="2"/>
        <v>166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0.18364128390317169</v>
      </c>
      <c r="C168" s="1">
        <f t="shared" si="2"/>
        <v>157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8.6624117937317793E-2</v>
      </c>
      <c r="C169" s="1">
        <f t="shared" si="2"/>
        <v>169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0.11382223223694925</v>
      </c>
      <c r="C170" s="1">
        <f t="shared" si="2"/>
        <v>164</v>
      </c>
      <c r="D170" s="1">
        <v>163</v>
      </c>
    </row>
    <row r="171" spans="1:4" x14ac:dyDescent="0.2">
      <c r="A171" s="1" t="s">
        <v>170</v>
      </c>
      <c r="B171" s="3">
        <f>VLOOKUP(A171,[3]TeamRtg!$A$3:$G$367,7,FALSE)</f>
        <v>6.3936330486753096E-2</v>
      </c>
      <c r="C171" s="1">
        <f t="shared" si="2"/>
        <v>173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9.6540103123095841E-2</v>
      </c>
      <c r="C172" s="1">
        <f t="shared" si="2"/>
        <v>167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2.5562650635076418E-2</v>
      </c>
      <c r="C173" s="1">
        <f t="shared" si="2"/>
        <v>177</v>
      </c>
      <c r="D173" s="1">
        <v>179</v>
      </c>
    </row>
    <row r="174" spans="1:4" x14ac:dyDescent="0.2">
      <c r="A174" s="1" t="s">
        <v>173</v>
      </c>
      <c r="B174" s="3">
        <f>VLOOKUP(A174,[3]TeamRtg!$A$3:$G$367,7,FALSE)</f>
        <v>7.6829653073183471E-2</v>
      </c>
      <c r="C174" s="1">
        <f t="shared" si="2"/>
        <v>171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-5.9735046147626029E-2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7.4309686102827052E-2</v>
      </c>
      <c r="C176" s="1">
        <f t="shared" si="2"/>
        <v>172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1.0475834832449191E-2</v>
      </c>
      <c r="C177" s="1">
        <f t="shared" si="2"/>
        <v>181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6.0652759235271123E-2</v>
      </c>
      <c r="C178" s="1">
        <f t="shared" si="2"/>
        <v>174</v>
      </c>
      <c r="D178" s="1">
        <v>175</v>
      </c>
    </row>
    <row r="179" spans="1:4" x14ac:dyDescent="0.2">
      <c r="A179" s="1" t="s">
        <v>178</v>
      </c>
      <c r="B179" s="3">
        <f>VLOOKUP(A179,[3]TeamRtg!$A$3:$G$367,7,FALSE)</f>
        <v>3.3487288120392006E-2</v>
      </c>
      <c r="C179" s="1">
        <f t="shared" si="2"/>
        <v>176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1.1800563607967976E-2</v>
      </c>
      <c r="C180" s="1">
        <f t="shared" si="2"/>
        <v>180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1.642304199917894E-2</v>
      </c>
      <c r="C181" s="1">
        <f t="shared" si="2"/>
        <v>179</v>
      </c>
      <c r="D181" s="1">
        <v>178</v>
      </c>
    </row>
    <row r="182" spans="1:4" x14ac:dyDescent="0.2">
      <c r="A182" s="1" t="s">
        <v>181</v>
      </c>
      <c r="B182" s="3">
        <f>VLOOKUP(A182,[3]TeamRtg!$A$3:$G$367,7,FALSE)</f>
        <v>-9.0472014797246921E-5</v>
      </c>
      <c r="C182" s="1">
        <f t="shared" si="2"/>
        <v>183</v>
      </c>
      <c r="D182" s="1">
        <v>182</v>
      </c>
    </row>
    <row r="183" spans="1:4" x14ac:dyDescent="0.2">
      <c r="A183" s="1" t="s">
        <v>182</v>
      </c>
      <c r="B183" s="3">
        <f>VLOOKUP(A183,[3]TeamRtg!$A$3:$G$367,7,FALSE)</f>
        <v>7.9300307192582322E-3</v>
      </c>
      <c r="C183" s="1">
        <f t="shared" si="2"/>
        <v>182</v>
      </c>
      <c r="D183" s="1">
        <v>184</v>
      </c>
    </row>
    <row r="184" spans="1:4" x14ac:dyDescent="0.2">
      <c r="A184" s="1" t="s">
        <v>183</v>
      </c>
      <c r="B184" s="3">
        <f>VLOOKUP(A184,[3]TeamRtg!$A$3:$G$367,7,FALSE)</f>
        <v>-0.10400268208607444</v>
      </c>
      <c r="C184" s="1">
        <f t="shared" si="2"/>
        <v>196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-5.8307172917284305E-3</v>
      </c>
      <c r="C185" s="1">
        <f t="shared" si="2"/>
        <v>184</v>
      </c>
      <c r="D185" s="1">
        <v>183</v>
      </c>
    </row>
    <row r="186" spans="1:4" x14ac:dyDescent="0.2">
      <c r="A186" s="1" t="s">
        <v>185</v>
      </c>
      <c r="B186" s="3">
        <f>VLOOKUP(A186,[3]TeamRtg!$A$3:$G$367,7,FALSE)</f>
        <v>-2.6082161388868184E-2</v>
      </c>
      <c r="C186" s="1">
        <f t="shared" si="2"/>
        <v>187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2.5463865535174483E-2</v>
      </c>
      <c r="C187" s="1">
        <f t="shared" si="2"/>
        <v>178</v>
      </c>
      <c r="D187" s="1">
        <v>177</v>
      </c>
    </row>
    <row r="188" spans="1:4" x14ac:dyDescent="0.2">
      <c r="A188" s="1" t="s">
        <v>187</v>
      </c>
      <c r="B188" s="3">
        <f>VLOOKUP(A188,[3]TeamRtg!$A$3:$G$367,7,FALSE)</f>
        <v>-5.5277746858408111E-2</v>
      </c>
      <c r="C188" s="1">
        <f t="shared" si="2"/>
        <v>191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5.4108207957545729E-2</v>
      </c>
      <c r="C189" s="1">
        <f t="shared" si="2"/>
        <v>175</v>
      </c>
      <c r="D189" s="1">
        <v>174</v>
      </c>
    </row>
    <row r="190" spans="1:4" x14ac:dyDescent="0.2">
      <c r="A190" s="1" t="s">
        <v>189</v>
      </c>
      <c r="B190" s="3">
        <f>VLOOKUP(A190,[3]TeamRtg!$A$3:$G$367,7,FALSE)</f>
        <v>-2.6048153663723553E-2</v>
      </c>
      <c r="C190" s="1">
        <f t="shared" si="2"/>
        <v>186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-6.4026272898734804E-2</v>
      </c>
      <c r="C191" s="1">
        <f t="shared" si="2"/>
        <v>194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-4.8565100862457432E-2</v>
      </c>
      <c r="C192" s="1">
        <f t="shared" si="2"/>
        <v>190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-3.3586282614331338E-2</v>
      </c>
      <c r="C193" s="1">
        <f t="shared" si="2"/>
        <v>189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-3.1617448569915219E-2</v>
      </c>
      <c r="C194" s="1">
        <f t="shared" si="2"/>
        <v>188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-8.6508037705315104E-3</v>
      </c>
      <c r="C195" s="1">
        <f t="shared" ref="C195:C258" si="3">RANK(B195,$B$2:$B$366)</f>
        <v>185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-0.12989975854727132</v>
      </c>
      <c r="C196" s="1">
        <f t="shared" si="3"/>
        <v>200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-5.8985369076674531E-2</v>
      </c>
      <c r="C197" s="1">
        <f t="shared" si="3"/>
        <v>192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-0.13624389794639605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-0.10613371087469706</v>
      </c>
      <c r="C199" s="1">
        <f t="shared" si="3"/>
        <v>197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-0.13479085182422265</v>
      </c>
      <c r="C200" s="1">
        <f t="shared" si="3"/>
        <v>201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-0.11620181786835559</v>
      </c>
      <c r="C201" s="1">
        <f t="shared" si="3"/>
        <v>198</v>
      </c>
      <c r="D201" s="1">
        <v>199</v>
      </c>
    </row>
    <row r="202" spans="1:4" x14ac:dyDescent="0.2">
      <c r="A202" s="1" t="s">
        <v>201</v>
      </c>
      <c r="B202" s="3">
        <f>VLOOKUP(A202,[3]TeamRtg!$A$3:$G$367,7,FALSE)</f>
        <v>-8.6124852268544161E-2</v>
      </c>
      <c r="C202" s="1">
        <f t="shared" si="3"/>
        <v>195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-0.20962178190788266</v>
      </c>
      <c r="C203" s="1">
        <f t="shared" si="3"/>
        <v>210</v>
      </c>
      <c r="D203" s="1">
        <v>213</v>
      </c>
    </row>
    <row r="204" spans="1:4" x14ac:dyDescent="0.2">
      <c r="A204" s="1" t="s">
        <v>203</v>
      </c>
      <c r="B204" s="3">
        <f>VLOOKUP(A204,[3]TeamRtg!$A$3:$G$367,7,FALSE)</f>
        <v>-0.1182605360946644</v>
      </c>
      <c r="C204" s="1">
        <f t="shared" si="3"/>
        <v>199</v>
      </c>
      <c r="D204" s="1">
        <v>198</v>
      </c>
    </row>
    <row r="205" spans="1:4" x14ac:dyDescent="0.2">
      <c r="A205" s="1" t="s">
        <v>204</v>
      </c>
      <c r="B205" s="3">
        <f>VLOOKUP(A205,[3]TeamRtg!$A$3:$G$367,7,FALSE)</f>
        <v>-0.24298175820994167</v>
      </c>
      <c r="C205" s="1">
        <f t="shared" si="3"/>
        <v>222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-0.177398027719542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-0.13775031725193268</v>
      </c>
      <c r="C207" s="1">
        <f t="shared" si="3"/>
        <v>203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-0.19705629693261928</v>
      </c>
      <c r="C208" s="1">
        <f t="shared" si="3"/>
        <v>207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-0.23489173991180179</v>
      </c>
      <c r="C209" s="1">
        <f t="shared" si="3"/>
        <v>219</v>
      </c>
      <c r="D209" s="1">
        <v>217</v>
      </c>
    </row>
    <row r="210" spans="1:4" x14ac:dyDescent="0.2">
      <c r="A210" s="1" t="s">
        <v>209</v>
      </c>
      <c r="B210" s="3">
        <f>VLOOKUP(A210,[3]TeamRtg!$A$3:$G$367,7,FALSE)</f>
        <v>-0.21044812342282346</v>
      </c>
      <c r="C210" s="1">
        <f t="shared" si="3"/>
        <v>211</v>
      </c>
      <c r="D210" s="1">
        <v>208</v>
      </c>
    </row>
    <row r="211" spans="1:4" x14ac:dyDescent="0.2">
      <c r="A211" s="1" t="s">
        <v>210</v>
      </c>
      <c r="B211" s="3">
        <f>VLOOKUP(A211,[3]TeamRtg!$A$3:$G$367,7,FALSE)</f>
        <v>-0.2297623502905958</v>
      </c>
      <c r="C211" s="1">
        <f t="shared" si="3"/>
        <v>217</v>
      </c>
      <c r="D211" s="1">
        <v>218</v>
      </c>
    </row>
    <row r="212" spans="1:4" x14ac:dyDescent="0.2">
      <c r="A212" s="1" t="s">
        <v>211</v>
      </c>
      <c r="B212" s="3">
        <f>VLOOKUP(A212,[3]TeamRtg!$A$3:$G$367,7,FALSE)</f>
        <v>-0.20926022896064092</v>
      </c>
      <c r="C212" s="1">
        <f t="shared" si="3"/>
        <v>209</v>
      </c>
      <c r="D212" s="1">
        <v>210</v>
      </c>
    </row>
    <row r="213" spans="1:4" x14ac:dyDescent="0.2">
      <c r="A213" s="1" t="s">
        <v>212</v>
      </c>
      <c r="B213" s="3">
        <f>VLOOKUP(A213,[3]TeamRtg!$A$3:$G$367,7,FALSE)</f>
        <v>-0.21338107296030745</v>
      </c>
      <c r="C213" s="1">
        <f t="shared" si="3"/>
        <v>212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-0.20714920530831576</v>
      </c>
      <c r="C214" s="1">
        <f t="shared" si="3"/>
        <v>208</v>
      </c>
      <c r="D214" s="1">
        <v>209</v>
      </c>
    </row>
    <row r="215" spans="1:4" x14ac:dyDescent="0.2">
      <c r="A215" s="1" t="s">
        <v>214</v>
      </c>
      <c r="B215" s="3">
        <f>VLOOKUP(A215,[3]TeamRtg!$A$3:$G$367,7,FALSE)</f>
        <v>-0.2156704285426016</v>
      </c>
      <c r="C215" s="1">
        <f t="shared" si="3"/>
        <v>213</v>
      </c>
      <c r="D215" s="1">
        <v>211</v>
      </c>
    </row>
    <row r="216" spans="1:4" x14ac:dyDescent="0.2">
      <c r="A216" s="1" t="s">
        <v>215</v>
      </c>
      <c r="B216" s="3">
        <f>VLOOKUP(A216,[3]TeamRtg!$A$3:$G$367,7,FALSE)</f>
        <v>-0.22051526449352429</v>
      </c>
      <c r="C216" s="1">
        <f t="shared" si="3"/>
        <v>215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-0.23426262008873436</v>
      </c>
      <c r="C217" s="1">
        <f t="shared" si="3"/>
        <v>218</v>
      </c>
      <c r="D217" s="1">
        <v>220</v>
      </c>
    </row>
    <row r="218" spans="1:4" x14ac:dyDescent="0.2">
      <c r="A218" s="1" t="s">
        <v>217</v>
      </c>
      <c r="B218" s="3">
        <f>VLOOKUP(A218,[3]TeamRtg!$A$3:$G$367,7,FALSE)</f>
        <v>-0.1866015020034828</v>
      </c>
      <c r="C218" s="1">
        <f t="shared" si="3"/>
        <v>206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-0.27372829440110003</v>
      </c>
      <c r="C219" s="1">
        <f t="shared" si="3"/>
        <v>224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-0.21687194336180768</v>
      </c>
      <c r="C220" s="1">
        <f t="shared" si="3"/>
        <v>214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-0.22767768007468109</v>
      </c>
      <c r="C221" s="1">
        <f t="shared" si="3"/>
        <v>216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-0.15181080583838616</v>
      </c>
      <c r="C222" s="1">
        <f t="shared" si="3"/>
        <v>204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-0.24000287550884636</v>
      </c>
      <c r="C223" s="1">
        <f t="shared" si="3"/>
        <v>221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-0.25200342675389353</v>
      </c>
      <c r="C224" s="1">
        <f t="shared" si="3"/>
        <v>223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-0.23624166874287977</v>
      </c>
      <c r="C225" s="1">
        <f t="shared" si="3"/>
        <v>220</v>
      </c>
      <c r="D225" s="1">
        <v>219</v>
      </c>
    </row>
    <row r="226" spans="1:4" x14ac:dyDescent="0.2">
      <c r="A226" s="1" t="s">
        <v>225</v>
      </c>
      <c r="B226" s="3">
        <f>VLOOKUP(A226,[3]TeamRtg!$A$3:$G$367,7,FALSE)</f>
        <v>-0.28230785944251291</v>
      </c>
      <c r="C226" s="1">
        <f t="shared" si="3"/>
        <v>225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-0.28326557013213738</v>
      </c>
      <c r="C227" s="1">
        <f t="shared" si="3"/>
        <v>226</v>
      </c>
      <c r="D227" s="1">
        <v>227</v>
      </c>
    </row>
    <row r="228" spans="1:4" x14ac:dyDescent="0.2">
      <c r="A228" s="1" t="s">
        <v>227</v>
      </c>
      <c r="B228" s="3">
        <f>VLOOKUP(A228,[3]TeamRtg!$A$3:$G$367,7,FALSE)</f>
        <v>-0.29221014678022228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-0.28948066812737605</v>
      </c>
      <c r="C229" s="1">
        <f t="shared" si="3"/>
        <v>228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-0.33188139184349175</v>
      </c>
      <c r="C230" s="1">
        <f t="shared" si="3"/>
        <v>231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-0.28776288715360399</v>
      </c>
      <c r="C231" s="1">
        <f t="shared" si="3"/>
        <v>227</v>
      </c>
      <c r="D231" s="1">
        <v>226</v>
      </c>
    </row>
    <row r="232" spans="1:4" x14ac:dyDescent="0.2">
      <c r="A232" s="1" t="s">
        <v>231</v>
      </c>
      <c r="B232" s="3">
        <f>VLOOKUP(A232,[3]TeamRtg!$A$3:$G$367,7,FALSE)</f>
        <v>-0.37389796712807272</v>
      </c>
      <c r="C232" s="1">
        <f t="shared" si="3"/>
        <v>234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-0.37940502553506095</v>
      </c>
      <c r="C233" s="1">
        <f t="shared" si="3"/>
        <v>235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-0.40025382372972373</v>
      </c>
      <c r="C234" s="1">
        <f t="shared" si="3"/>
        <v>239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-0.36714275497854071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-0.34082170830848096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-0.39949089844133795</v>
      </c>
      <c r="C237" s="1">
        <f t="shared" si="3"/>
        <v>237</v>
      </c>
      <c r="D237" s="1">
        <v>238</v>
      </c>
    </row>
    <row r="238" spans="1:4" x14ac:dyDescent="0.2">
      <c r="A238" s="1" t="s">
        <v>237</v>
      </c>
      <c r="B238" s="3">
        <f>VLOOKUP(A238,[3]TeamRtg!$A$3:$G$367,7,FALSE)</f>
        <v>-0.29718511223268734</v>
      </c>
      <c r="C238" s="1">
        <f t="shared" si="3"/>
        <v>230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-0.43378103811035801</v>
      </c>
      <c r="C239" s="1">
        <f t="shared" si="3"/>
        <v>243</v>
      </c>
      <c r="D239" s="1">
        <v>244</v>
      </c>
    </row>
    <row r="240" spans="1:4" x14ac:dyDescent="0.2">
      <c r="A240" s="1" t="s">
        <v>239</v>
      </c>
      <c r="B240" s="3">
        <f>VLOOKUP(A240,[3]TeamRtg!$A$3:$G$367,7,FALSE)</f>
        <v>-0.41141721677928161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-0.39682211512576937</v>
      </c>
      <c r="C241" s="1">
        <f t="shared" si="3"/>
        <v>236</v>
      </c>
      <c r="D241" s="1">
        <v>237</v>
      </c>
    </row>
    <row r="242" spans="1:4" x14ac:dyDescent="0.2">
      <c r="A242" s="1" t="s">
        <v>241</v>
      </c>
      <c r="B242" s="3">
        <f>VLOOKUP(A242,[3]TeamRtg!$A$3:$G$367,7,FALSE)</f>
        <v>-0.40016007570536083</v>
      </c>
      <c r="C242" s="1">
        <f t="shared" si="3"/>
        <v>238</v>
      </c>
      <c r="D242" s="1">
        <v>236</v>
      </c>
    </row>
    <row r="243" spans="1:4" x14ac:dyDescent="0.2">
      <c r="A243" s="1" t="s">
        <v>242</v>
      </c>
      <c r="B243" s="3">
        <f>VLOOKUP(A243,[3]TeamRtg!$A$3:$G$367,7,FALSE)</f>
        <v>-0.43798410762870843</v>
      </c>
      <c r="C243" s="1">
        <f t="shared" si="3"/>
        <v>244</v>
      </c>
      <c r="D243" s="1">
        <v>243</v>
      </c>
    </row>
    <row r="244" spans="1:4" x14ac:dyDescent="0.2">
      <c r="A244" s="1" t="s">
        <v>243</v>
      </c>
      <c r="B244" s="3">
        <f>VLOOKUP(A244,[3]TeamRtg!$A$3:$G$367,7,FALSE)</f>
        <v>-0.47089813586115858</v>
      </c>
      <c r="C244" s="1">
        <f t="shared" si="3"/>
        <v>247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-0.48786092272236864</v>
      </c>
      <c r="C245" s="1">
        <f t="shared" si="3"/>
        <v>253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-0.40132477116378712</v>
      </c>
      <c r="C246" s="1">
        <f t="shared" si="3"/>
        <v>240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-0.48730661809118164</v>
      </c>
      <c r="C247" s="1">
        <f t="shared" si="3"/>
        <v>251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-0.49030931207033507</v>
      </c>
      <c r="C248" s="1">
        <f t="shared" si="3"/>
        <v>254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-0.48768474464297784</v>
      </c>
      <c r="C249" s="1">
        <f t="shared" si="3"/>
        <v>252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-0.44766090007141313</v>
      </c>
      <c r="C250" s="1">
        <f t="shared" si="3"/>
        <v>245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-0.47494644847090289</v>
      </c>
      <c r="C251" s="1">
        <f t="shared" si="3"/>
        <v>249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-0.42346843899644332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-0.46185678417421289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-0.47123935767449709</v>
      </c>
      <c r="C254" s="1">
        <f t="shared" si="3"/>
        <v>248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-0.52076538336220446</v>
      </c>
      <c r="C255" s="1">
        <f t="shared" si="3"/>
        <v>257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-0.51314598815559109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-0.54149039519561881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-0.51041193085365077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-0.59752869763955163</v>
      </c>
      <c r="C259" s="1">
        <f t="shared" ref="C259:C322" si="4">RANK(B259,$B$2:$B$366)</f>
        <v>267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-0.55452448250785069</v>
      </c>
      <c r="C260" s="1">
        <f t="shared" si="4"/>
        <v>260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-0.55367533045986028</v>
      </c>
      <c r="C261" s="1">
        <f t="shared" si="4"/>
        <v>259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-0.62543616877272534</v>
      </c>
      <c r="C262" s="1">
        <f t="shared" si="4"/>
        <v>272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-0.57486993779009499</v>
      </c>
      <c r="C263" s="1">
        <f t="shared" si="4"/>
        <v>262</v>
      </c>
      <c r="D263" s="1">
        <v>264</v>
      </c>
    </row>
    <row r="264" spans="1:4" x14ac:dyDescent="0.2">
      <c r="A264" s="1" t="s">
        <v>263</v>
      </c>
      <c r="B264" s="3">
        <f>VLOOKUP(A264,[3]TeamRtg!$A$3:$G$367,7,FALSE)</f>
        <v>-0.57600114406435243</v>
      </c>
      <c r="C264" s="1">
        <f t="shared" si="4"/>
        <v>264</v>
      </c>
      <c r="D264" s="1">
        <v>262</v>
      </c>
    </row>
    <row r="265" spans="1:4" x14ac:dyDescent="0.2">
      <c r="A265" s="1" t="s">
        <v>264</v>
      </c>
      <c r="B265" s="3">
        <f>VLOOKUP(A265,[3]TeamRtg!$A$3:$G$367,7,FALSE)</f>
        <v>-0.57507884555836175</v>
      </c>
      <c r="C265" s="1">
        <f t="shared" si="4"/>
        <v>263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-0.60023903679704305</v>
      </c>
      <c r="C266" s="1">
        <f t="shared" si="4"/>
        <v>268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-0.62772037369566158</v>
      </c>
      <c r="C267" s="1">
        <f t="shared" si="4"/>
        <v>274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-0.60343121135972122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-0.58381604422654243</v>
      </c>
      <c r="C269" s="1">
        <f t="shared" si="4"/>
        <v>266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-0.61480646764468661</v>
      </c>
      <c r="C270" s="1">
        <f t="shared" si="4"/>
        <v>271</v>
      </c>
      <c r="D270" s="1">
        <v>270</v>
      </c>
    </row>
    <row r="271" spans="1:4" x14ac:dyDescent="0.2">
      <c r="A271" s="1" t="s">
        <v>270</v>
      </c>
      <c r="B271" s="3">
        <f>VLOOKUP(A271,[3]TeamRtg!$A$3:$G$367,7,FALSE)</f>
        <v>-0.48436716581765515</v>
      </c>
      <c r="C271" s="1">
        <f t="shared" si="4"/>
        <v>250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-0.58133862213370269</v>
      </c>
      <c r="C272" s="1">
        <f t="shared" si="4"/>
        <v>265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-0.62731224949938946</v>
      </c>
      <c r="C273" s="1">
        <f t="shared" si="4"/>
        <v>273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-0.56189701248085588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-0.64834385690396978</v>
      </c>
      <c r="C275" s="1">
        <f t="shared" si="4"/>
        <v>275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-0.66980321915231944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-0.73728675841253044</v>
      </c>
      <c r="C277" s="1">
        <f t="shared" si="4"/>
        <v>283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-0.6094279963285546</v>
      </c>
      <c r="C278" s="1">
        <f t="shared" si="4"/>
        <v>270</v>
      </c>
      <c r="D278" s="1">
        <v>271</v>
      </c>
    </row>
    <row r="279" spans="1:4" x14ac:dyDescent="0.2">
      <c r="A279" s="1" t="s">
        <v>278</v>
      </c>
      <c r="B279" s="3">
        <f>VLOOKUP(A279,[3]TeamRtg!$A$3:$G$367,7,FALSE)</f>
        <v>-0.71568831765727836</v>
      </c>
      <c r="C279" s="1">
        <f t="shared" si="4"/>
        <v>280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-0.71563555830205716</v>
      </c>
      <c r="C280" s="1">
        <f t="shared" si="4"/>
        <v>279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-0.69267988065807262</v>
      </c>
      <c r="C281" s="1">
        <f t="shared" si="4"/>
        <v>277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-0.69367588504770805</v>
      </c>
      <c r="C282" s="1">
        <f t="shared" si="4"/>
        <v>278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-0.74635360200824541</v>
      </c>
      <c r="C283" s="1">
        <f t="shared" si="4"/>
        <v>286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-0.7569309514384871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-0.76036647106431376</v>
      </c>
      <c r="C285" s="1">
        <f t="shared" si="4"/>
        <v>289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-0.7407960876848646</v>
      </c>
      <c r="C286" s="1">
        <f t="shared" si="4"/>
        <v>284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-0.73620009574516465</v>
      </c>
      <c r="C287" s="1">
        <f t="shared" si="4"/>
        <v>282</v>
      </c>
      <c r="D287" s="1">
        <v>281</v>
      </c>
    </row>
    <row r="288" spans="1:4" x14ac:dyDescent="0.2">
      <c r="A288" s="1" t="s">
        <v>287</v>
      </c>
      <c r="B288" s="3">
        <f>VLOOKUP(A288,[3]TeamRtg!$A$3:$G$367,7,FALSE)</f>
        <v>-0.73286887288682201</v>
      </c>
      <c r="C288" s="1">
        <f t="shared" si="4"/>
        <v>281</v>
      </c>
      <c r="D288" s="1">
        <v>282</v>
      </c>
    </row>
    <row r="289" spans="1:4" x14ac:dyDescent="0.2">
      <c r="A289" s="1" t="s">
        <v>288</v>
      </c>
      <c r="B289" s="3">
        <f>VLOOKUP(A289,[3]TeamRtg!$A$3:$G$367,7,FALSE)</f>
        <v>-0.74805537859080962</v>
      </c>
      <c r="C289" s="1">
        <f t="shared" si="4"/>
        <v>287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-0.74536249977265356</v>
      </c>
      <c r="C290" s="1">
        <f t="shared" si="4"/>
        <v>285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-0.80921541494158944</v>
      </c>
      <c r="C291" s="1">
        <f t="shared" si="4"/>
        <v>291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-0.86195701894157584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-0.81096990495370913</v>
      </c>
      <c r="C293" s="1">
        <f t="shared" si="4"/>
        <v>292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-0.84716122622541801</v>
      </c>
      <c r="C294" s="1">
        <f t="shared" si="4"/>
        <v>293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-0.79028140143691117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-0.87676235799523683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-0.95815328214663609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-0.93465773645835304</v>
      </c>
      <c r="C298" s="1">
        <f t="shared" si="4"/>
        <v>296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-1.027574962898709</v>
      </c>
      <c r="C299" s="1">
        <f t="shared" si="4"/>
        <v>302</v>
      </c>
      <c r="D299" s="1">
        <v>303</v>
      </c>
    </row>
    <row r="300" spans="1:4" x14ac:dyDescent="0.2">
      <c r="A300" s="1" t="s">
        <v>299</v>
      </c>
      <c r="B300" s="3">
        <f>VLOOKUP(A300,[3]TeamRtg!$A$3:$G$367,7,FALSE)</f>
        <v>-0.95760275450130816</v>
      </c>
      <c r="C300" s="1">
        <f t="shared" si="4"/>
        <v>297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-0.97859599433677025</v>
      </c>
      <c r="C301" s="1">
        <f t="shared" si="4"/>
        <v>300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-1.029824338392018</v>
      </c>
      <c r="C302" s="1">
        <f t="shared" si="4"/>
        <v>303</v>
      </c>
      <c r="D302" s="1">
        <v>302</v>
      </c>
    </row>
    <row r="303" spans="1:4" x14ac:dyDescent="0.2">
      <c r="A303" s="1" t="s">
        <v>302</v>
      </c>
      <c r="B303" s="3">
        <f>VLOOKUP(A303,[3]TeamRtg!$A$3:$G$367,7,FALSE)</f>
        <v>-1.0220059522977396</v>
      </c>
      <c r="C303" s="1">
        <f t="shared" si="4"/>
        <v>301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-1.0546793932516898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-1.051989560046682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-0.96567224877648494</v>
      </c>
      <c r="C306" s="1">
        <f t="shared" si="4"/>
        <v>299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-1.0511472743702857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-1.1379575656815235</v>
      </c>
      <c r="C308" s="1">
        <f t="shared" si="4"/>
        <v>309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-1.0956675192151399</v>
      </c>
      <c r="C309" s="1">
        <f t="shared" si="4"/>
        <v>307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-1.1762635487397779</v>
      </c>
      <c r="C310" s="1">
        <f t="shared" si="4"/>
        <v>311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-1.1284170465499836</v>
      </c>
      <c r="C311" s="1">
        <f t="shared" si="4"/>
        <v>308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-1.1655897650983666</v>
      </c>
      <c r="C312" s="1">
        <f t="shared" si="4"/>
        <v>310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-1.1934803847393622</v>
      </c>
      <c r="C313" s="1">
        <f t="shared" si="4"/>
        <v>316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-1.1799002333279218</v>
      </c>
      <c r="C314" s="1">
        <f t="shared" si="4"/>
        <v>312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-1.1909872641869257</v>
      </c>
      <c r="C315" s="1">
        <f t="shared" si="4"/>
        <v>315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-1.2417842155183363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-1.212438406568237</v>
      </c>
      <c r="C317" s="1">
        <f t="shared" si="4"/>
        <v>318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-1.1855751458491564</v>
      </c>
      <c r="C318" s="1">
        <f t="shared" si="4"/>
        <v>314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-1.1964942319180025</v>
      </c>
      <c r="C319" s="1">
        <f t="shared" si="4"/>
        <v>317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-1.2379374279900421</v>
      </c>
      <c r="C320" s="1">
        <f t="shared" si="4"/>
        <v>320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-1.2374365716732874</v>
      </c>
      <c r="C321" s="1">
        <f t="shared" si="4"/>
        <v>319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-1.1847052440784633</v>
      </c>
      <c r="C322" s="1">
        <f t="shared" si="4"/>
        <v>313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-1.3760904628734372</v>
      </c>
      <c r="C323" s="1">
        <f t="shared" ref="C323:C366" si="5">RANK(B323,$B$2:$B$366)</f>
        <v>330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-1.3099987348209188</v>
      </c>
      <c r="C324" s="1">
        <f t="shared" si="5"/>
        <v>325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-1.2935235561539278</v>
      </c>
      <c r="C325" s="1">
        <f t="shared" si="5"/>
        <v>324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-1.3164900884092141</v>
      </c>
      <c r="C326" s="1">
        <f t="shared" si="5"/>
        <v>326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-1.2852871608423531</v>
      </c>
      <c r="C327" s="1">
        <f t="shared" si="5"/>
        <v>323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-1.3688186801502686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-1.2759970391613429</v>
      </c>
      <c r="C329" s="1">
        <f t="shared" si="5"/>
        <v>322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-1.3624881341638384</v>
      </c>
      <c r="C330" s="1">
        <f t="shared" si="5"/>
        <v>328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-1.3903608881466665</v>
      </c>
      <c r="C331" s="1">
        <f t="shared" si="5"/>
        <v>331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-1.3567476438796753</v>
      </c>
      <c r="C332" s="1">
        <f t="shared" si="5"/>
        <v>327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-1.4528377294972272</v>
      </c>
      <c r="C333" s="1">
        <f t="shared" si="5"/>
        <v>336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-1.4056496161966789</v>
      </c>
      <c r="C334" s="1">
        <f t="shared" si="5"/>
        <v>332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-1.4129207992919421</v>
      </c>
      <c r="C335" s="1">
        <f t="shared" si="5"/>
        <v>333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-1.4778449496473081</v>
      </c>
      <c r="C336" s="1">
        <f t="shared" si="5"/>
        <v>341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-1.4370136970052658</v>
      </c>
      <c r="C337" s="1">
        <f t="shared" si="5"/>
        <v>335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-1.4330469966426647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-1.4616563188345779</v>
      </c>
      <c r="C339" s="1">
        <f t="shared" si="5"/>
        <v>339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-1.4534213567278678</v>
      </c>
      <c r="C340" s="1">
        <f t="shared" si="5"/>
        <v>337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-1.472562927974258</v>
      </c>
      <c r="C341" s="1">
        <f t="shared" si="5"/>
        <v>340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-1.4579062372349318</v>
      </c>
      <c r="C342" s="1">
        <f t="shared" si="5"/>
        <v>338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-1.4926182667457975</v>
      </c>
      <c r="C343" s="1">
        <f t="shared" si="5"/>
        <v>343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-1.4853122400348124</v>
      </c>
      <c r="C344" s="1">
        <f t="shared" si="5"/>
        <v>342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-1.5060858603045244</v>
      </c>
      <c r="C345" s="1">
        <f t="shared" si="5"/>
        <v>345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-1.5603769322935142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-1.5016304994805674</v>
      </c>
      <c r="C347" s="1">
        <f t="shared" si="5"/>
        <v>344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-1.58470687183381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-1.6306633580403571</v>
      </c>
      <c r="C349" s="1">
        <f t="shared" si="5"/>
        <v>349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-1.6175208979762623</v>
      </c>
      <c r="C350" s="1">
        <f t="shared" si="5"/>
        <v>348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-1.6949997924007605</v>
      </c>
      <c r="C351" s="1">
        <f t="shared" si="5"/>
        <v>351</v>
      </c>
      <c r="D351" s="1">
        <v>350</v>
      </c>
    </row>
    <row r="352" spans="1:4" x14ac:dyDescent="0.2">
      <c r="A352" s="1" t="s">
        <v>351</v>
      </c>
      <c r="B352" s="3">
        <f>VLOOKUP(A352,[3]TeamRtg!$A$3:$G$367,7,FALSE)</f>
        <v>-1.7456188782436697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-1.6956027716507378</v>
      </c>
      <c r="C353" s="1">
        <f t="shared" si="5"/>
        <v>352</v>
      </c>
      <c r="D353" s="1">
        <v>351</v>
      </c>
    </row>
    <row r="354" spans="1:4" x14ac:dyDescent="0.2">
      <c r="A354" s="1" t="s">
        <v>353</v>
      </c>
      <c r="B354" s="3">
        <f>VLOOKUP(A354,[3]TeamRtg!$A$3:$G$367,7,FALSE)</f>
        <v>-1.6925927079576981</v>
      </c>
      <c r="C354" s="1">
        <f t="shared" si="5"/>
        <v>350</v>
      </c>
      <c r="D354" s="1">
        <v>352</v>
      </c>
    </row>
    <row r="355" spans="1:4" x14ac:dyDescent="0.2">
      <c r="A355" s="1" t="s">
        <v>354</v>
      </c>
      <c r="B355" s="3">
        <f>VLOOKUP(A355,[3]TeamRtg!$A$3:$G$367,7,FALSE)</f>
        <v>-1.7767086266324021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-1.7984006693799153</v>
      </c>
      <c r="C356" s="1">
        <f t="shared" si="5"/>
        <v>355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-1.9855283109838096</v>
      </c>
      <c r="C357" s="1">
        <f t="shared" si="5"/>
        <v>359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-1.9335084293647664</v>
      </c>
      <c r="C358" s="1">
        <f t="shared" si="5"/>
        <v>356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-1.950328772904655</v>
      </c>
      <c r="C359" s="1">
        <f t="shared" si="5"/>
        <v>357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-1.9764882952847433</v>
      </c>
      <c r="C360" s="1">
        <f t="shared" si="5"/>
        <v>358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-2.040542662482367</v>
      </c>
      <c r="C361" s="1">
        <f t="shared" si="5"/>
        <v>360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-2.2130061350166859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-2.2055173553334946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-2.227977380498301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-2.2087339194757298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-2.5714270070388312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G5" sqref="G5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3</v>
      </c>
      <c r="B2">
        <v>0.97075</v>
      </c>
      <c r="C2">
        <v>0.78939999999999999</v>
      </c>
      <c r="D2">
        <v>0.51834999999999998</v>
      </c>
      <c r="E2">
        <v>0.37874999999999998</v>
      </c>
      <c r="F2">
        <v>0.2248</v>
      </c>
      <c r="G2">
        <v>0.13435</v>
      </c>
      <c r="H2" t="s">
        <v>382</v>
      </c>
      <c r="I2">
        <v>1</v>
      </c>
      <c r="J2">
        <v>23.91563848476585</v>
      </c>
    </row>
    <row r="3" spans="1:10" x14ac:dyDescent="0.2">
      <c r="A3" t="s">
        <v>1</v>
      </c>
      <c r="B3">
        <v>0.98265000000000002</v>
      </c>
      <c r="C3">
        <v>0.73350000000000004</v>
      </c>
      <c r="D3">
        <v>0.50409999999999999</v>
      </c>
      <c r="E3">
        <v>0.34089999999999998</v>
      </c>
      <c r="F3">
        <v>0.20635000000000001</v>
      </c>
      <c r="G3">
        <v>0.1211</v>
      </c>
      <c r="H3" t="s">
        <v>384</v>
      </c>
      <c r="I3">
        <v>1</v>
      </c>
      <c r="J3">
        <v>23.818031475685999</v>
      </c>
    </row>
    <row r="4" spans="1:10" x14ac:dyDescent="0.2">
      <c r="A4" t="s">
        <v>4</v>
      </c>
      <c r="B4">
        <v>0.95415000000000005</v>
      </c>
      <c r="C4">
        <v>0.69469999999999998</v>
      </c>
      <c r="D4">
        <v>0.52505000000000002</v>
      </c>
      <c r="E4">
        <v>0.31879999999999997</v>
      </c>
      <c r="F4">
        <v>0.18804999999999999</v>
      </c>
      <c r="G4">
        <v>0.10489999999999999</v>
      </c>
      <c r="H4" t="s">
        <v>385</v>
      </c>
      <c r="I4">
        <v>1</v>
      </c>
      <c r="J4">
        <v>22.74862567359235</v>
      </c>
    </row>
    <row r="5" spans="1:10" x14ac:dyDescent="0.2">
      <c r="A5" t="s">
        <v>2</v>
      </c>
      <c r="B5">
        <v>0.97765000000000002</v>
      </c>
      <c r="C5">
        <v>0.69499999999999995</v>
      </c>
      <c r="D5">
        <v>0.41735</v>
      </c>
      <c r="E5">
        <v>0.27189999999999998</v>
      </c>
      <c r="F5">
        <v>0.16564999999999999</v>
      </c>
      <c r="G5">
        <v>9.7350000000000006E-2</v>
      </c>
      <c r="H5" t="s">
        <v>383</v>
      </c>
      <c r="I5">
        <v>1</v>
      </c>
      <c r="J5">
        <v>23.726370739322149</v>
      </c>
    </row>
    <row r="6" spans="1:10" x14ac:dyDescent="0.2">
      <c r="A6" t="s">
        <v>9</v>
      </c>
      <c r="B6">
        <v>0.97335000000000005</v>
      </c>
      <c r="C6">
        <v>0.63885000000000003</v>
      </c>
      <c r="D6">
        <v>0.36654999999999999</v>
      </c>
      <c r="E6">
        <v>0.1706</v>
      </c>
      <c r="F6">
        <v>8.7099999999999997E-2</v>
      </c>
      <c r="G6">
        <v>4.5199999999999997E-2</v>
      </c>
      <c r="H6" t="s">
        <v>383</v>
      </c>
      <c r="I6">
        <v>2</v>
      </c>
      <c r="J6">
        <v>20.339302088369141</v>
      </c>
    </row>
    <row r="7" spans="1:10" x14ac:dyDescent="0.2">
      <c r="A7" t="s">
        <v>5</v>
      </c>
      <c r="B7">
        <v>0.90764999999999996</v>
      </c>
      <c r="C7">
        <v>0.54525000000000001</v>
      </c>
      <c r="D7">
        <v>0.26989999999999997</v>
      </c>
      <c r="E7">
        <v>0.15384999999999999</v>
      </c>
      <c r="F7">
        <v>8.4750000000000006E-2</v>
      </c>
      <c r="G7">
        <v>4.4600000000000001E-2</v>
      </c>
      <c r="H7" t="s">
        <v>383</v>
      </c>
      <c r="I7">
        <v>4</v>
      </c>
      <c r="J7">
        <v>21.344876542724961</v>
      </c>
    </row>
    <row r="8" spans="1:10" x14ac:dyDescent="0.2">
      <c r="A8" t="s">
        <v>7</v>
      </c>
      <c r="B8">
        <v>0.9</v>
      </c>
      <c r="C8">
        <v>0.55605000000000004</v>
      </c>
      <c r="D8">
        <v>0.30599999999999999</v>
      </c>
      <c r="E8">
        <v>0.17015</v>
      </c>
      <c r="F8">
        <v>8.8749999999999996E-2</v>
      </c>
      <c r="G8">
        <v>4.3799999999999999E-2</v>
      </c>
      <c r="H8" t="s">
        <v>385</v>
      </c>
      <c r="I8">
        <v>3</v>
      </c>
      <c r="J8">
        <v>20.822747409737431</v>
      </c>
    </row>
    <row r="9" spans="1:10" x14ac:dyDescent="0.2">
      <c r="A9" t="s">
        <v>6</v>
      </c>
      <c r="B9">
        <v>0.92010000000000003</v>
      </c>
      <c r="C9">
        <v>0.57125000000000004</v>
      </c>
      <c r="D9">
        <v>0.31509999999999999</v>
      </c>
      <c r="E9">
        <v>0.17645</v>
      </c>
      <c r="F9">
        <v>9.0950000000000003E-2</v>
      </c>
      <c r="G9">
        <v>4.2299999999999997E-2</v>
      </c>
      <c r="H9" t="s">
        <v>385</v>
      </c>
      <c r="I9">
        <v>2</v>
      </c>
      <c r="J9">
        <v>20.523299572994471</v>
      </c>
    </row>
    <row r="10" spans="1:10" x14ac:dyDescent="0.2">
      <c r="A10" t="s">
        <v>12</v>
      </c>
      <c r="B10">
        <v>0.90905000000000002</v>
      </c>
      <c r="C10">
        <v>0.61885000000000001</v>
      </c>
      <c r="D10">
        <v>0.33955000000000002</v>
      </c>
      <c r="E10">
        <v>0.15790000000000001</v>
      </c>
      <c r="F10">
        <v>7.9750000000000001E-2</v>
      </c>
      <c r="G10">
        <v>3.8949999999999999E-2</v>
      </c>
      <c r="H10" t="s">
        <v>383</v>
      </c>
      <c r="I10">
        <v>3</v>
      </c>
      <c r="J10">
        <v>20.28354888053245</v>
      </c>
    </row>
    <row r="11" spans="1:10" x14ac:dyDescent="0.2">
      <c r="A11" t="s">
        <v>10</v>
      </c>
      <c r="B11">
        <v>0.79444999999999999</v>
      </c>
      <c r="C11">
        <v>0.50519999999999998</v>
      </c>
      <c r="D11">
        <v>0.23760000000000001</v>
      </c>
      <c r="E11">
        <v>0.15190000000000001</v>
      </c>
      <c r="F11">
        <v>7.4399999999999994E-2</v>
      </c>
      <c r="G11">
        <v>3.8300000000000001E-2</v>
      </c>
      <c r="H11" t="s">
        <v>382</v>
      </c>
      <c r="I11">
        <v>5</v>
      </c>
      <c r="J11">
        <v>20.649012498581911</v>
      </c>
    </row>
    <row r="12" spans="1:10" x14ac:dyDescent="0.2">
      <c r="A12" t="s">
        <v>14</v>
      </c>
      <c r="B12">
        <v>0.85919999999999996</v>
      </c>
      <c r="C12">
        <v>0.53254999999999997</v>
      </c>
      <c r="D12">
        <v>0.31819999999999998</v>
      </c>
      <c r="E12">
        <v>0.15060000000000001</v>
      </c>
      <c r="F12">
        <v>7.6350000000000001E-2</v>
      </c>
      <c r="G12">
        <v>3.5999999999999997E-2</v>
      </c>
      <c r="H12" t="s">
        <v>384</v>
      </c>
      <c r="I12">
        <v>3</v>
      </c>
      <c r="J12">
        <v>19.724267702693741</v>
      </c>
    </row>
    <row r="13" spans="1:10" x14ac:dyDescent="0.2">
      <c r="A13" t="s">
        <v>13</v>
      </c>
      <c r="B13">
        <v>0.86955000000000005</v>
      </c>
      <c r="C13">
        <v>0.59009999999999996</v>
      </c>
      <c r="D13">
        <v>0.31780000000000003</v>
      </c>
      <c r="E13">
        <v>0.14435000000000001</v>
      </c>
      <c r="F13">
        <v>6.7100000000000007E-2</v>
      </c>
      <c r="G13">
        <v>0.03</v>
      </c>
      <c r="H13" t="s">
        <v>384</v>
      </c>
      <c r="I13">
        <v>2</v>
      </c>
      <c r="J13">
        <v>19.052161675549581</v>
      </c>
    </row>
    <row r="14" spans="1:10" x14ac:dyDescent="0.2">
      <c r="A14" t="s">
        <v>386</v>
      </c>
      <c r="B14">
        <v>0.89244999999999997</v>
      </c>
      <c r="C14">
        <v>0.60109999999999997</v>
      </c>
      <c r="D14">
        <v>0.36459999999999998</v>
      </c>
      <c r="E14">
        <v>0.15179999999999999</v>
      </c>
      <c r="F14">
        <v>6.6699999999999995E-2</v>
      </c>
      <c r="G14">
        <v>2.835E-2</v>
      </c>
      <c r="H14" t="s">
        <v>382</v>
      </c>
      <c r="I14">
        <v>2</v>
      </c>
      <c r="J14">
        <v>18.20829124698869</v>
      </c>
    </row>
    <row r="15" spans="1:10" x14ac:dyDescent="0.2">
      <c r="A15" t="s">
        <v>8</v>
      </c>
      <c r="B15">
        <v>0.73534999999999995</v>
      </c>
      <c r="C15">
        <v>0.36980000000000002</v>
      </c>
      <c r="D15">
        <v>0.17415</v>
      </c>
      <c r="E15">
        <v>9.5799999999999996E-2</v>
      </c>
      <c r="F15">
        <v>5.04E-2</v>
      </c>
      <c r="G15">
        <v>2.4750000000000001E-2</v>
      </c>
      <c r="H15" t="s">
        <v>383</v>
      </c>
      <c r="I15">
        <v>5</v>
      </c>
      <c r="J15">
        <v>20.289786813604461</v>
      </c>
    </row>
    <row r="16" spans="1:10" x14ac:dyDescent="0.2">
      <c r="A16" t="s">
        <v>15</v>
      </c>
      <c r="B16">
        <v>0.73119999999999996</v>
      </c>
      <c r="C16">
        <v>0.45190000000000002</v>
      </c>
      <c r="D16">
        <v>0.1958</v>
      </c>
      <c r="E16">
        <v>0.10680000000000001</v>
      </c>
      <c r="F16">
        <v>5.0900000000000001E-2</v>
      </c>
      <c r="G16">
        <v>2.2849999999999999E-2</v>
      </c>
      <c r="H16" t="s">
        <v>384</v>
      </c>
      <c r="I16">
        <v>5</v>
      </c>
      <c r="J16">
        <v>19.188801343657651</v>
      </c>
    </row>
    <row r="17" spans="1:10" x14ac:dyDescent="0.2">
      <c r="A17" t="s">
        <v>17</v>
      </c>
      <c r="B17">
        <v>0.74850000000000005</v>
      </c>
      <c r="C17">
        <v>0.35965000000000003</v>
      </c>
      <c r="D17">
        <v>0.17660000000000001</v>
      </c>
      <c r="E17">
        <v>8.9649999999999994E-2</v>
      </c>
      <c r="F17">
        <v>4.1450000000000001E-2</v>
      </c>
      <c r="G17">
        <v>1.8200000000000001E-2</v>
      </c>
      <c r="H17" t="s">
        <v>385</v>
      </c>
      <c r="I17">
        <v>7</v>
      </c>
      <c r="J17">
        <v>18.55702494743041</v>
      </c>
    </row>
    <row r="18" spans="1:10" x14ac:dyDescent="0.2">
      <c r="A18" t="s">
        <v>11</v>
      </c>
      <c r="B18">
        <v>0.7893</v>
      </c>
      <c r="C18">
        <v>0.38800000000000001</v>
      </c>
      <c r="D18">
        <v>0.15695000000000001</v>
      </c>
      <c r="E18">
        <v>8.7749999999999995E-2</v>
      </c>
      <c r="F18">
        <v>3.8600000000000002E-2</v>
      </c>
      <c r="G18">
        <v>1.77E-2</v>
      </c>
      <c r="H18" t="s">
        <v>382</v>
      </c>
      <c r="I18">
        <v>4</v>
      </c>
      <c r="J18">
        <v>17.917409465972611</v>
      </c>
    </row>
    <row r="19" spans="1:10" x14ac:dyDescent="0.2">
      <c r="A19" t="s">
        <v>20</v>
      </c>
      <c r="B19">
        <v>0.81305000000000005</v>
      </c>
      <c r="C19">
        <v>0.41710000000000003</v>
      </c>
      <c r="D19">
        <v>0.16214999999999999</v>
      </c>
      <c r="E19">
        <v>7.9149999999999998E-2</v>
      </c>
      <c r="F19">
        <v>3.2750000000000001E-2</v>
      </c>
      <c r="G19">
        <v>1.2200000000000001E-2</v>
      </c>
      <c r="H19" t="s">
        <v>384</v>
      </c>
      <c r="I19">
        <v>4</v>
      </c>
      <c r="J19">
        <v>17.20208324378714</v>
      </c>
    </row>
    <row r="20" spans="1:10" x14ac:dyDescent="0.2">
      <c r="A20" t="s">
        <v>24</v>
      </c>
      <c r="B20">
        <v>0.82609999999999995</v>
      </c>
      <c r="C20">
        <v>0.46265000000000001</v>
      </c>
      <c r="D20">
        <v>0.23744999999999999</v>
      </c>
      <c r="E20">
        <v>8.3650000000000002E-2</v>
      </c>
      <c r="F20">
        <v>2.9899999999999999E-2</v>
      </c>
      <c r="G20">
        <v>1.145E-2</v>
      </c>
      <c r="H20" t="s">
        <v>382</v>
      </c>
      <c r="I20">
        <v>3</v>
      </c>
      <c r="J20">
        <v>16.038493727225671</v>
      </c>
    </row>
    <row r="21" spans="1:10" x14ac:dyDescent="0.2">
      <c r="A21" t="s">
        <v>18</v>
      </c>
      <c r="B21">
        <v>0.56784999999999997</v>
      </c>
      <c r="C21">
        <v>0.25619999999999998</v>
      </c>
      <c r="D21">
        <v>0.1178</v>
      </c>
      <c r="E21">
        <v>5.475E-2</v>
      </c>
      <c r="F21">
        <v>2.5049999999999999E-2</v>
      </c>
      <c r="G21">
        <v>1.065E-2</v>
      </c>
      <c r="H21" t="s">
        <v>385</v>
      </c>
      <c r="I21">
        <v>6</v>
      </c>
      <c r="J21">
        <v>17.621046484960761</v>
      </c>
    </row>
    <row r="22" spans="1:10" x14ac:dyDescent="0.2">
      <c r="A22" t="s">
        <v>22</v>
      </c>
      <c r="B22">
        <v>0.63285000000000002</v>
      </c>
      <c r="C22">
        <v>0.25455</v>
      </c>
      <c r="D22">
        <v>0.1182</v>
      </c>
      <c r="E22">
        <v>4.2000000000000003E-2</v>
      </c>
      <c r="F22">
        <v>1.7899999999999999E-2</v>
      </c>
      <c r="G22">
        <v>7.0499999999999998E-3</v>
      </c>
      <c r="H22" t="s">
        <v>383</v>
      </c>
      <c r="I22">
        <v>7</v>
      </c>
      <c r="J22">
        <v>16.599296599486159</v>
      </c>
    </row>
    <row r="23" spans="1:10" x14ac:dyDescent="0.2">
      <c r="A23" t="s">
        <v>26</v>
      </c>
      <c r="B23">
        <v>0.55074999999999996</v>
      </c>
      <c r="C23">
        <v>0.24729999999999999</v>
      </c>
      <c r="D23">
        <v>0.12164999999999999</v>
      </c>
      <c r="E23">
        <v>4.5249999999999999E-2</v>
      </c>
      <c r="F23">
        <v>1.8350000000000002E-2</v>
      </c>
      <c r="G23">
        <v>6.9499999999999996E-3</v>
      </c>
      <c r="H23" t="s">
        <v>384</v>
      </c>
      <c r="I23">
        <v>6</v>
      </c>
      <c r="J23">
        <v>15.99115140253407</v>
      </c>
    </row>
    <row r="24" spans="1:10" x14ac:dyDescent="0.2">
      <c r="A24" t="s">
        <v>23</v>
      </c>
      <c r="B24">
        <v>0.56254999999999999</v>
      </c>
      <c r="C24">
        <v>0.18675</v>
      </c>
      <c r="D24">
        <v>0.1103</v>
      </c>
      <c r="E24">
        <v>4.2700000000000002E-2</v>
      </c>
      <c r="F24">
        <v>1.7850000000000001E-2</v>
      </c>
      <c r="G24">
        <v>6.6E-3</v>
      </c>
      <c r="H24" t="s">
        <v>385</v>
      </c>
      <c r="I24">
        <v>8</v>
      </c>
      <c r="J24">
        <v>16.04165934317437</v>
      </c>
    </row>
    <row r="25" spans="1:10" x14ac:dyDescent="0.2">
      <c r="A25" t="s">
        <v>30</v>
      </c>
      <c r="B25">
        <v>0.66544999999999999</v>
      </c>
      <c r="C25">
        <v>0.40989999999999999</v>
      </c>
      <c r="D25">
        <v>0.14665</v>
      </c>
      <c r="E25">
        <v>5.5199999999999999E-2</v>
      </c>
      <c r="F25">
        <v>2.0250000000000001E-2</v>
      </c>
      <c r="G25">
        <v>6.45E-3</v>
      </c>
      <c r="H25" t="s">
        <v>385</v>
      </c>
      <c r="I25">
        <v>5</v>
      </c>
      <c r="J25">
        <v>15.10978873336189</v>
      </c>
    </row>
    <row r="26" spans="1:10" x14ac:dyDescent="0.2">
      <c r="A26" t="s">
        <v>31</v>
      </c>
      <c r="B26">
        <v>0.57489999999999997</v>
      </c>
      <c r="C26">
        <v>0.30264999999999997</v>
      </c>
      <c r="D26">
        <v>0.14385000000000001</v>
      </c>
      <c r="E26">
        <v>4.9599999999999998E-2</v>
      </c>
      <c r="F26">
        <v>1.635E-2</v>
      </c>
      <c r="G26">
        <v>5.8999999999999999E-3</v>
      </c>
      <c r="H26" t="s">
        <v>382</v>
      </c>
      <c r="I26">
        <v>6</v>
      </c>
      <c r="J26">
        <v>15.050462509643109</v>
      </c>
    </row>
    <row r="27" spans="1:10" x14ac:dyDescent="0.2">
      <c r="A27" t="s">
        <v>25</v>
      </c>
      <c r="B27">
        <v>0.44924999999999998</v>
      </c>
      <c r="C27">
        <v>0.18905</v>
      </c>
      <c r="D27">
        <v>9.3049999999999994E-2</v>
      </c>
      <c r="E27">
        <v>3.4549999999999997E-2</v>
      </c>
      <c r="F27">
        <v>1.29E-2</v>
      </c>
      <c r="G27">
        <v>4.45E-3</v>
      </c>
      <c r="H27" t="s">
        <v>384</v>
      </c>
      <c r="I27">
        <v>11</v>
      </c>
      <c r="J27">
        <v>15.34543194484826</v>
      </c>
    </row>
    <row r="28" spans="1:10" x14ac:dyDescent="0.2">
      <c r="A28" t="s">
        <v>28</v>
      </c>
      <c r="B28">
        <v>0.50370000000000004</v>
      </c>
      <c r="C28">
        <v>0.15245</v>
      </c>
      <c r="D28">
        <v>5.7750000000000003E-2</v>
      </c>
      <c r="E28">
        <v>2.4250000000000001E-2</v>
      </c>
      <c r="F28">
        <v>9.2499999999999995E-3</v>
      </c>
      <c r="G28">
        <v>4.0499999999999998E-3</v>
      </c>
      <c r="H28" t="s">
        <v>383</v>
      </c>
      <c r="I28">
        <v>9</v>
      </c>
      <c r="J28">
        <v>16.132747635538259</v>
      </c>
    </row>
    <row r="29" spans="1:10" x14ac:dyDescent="0.2">
      <c r="A29" t="s">
        <v>21</v>
      </c>
      <c r="B29">
        <v>0.49630000000000002</v>
      </c>
      <c r="C29">
        <v>0.15179999999999999</v>
      </c>
      <c r="D29">
        <v>6.1449999999999998E-2</v>
      </c>
      <c r="E29">
        <v>2.64E-2</v>
      </c>
      <c r="F29">
        <v>9.4000000000000004E-3</v>
      </c>
      <c r="G29">
        <v>3.65E-3</v>
      </c>
      <c r="H29" t="s">
        <v>383</v>
      </c>
      <c r="I29">
        <v>8</v>
      </c>
      <c r="J29">
        <v>16.34749291041695</v>
      </c>
    </row>
    <row r="30" spans="1:10" x14ac:dyDescent="0.2">
      <c r="A30" t="s">
        <v>27</v>
      </c>
      <c r="B30">
        <v>0.43214999999999998</v>
      </c>
      <c r="C30">
        <v>0.17269999999999999</v>
      </c>
      <c r="D30">
        <v>6.7900000000000002E-2</v>
      </c>
      <c r="E30">
        <v>2.895E-2</v>
      </c>
      <c r="F30">
        <v>1.035E-2</v>
      </c>
      <c r="G30">
        <v>3.2000000000000002E-3</v>
      </c>
      <c r="H30" t="s">
        <v>385</v>
      </c>
      <c r="I30">
        <v>11</v>
      </c>
      <c r="J30">
        <v>15.50786789565708</v>
      </c>
    </row>
    <row r="31" spans="1:10" x14ac:dyDescent="0.2">
      <c r="A31" t="s">
        <v>35</v>
      </c>
      <c r="B31">
        <v>0.54690000000000005</v>
      </c>
      <c r="C31">
        <v>0.20130000000000001</v>
      </c>
      <c r="D31">
        <v>7.6700000000000004E-2</v>
      </c>
      <c r="E31">
        <v>2.5049999999999999E-2</v>
      </c>
      <c r="F31">
        <v>8.8000000000000005E-3</v>
      </c>
      <c r="G31">
        <v>2.7000000000000001E-3</v>
      </c>
      <c r="H31" t="s">
        <v>383</v>
      </c>
      <c r="I31">
        <v>6</v>
      </c>
      <c r="J31">
        <v>14.1360413405797</v>
      </c>
    </row>
    <row r="32" spans="1:10" x14ac:dyDescent="0.2">
      <c r="A32" t="s">
        <v>42</v>
      </c>
      <c r="B32">
        <v>0.42509999999999998</v>
      </c>
      <c r="C32">
        <v>0.19769999999999999</v>
      </c>
      <c r="D32">
        <v>8.2650000000000001E-2</v>
      </c>
      <c r="E32">
        <v>2.3E-2</v>
      </c>
      <c r="F32">
        <v>6.8500000000000002E-3</v>
      </c>
      <c r="G32">
        <v>2.7000000000000001E-3</v>
      </c>
      <c r="H32" t="s">
        <v>382</v>
      </c>
      <c r="I32">
        <v>11</v>
      </c>
      <c r="J32">
        <v>12.828546458354721</v>
      </c>
    </row>
    <row r="33" spans="1:10" x14ac:dyDescent="0.2">
      <c r="A33" t="s">
        <v>40</v>
      </c>
      <c r="B33">
        <v>0.72124999999999995</v>
      </c>
      <c r="C33">
        <v>0.35885</v>
      </c>
      <c r="D33">
        <v>0.1111</v>
      </c>
      <c r="E33">
        <v>3.2750000000000001E-2</v>
      </c>
      <c r="F33">
        <v>9.9500000000000005E-3</v>
      </c>
      <c r="G33">
        <v>2.65E-3</v>
      </c>
      <c r="H33" t="s">
        <v>385</v>
      </c>
      <c r="I33">
        <v>4</v>
      </c>
      <c r="J33">
        <v>13.035509619415491</v>
      </c>
    </row>
    <row r="34" spans="1:10" x14ac:dyDescent="0.2">
      <c r="A34" t="s">
        <v>33</v>
      </c>
      <c r="B34">
        <v>0.499</v>
      </c>
      <c r="C34">
        <v>0.13345000000000001</v>
      </c>
      <c r="D34">
        <v>5.6849999999999998E-2</v>
      </c>
      <c r="E34">
        <v>2.5049999999999999E-2</v>
      </c>
      <c r="F34">
        <v>9.6500000000000006E-3</v>
      </c>
      <c r="G34">
        <v>2.5999999999999999E-3</v>
      </c>
      <c r="H34" t="s">
        <v>384</v>
      </c>
      <c r="I34">
        <v>9</v>
      </c>
      <c r="J34">
        <v>14.643537446231869</v>
      </c>
    </row>
    <row r="35" spans="1:10" x14ac:dyDescent="0.2">
      <c r="A35" t="s">
        <v>29</v>
      </c>
      <c r="B35">
        <v>0.501</v>
      </c>
      <c r="C35">
        <v>0.13239999999999999</v>
      </c>
      <c r="D35">
        <v>5.6500000000000002E-2</v>
      </c>
      <c r="E35">
        <v>2.385E-2</v>
      </c>
      <c r="F35">
        <v>8.7500000000000008E-3</v>
      </c>
      <c r="G35">
        <v>2.5500000000000002E-3</v>
      </c>
      <c r="H35" t="s">
        <v>384</v>
      </c>
      <c r="I35">
        <v>8</v>
      </c>
      <c r="J35">
        <v>14.55162923244907</v>
      </c>
    </row>
    <row r="36" spans="1:10" x14ac:dyDescent="0.2">
      <c r="A36" t="s">
        <v>37</v>
      </c>
      <c r="B36">
        <v>0.46179999999999999</v>
      </c>
      <c r="C36">
        <v>0.18225</v>
      </c>
      <c r="D36">
        <v>7.0150000000000004E-2</v>
      </c>
      <c r="E36">
        <v>2.1649999999999999E-2</v>
      </c>
      <c r="F36">
        <v>8.0999999999999996E-3</v>
      </c>
      <c r="G36">
        <v>2.5000000000000001E-3</v>
      </c>
      <c r="H36" t="s">
        <v>384</v>
      </c>
      <c r="I36">
        <v>10</v>
      </c>
      <c r="J36">
        <v>13.76404646130946</v>
      </c>
    </row>
    <row r="37" spans="1:10" x14ac:dyDescent="0.2">
      <c r="A37" t="s">
        <v>46</v>
      </c>
      <c r="B37">
        <v>0.44009999999999999</v>
      </c>
      <c r="C37">
        <v>0.17365</v>
      </c>
      <c r="D37">
        <v>7.6499999999999999E-2</v>
      </c>
      <c r="E37">
        <v>1.9599999999999999E-2</v>
      </c>
      <c r="F37">
        <v>5.45E-3</v>
      </c>
      <c r="G37">
        <v>2E-3</v>
      </c>
      <c r="H37" t="s">
        <v>382</v>
      </c>
      <c r="I37">
        <v>10</v>
      </c>
      <c r="J37">
        <v>12.5423975484509</v>
      </c>
    </row>
    <row r="38" spans="1:10" x14ac:dyDescent="0.2">
      <c r="A38" t="s">
        <v>43</v>
      </c>
      <c r="B38">
        <v>0.43745000000000001</v>
      </c>
      <c r="C38">
        <v>0.11265</v>
      </c>
      <c r="D38">
        <v>5.7599999999999998E-2</v>
      </c>
      <c r="E38">
        <v>1.8499999999999999E-2</v>
      </c>
      <c r="F38">
        <v>5.5500000000000002E-3</v>
      </c>
      <c r="G38">
        <v>1.9499999999999999E-3</v>
      </c>
      <c r="H38" t="s">
        <v>385</v>
      </c>
      <c r="I38">
        <v>9</v>
      </c>
      <c r="J38">
        <v>12.68819911571482</v>
      </c>
    </row>
    <row r="39" spans="1:10" x14ac:dyDescent="0.2">
      <c r="A39" t="s">
        <v>34</v>
      </c>
      <c r="B39">
        <v>0.4531</v>
      </c>
      <c r="C39">
        <v>0.16259999999999999</v>
      </c>
      <c r="D39">
        <v>5.9400000000000001E-2</v>
      </c>
      <c r="E39">
        <v>1.5900000000000001E-2</v>
      </c>
      <c r="F39">
        <v>5.0000000000000001E-3</v>
      </c>
      <c r="G39">
        <v>1.8E-3</v>
      </c>
      <c r="H39" t="s">
        <v>383</v>
      </c>
      <c r="I39">
        <v>11</v>
      </c>
      <c r="J39">
        <v>13.530422338654081</v>
      </c>
    </row>
    <row r="40" spans="1:10" x14ac:dyDescent="0.2">
      <c r="A40" t="s">
        <v>38</v>
      </c>
      <c r="B40">
        <v>0.55044999999999999</v>
      </c>
      <c r="C40">
        <v>0.12584999999999999</v>
      </c>
      <c r="D40">
        <v>4.3249999999999997E-2</v>
      </c>
      <c r="E40">
        <v>1.755E-2</v>
      </c>
      <c r="F40">
        <v>5.4999999999999997E-3</v>
      </c>
      <c r="G40">
        <v>1.6000000000000001E-3</v>
      </c>
      <c r="H40" t="s">
        <v>382</v>
      </c>
      <c r="I40">
        <v>9</v>
      </c>
      <c r="J40">
        <v>12.92446268973079</v>
      </c>
    </row>
    <row r="41" spans="1:10" x14ac:dyDescent="0.2">
      <c r="A41" t="s">
        <v>53</v>
      </c>
      <c r="B41">
        <v>0.55989999999999995</v>
      </c>
      <c r="C41">
        <v>0.20315</v>
      </c>
      <c r="D41">
        <v>8.3000000000000004E-2</v>
      </c>
      <c r="E41">
        <v>2.1399999999999999E-2</v>
      </c>
      <c r="F41">
        <v>5.8999999999999999E-3</v>
      </c>
      <c r="G41">
        <v>1.5499999999999999E-3</v>
      </c>
      <c r="H41" t="s">
        <v>382</v>
      </c>
      <c r="I41">
        <v>7</v>
      </c>
      <c r="J41">
        <v>11.929329589884301</v>
      </c>
    </row>
    <row r="42" spans="1:10" x14ac:dyDescent="0.2">
      <c r="A42" t="s">
        <v>44</v>
      </c>
      <c r="B42">
        <v>0.53820000000000001</v>
      </c>
      <c r="C42">
        <v>0.19525000000000001</v>
      </c>
      <c r="D42">
        <v>6.7349999999999993E-2</v>
      </c>
      <c r="E42">
        <v>1.975E-2</v>
      </c>
      <c r="F42">
        <v>6.4000000000000003E-3</v>
      </c>
      <c r="G42">
        <v>1.3500000000000001E-3</v>
      </c>
      <c r="H42" t="s">
        <v>384</v>
      </c>
      <c r="I42">
        <v>7</v>
      </c>
      <c r="J42">
        <v>12.436340213220561</v>
      </c>
    </row>
    <row r="43" spans="1:10" x14ac:dyDescent="0.2">
      <c r="A43" t="s">
        <v>50</v>
      </c>
      <c r="B43">
        <v>0.36714999999999998</v>
      </c>
      <c r="C43">
        <v>0.10505</v>
      </c>
      <c r="D43">
        <v>3.7449999999999997E-2</v>
      </c>
      <c r="E43">
        <v>9.9000000000000008E-3</v>
      </c>
      <c r="F43">
        <v>2.9499999999999999E-3</v>
      </c>
      <c r="G43">
        <v>6.9999999999999999E-4</v>
      </c>
      <c r="H43" t="s">
        <v>383</v>
      </c>
      <c r="I43">
        <v>10</v>
      </c>
      <c r="J43">
        <v>12.16089919512725</v>
      </c>
    </row>
    <row r="44" spans="1:10" x14ac:dyDescent="0.2">
      <c r="A44" t="s">
        <v>55</v>
      </c>
      <c r="B44">
        <v>0.26465</v>
      </c>
      <c r="C44">
        <v>7.3400000000000007E-2</v>
      </c>
      <c r="D44">
        <v>1.7950000000000001E-2</v>
      </c>
      <c r="E44">
        <v>6.1000000000000004E-3</v>
      </c>
      <c r="F44">
        <v>1.8500000000000001E-3</v>
      </c>
      <c r="G44">
        <v>5.0000000000000001E-4</v>
      </c>
      <c r="H44" t="s">
        <v>383</v>
      </c>
      <c r="I44">
        <v>12</v>
      </c>
      <c r="J44">
        <v>10.662427729240891</v>
      </c>
    </row>
    <row r="45" spans="1:10" x14ac:dyDescent="0.2">
      <c r="A45" t="s">
        <v>56</v>
      </c>
      <c r="B45">
        <v>0.44955000000000001</v>
      </c>
      <c r="C45">
        <v>8.1600000000000006E-2</v>
      </c>
      <c r="D45">
        <v>2.385E-2</v>
      </c>
      <c r="E45">
        <v>7.6499999999999997E-3</v>
      </c>
      <c r="F45">
        <v>1.8500000000000001E-3</v>
      </c>
      <c r="G45">
        <v>4.4999999999999999E-4</v>
      </c>
      <c r="H45" t="s">
        <v>382</v>
      </c>
      <c r="I45">
        <v>8</v>
      </c>
      <c r="J45">
        <v>10.06903660436118</v>
      </c>
    </row>
    <row r="46" spans="1:10" x14ac:dyDescent="0.2">
      <c r="A46" t="s">
        <v>77</v>
      </c>
      <c r="B46">
        <v>0.33455000000000001</v>
      </c>
      <c r="C46">
        <v>0.1431</v>
      </c>
      <c r="D46">
        <v>3.1899999999999998E-2</v>
      </c>
      <c r="E46">
        <v>5.7499999999999999E-3</v>
      </c>
      <c r="F46">
        <v>1.3500000000000001E-3</v>
      </c>
      <c r="G46">
        <v>4.0000000000000002E-4</v>
      </c>
      <c r="H46" t="s">
        <v>385</v>
      </c>
      <c r="I46">
        <v>12</v>
      </c>
      <c r="J46">
        <v>8.7983849385388844</v>
      </c>
    </row>
    <row r="47" spans="1:10" x14ac:dyDescent="0.2">
      <c r="A47" t="s">
        <v>60</v>
      </c>
      <c r="B47">
        <v>0.26879999999999998</v>
      </c>
      <c r="C47">
        <v>9.5850000000000005E-2</v>
      </c>
      <c r="D47">
        <v>2.0899999999999998E-2</v>
      </c>
      <c r="E47">
        <v>5.8999999999999999E-3</v>
      </c>
      <c r="F47">
        <v>1.1999999999999999E-3</v>
      </c>
      <c r="G47">
        <v>3.5E-4</v>
      </c>
      <c r="H47" t="s">
        <v>384</v>
      </c>
      <c r="I47">
        <v>12</v>
      </c>
      <c r="J47">
        <v>9.6441610232734867</v>
      </c>
    </row>
    <row r="48" spans="1:10" x14ac:dyDescent="0.2">
      <c r="A48" t="s">
        <v>78</v>
      </c>
      <c r="B48">
        <v>0.2515</v>
      </c>
      <c r="C48">
        <v>5.765E-2</v>
      </c>
      <c r="D48">
        <v>1.3299999999999999E-2</v>
      </c>
      <c r="E48">
        <v>3.3999999999999998E-3</v>
      </c>
      <c r="F48">
        <v>8.9999999999999998E-4</v>
      </c>
      <c r="G48">
        <v>1.4999999999999999E-4</v>
      </c>
      <c r="H48" t="s">
        <v>385</v>
      </c>
      <c r="I48">
        <v>10</v>
      </c>
      <c r="J48">
        <v>8.0718958761759509</v>
      </c>
    </row>
    <row r="49" spans="1:10" x14ac:dyDescent="0.2">
      <c r="A49" t="s">
        <v>91</v>
      </c>
      <c r="B49">
        <v>0.20555000000000001</v>
      </c>
      <c r="C49">
        <v>5.7099999999999998E-2</v>
      </c>
      <c r="D49">
        <v>1.11E-2</v>
      </c>
      <c r="E49">
        <v>4.0000000000000001E-3</v>
      </c>
      <c r="F49">
        <v>5.5000000000000003E-4</v>
      </c>
      <c r="G49">
        <v>5.0000000000000002E-5</v>
      </c>
      <c r="H49" t="s">
        <v>382</v>
      </c>
      <c r="I49">
        <v>12</v>
      </c>
      <c r="J49">
        <v>7.4286283767729033</v>
      </c>
    </row>
    <row r="50" spans="1:10" x14ac:dyDescent="0.2">
      <c r="A50" t="s">
        <v>96</v>
      </c>
      <c r="B50">
        <v>0.27875</v>
      </c>
      <c r="C50">
        <v>8.8150000000000006E-2</v>
      </c>
      <c r="D50">
        <v>1.6449999999999999E-2</v>
      </c>
      <c r="E50">
        <v>2.3999999999999998E-3</v>
      </c>
      <c r="F50">
        <v>2.0000000000000001E-4</v>
      </c>
      <c r="G50">
        <v>5.0000000000000002E-5</v>
      </c>
      <c r="H50" t="s">
        <v>385</v>
      </c>
      <c r="I50">
        <v>13</v>
      </c>
      <c r="J50">
        <v>6.4528979587219801</v>
      </c>
    </row>
    <row r="51" spans="1:10" x14ac:dyDescent="0.2">
      <c r="A51" t="s">
        <v>83</v>
      </c>
      <c r="B51">
        <v>0.2107</v>
      </c>
      <c r="C51">
        <v>4.9700000000000001E-2</v>
      </c>
      <c r="D51">
        <v>8.6499999999999997E-3</v>
      </c>
      <c r="E51">
        <v>1.8500000000000001E-3</v>
      </c>
      <c r="F51">
        <v>2.0000000000000001E-4</v>
      </c>
      <c r="G51">
        <v>5.0000000000000002E-5</v>
      </c>
      <c r="H51" t="s">
        <v>382</v>
      </c>
      <c r="I51">
        <v>13</v>
      </c>
      <c r="J51">
        <v>7.1660953976463073</v>
      </c>
    </row>
    <row r="52" spans="1:10" x14ac:dyDescent="0.2">
      <c r="A52" t="s">
        <v>138</v>
      </c>
      <c r="B52">
        <v>0.1739</v>
      </c>
      <c r="C52">
        <v>3.6999999999999998E-2</v>
      </c>
      <c r="D52">
        <v>7.8499999999999993E-3</v>
      </c>
      <c r="E52">
        <v>1E-3</v>
      </c>
      <c r="F52">
        <v>1.4999999999999999E-4</v>
      </c>
      <c r="G52">
        <v>5.0000000000000002E-5</v>
      </c>
      <c r="H52" t="s">
        <v>382</v>
      </c>
      <c r="I52">
        <v>14</v>
      </c>
      <c r="J52">
        <v>3.8524422333216002</v>
      </c>
    </row>
    <row r="53" spans="1:10" x14ac:dyDescent="0.2">
      <c r="A53" t="s">
        <v>116</v>
      </c>
      <c r="B53">
        <v>0.14080000000000001</v>
      </c>
      <c r="C53">
        <v>3.1099999999999999E-2</v>
      </c>
      <c r="D53">
        <v>6.3E-3</v>
      </c>
      <c r="E53">
        <v>1.0499999999999999E-3</v>
      </c>
      <c r="F53">
        <v>2.0000000000000001E-4</v>
      </c>
      <c r="G53">
        <v>0</v>
      </c>
      <c r="H53" t="s">
        <v>384</v>
      </c>
      <c r="I53">
        <v>14</v>
      </c>
      <c r="J53">
        <v>5.2870372643884913</v>
      </c>
    </row>
    <row r="54" spans="1:10" x14ac:dyDescent="0.2">
      <c r="A54" t="s">
        <v>133</v>
      </c>
      <c r="B54">
        <v>0.13045000000000001</v>
      </c>
      <c r="C54">
        <v>3.2399999999999998E-2</v>
      </c>
      <c r="D54">
        <v>5.4999999999999997E-3</v>
      </c>
      <c r="E54">
        <v>6.4999999999999997E-4</v>
      </c>
      <c r="F54">
        <v>1E-4</v>
      </c>
      <c r="G54">
        <v>0</v>
      </c>
      <c r="H54" t="s">
        <v>384</v>
      </c>
      <c r="I54">
        <v>15</v>
      </c>
      <c r="J54">
        <v>3.8693978389596668</v>
      </c>
    </row>
    <row r="55" spans="1:10" x14ac:dyDescent="0.2">
      <c r="A55" t="s">
        <v>128</v>
      </c>
      <c r="B55">
        <v>0.18695000000000001</v>
      </c>
      <c r="C55">
        <v>3.5150000000000001E-2</v>
      </c>
      <c r="D55">
        <v>3.65E-3</v>
      </c>
      <c r="E55">
        <v>5.0000000000000001E-4</v>
      </c>
      <c r="F55">
        <v>2.0000000000000001E-4</v>
      </c>
      <c r="G55">
        <v>0</v>
      </c>
      <c r="H55" t="s">
        <v>384</v>
      </c>
      <c r="I55">
        <v>13</v>
      </c>
      <c r="J55">
        <v>4.4233275680415716</v>
      </c>
    </row>
    <row r="56" spans="1:10" x14ac:dyDescent="0.2">
      <c r="A56" t="s">
        <v>186</v>
      </c>
      <c r="B56">
        <v>0.10755000000000001</v>
      </c>
      <c r="C56">
        <v>2.2100000000000002E-2</v>
      </c>
      <c r="D56">
        <v>4.1000000000000003E-3</v>
      </c>
      <c r="E56">
        <v>5.0000000000000001E-4</v>
      </c>
      <c r="F56">
        <v>0</v>
      </c>
      <c r="G56">
        <v>0</v>
      </c>
      <c r="H56" t="s">
        <v>382</v>
      </c>
      <c r="I56">
        <v>15</v>
      </c>
      <c r="J56">
        <v>1.154164623064172</v>
      </c>
    </row>
    <row r="57" spans="1:10" x14ac:dyDescent="0.2">
      <c r="A57" t="s">
        <v>160</v>
      </c>
      <c r="B57">
        <v>0.1</v>
      </c>
      <c r="C57">
        <v>1.5049999999999999E-2</v>
      </c>
      <c r="D57">
        <v>2.0500000000000002E-3</v>
      </c>
      <c r="E57">
        <v>4.0000000000000002E-4</v>
      </c>
      <c r="F57">
        <v>5.0000000000000002E-5</v>
      </c>
      <c r="G57">
        <v>0</v>
      </c>
      <c r="H57" t="s">
        <v>385</v>
      </c>
      <c r="I57">
        <v>14</v>
      </c>
      <c r="J57">
        <v>2.6676443334011051</v>
      </c>
    </row>
    <row r="58" spans="1:10" x14ac:dyDescent="0.2">
      <c r="A58" t="s">
        <v>179</v>
      </c>
      <c r="B58">
        <v>9.0950000000000003E-2</v>
      </c>
      <c r="C58">
        <v>1.7250000000000001E-2</v>
      </c>
      <c r="D58">
        <v>2.0500000000000002E-3</v>
      </c>
      <c r="E58">
        <v>2.0000000000000001E-4</v>
      </c>
      <c r="F58">
        <v>0</v>
      </c>
      <c r="G58">
        <v>0</v>
      </c>
      <c r="H58" t="s">
        <v>383</v>
      </c>
      <c r="I58">
        <v>14</v>
      </c>
      <c r="J58">
        <v>1.02544433862291</v>
      </c>
    </row>
    <row r="59" spans="1:10" x14ac:dyDescent="0.2">
      <c r="A59" t="s">
        <v>182</v>
      </c>
      <c r="B59">
        <v>9.2350000000000002E-2</v>
      </c>
      <c r="C59">
        <v>1.155E-2</v>
      </c>
      <c r="D59">
        <v>1.4499999999999999E-3</v>
      </c>
      <c r="E59">
        <v>1.4999999999999999E-4</v>
      </c>
      <c r="F59">
        <v>0</v>
      </c>
      <c r="G59">
        <v>0</v>
      </c>
      <c r="H59" t="s">
        <v>383</v>
      </c>
      <c r="I59">
        <v>13</v>
      </c>
      <c r="J59">
        <v>0.98898052504195444</v>
      </c>
    </row>
    <row r="60" spans="1:10" x14ac:dyDescent="0.2">
      <c r="A60" t="s">
        <v>235</v>
      </c>
      <c r="B60">
        <v>4.5850000000000002E-2</v>
      </c>
      <c r="C60">
        <v>5.8999999999999999E-3</v>
      </c>
      <c r="D60">
        <v>9.5E-4</v>
      </c>
      <c r="E60">
        <v>1E-4</v>
      </c>
      <c r="F60">
        <v>0</v>
      </c>
      <c r="G60">
        <v>0</v>
      </c>
      <c r="H60" t="s">
        <v>385</v>
      </c>
      <c r="I60">
        <v>16</v>
      </c>
      <c r="J60">
        <v>-2.296566649879709</v>
      </c>
    </row>
    <row r="61" spans="1:10" x14ac:dyDescent="0.2">
      <c r="A61" t="s">
        <v>425</v>
      </c>
      <c r="B61">
        <v>7.9899999999999999E-2</v>
      </c>
      <c r="C61">
        <v>1.145E-2</v>
      </c>
      <c r="D61">
        <v>1.25E-3</v>
      </c>
      <c r="E61">
        <v>5.0000000000000002E-5</v>
      </c>
      <c r="F61">
        <v>0</v>
      </c>
      <c r="G61">
        <v>0</v>
      </c>
      <c r="H61" t="s">
        <v>385</v>
      </c>
      <c r="I61">
        <v>15</v>
      </c>
      <c r="J61">
        <v>0</v>
      </c>
    </row>
    <row r="62" spans="1:10" x14ac:dyDescent="0.2">
      <c r="A62" t="s">
        <v>318</v>
      </c>
      <c r="B62">
        <v>1.7350000000000001E-2</v>
      </c>
      <c r="C62">
        <v>6.4999999999999997E-4</v>
      </c>
      <c r="D62">
        <v>5.0000000000000002E-5</v>
      </c>
      <c r="E62">
        <v>0</v>
      </c>
      <c r="F62">
        <v>0</v>
      </c>
      <c r="G62">
        <v>0</v>
      </c>
      <c r="H62" t="s">
        <v>384</v>
      </c>
      <c r="I62">
        <v>16</v>
      </c>
      <c r="J62">
        <v>-10.35775209497865</v>
      </c>
    </row>
    <row r="63" spans="1:10" x14ac:dyDescent="0.2">
      <c r="A63" t="s">
        <v>275</v>
      </c>
      <c r="B63">
        <v>2.9250000000000002E-2</v>
      </c>
      <c r="C63">
        <v>3.15E-3</v>
      </c>
      <c r="D63">
        <v>2.5000000000000001E-4</v>
      </c>
      <c r="E63">
        <v>0</v>
      </c>
      <c r="F63">
        <v>0</v>
      </c>
      <c r="G63">
        <v>0</v>
      </c>
      <c r="H63" t="s">
        <v>382</v>
      </c>
      <c r="I63">
        <v>16</v>
      </c>
      <c r="J63">
        <v>-5.3958609403333044</v>
      </c>
    </row>
    <row r="64" spans="1:10" x14ac:dyDescent="0.2">
      <c r="A64" t="s">
        <v>321</v>
      </c>
      <c r="B64">
        <v>2.665E-2</v>
      </c>
      <c r="C64">
        <v>1.5499999999999999E-3</v>
      </c>
      <c r="D64">
        <v>1E-4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-10.24668949268349</v>
      </c>
    </row>
    <row r="65" spans="1:10" x14ac:dyDescent="0.2">
      <c r="A65" t="s">
        <v>305</v>
      </c>
      <c r="B65">
        <v>2.2349999999999998E-2</v>
      </c>
      <c r="C65">
        <v>7.5000000000000002E-4</v>
      </c>
      <c r="D65">
        <v>0</v>
      </c>
      <c r="E65">
        <v>0</v>
      </c>
      <c r="F65">
        <v>0</v>
      </c>
      <c r="G65">
        <v>0</v>
      </c>
      <c r="H65" t="s">
        <v>383</v>
      </c>
      <c r="I65">
        <v>16</v>
      </c>
      <c r="J65">
        <v>-8.1832066239376893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2026-03-14T00:07:52Z</dcterms:modified>
</cp:coreProperties>
</file>