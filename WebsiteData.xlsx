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6A3EABAD-1A1A-0449-B7B8-8375632F9B7F}" xr6:coauthVersionLast="47" xr6:coauthVersionMax="47" xr10:uidLastSave="{00000000-0000-0000-0000-000000000000}"/>
  <bookViews>
    <workbookView xWindow="0" yWindow="780" windowWidth="16140" windowHeight="20000" activeTab="4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4" l="1"/>
  <c r="H16" i="4" s="1"/>
  <c r="O15" i="4"/>
  <c r="O14" i="4"/>
  <c r="F2" i="4"/>
  <c r="E2" i="4"/>
  <c r="L16" i="4"/>
  <c r="L15" i="4"/>
  <c r="L14" i="4"/>
  <c r="H15" i="4"/>
  <c r="F14" i="4"/>
  <c r="G14" i="4" s="1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G15" i="4"/>
  <c r="G16" i="4" s="1"/>
  <c r="O13" i="4"/>
  <c r="H13" i="4" s="1"/>
  <c r="L13" i="4"/>
  <c r="F13" i="4"/>
  <c r="G13" i="4" s="1"/>
  <c r="I11" i="4"/>
  <c r="I12" i="4"/>
  <c r="G11" i="4"/>
  <c r="G12" i="4" s="1"/>
  <c r="F12" i="4"/>
  <c r="F11" i="4"/>
  <c r="H12" i="4"/>
  <c r="O12" i="4"/>
  <c r="O11" i="4"/>
  <c r="H11" i="4" s="1"/>
  <c r="L12" i="4"/>
  <c r="L11" i="4"/>
  <c r="I16" i="4" l="1"/>
  <c r="I13" i="4"/>
  <c r="D2" i="4"/>
  <c r="C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F6" i="4" l="1"/>
  <c r="O6" i="4"/>
  <c r="L6" i="4"/>
  <c r="K3" i="5"/>
  <c r="K4" i="5"/>
  <c r="K5" i="5"/>
  <c r="K2" i="5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E2" i="1" l="1"/>
  <c r="I2" i="1" l="1"/>
  <c r="G2" i="1"/>
  <c r="H2" i="1" l="1"/>
  <c r="K2" i="1" s="1"/>
  <c r="B235" i="2" l="1"/>
  <c r="B75" i="2"/>
  <c r="B69" i="2"/>
  <c r="B68" i="2"/>
  <c r="B84" i="2"/>
  <c r="B60" i="2"/>
  <c r="B36" i="2"/>
  <c r="B296" i="2"/>
  <c r="B343" i="2"/>
  <c r="B232" i="2"/>
  <c r="B240" i="2"/>
  <c r="B257" i="2"/>
  <c r="B41" i="2"/>
  <c r="B203" i="2"/>
  <c r="B222" i="2"/>
  <c r="B127" i="2"/>
  <c r="B245" i="2"/>
  <c r="B310" i="2"/>
  <c r="B228" i="2"/>
  <c r="B139" i="2"/>
  <c r="B77" i="2"/>
  <c r="B145" i="2"/>
  <c r="B8" i="2"/>
  <c r="B21" i="2"/>
  <c r="B20" i="2"/>
  <c r="B221" i="2"/>
  <c r="B122" i="2"/>
  <c r="B123" i="2"/>
  <c r="B29" i="2"/>
  <c r="B204" i="2"/>
  <c r="B330" i="2"/>
  <c r="B264" i="2"/>
  <c r="B175" i="2"/>
  <c r="B276" i="2"/>
  <c r="B80" i="2"/>
  <c r="B5" i="2"/>
  <c r="B284" i="2"/>
  <c r="B280" i="2"/>
  <c r="B328" i="2"/>
  <c r="B364" i="2"/>
  <c r="B362" i="2"/>
  <c r="B182" i="2"/>
  <c r="B120" i="2"/>
  <c r="B252" i="2"/>
  <c r="B199" i="2"/>
  <c r="B81" i="2"/>
  <c r="B327" i="2"/>
  <c r="B165" i="2"/>
  <c r="B45" i="2"/>
  <c r="B243" i="2"/>
  <c r="B179" i="2"/>
  <c r="B51" i="2"/>
  <c r="B337" i="2"/>
  <c r="B331" i="2"/>
  <c r="B205" i="2"/>
  <c r="B135" i="2"/>
  <c r="B3" i="2"/>
  <c r="B108" i="2"/>
  <c r="B44" i="2"/>
  <c r="B131" i="2"/>
  <c r="B201" i="2"/>
  <c r="B249" i="2"/>
  <c r="B27" i="2"/>
  <c r="B33" i="2"/>
  <c r="B323" i="2"/>
  <c r="B344" i="2"/>
  <c r="B15" i="2"/>
  <c r="B17" i="2"/>
  <c r="B6" i="2"/>
  <c r="B366" i="2"/>
  <c r="B23" i="2"/>
  <c r="B110" i="2"/>
  <c r="B38" i="2"/>
  <c r="B234" i="2"/>
  <c r="B270" i="2"/>
  <c r="B340" i="2"/>
  <c r="B53" i="2"/>
  <c r="B334" i="2"/>
  <c r="B260" i="2"/>
  <c r="B93" i="2"/>
  <c r="B43" i="2"/>
  <c r="B56" i="2"/>
  <c r="B281" i="2"/>
  <c r="B304" i="2"/>
  <c r="B236" i="2"/>
  <c r="B148" i="2"/>
  <c r="B94" i="2"/>
  <c r="B133" i="2"/>
  <c r="B302" i="2"/>
  <c r="B357" i="2"/>
  <c r="B73" i="2"/>
  <c r="B345" i="2"/>
  <c r="B230" i="2"/>
  <c r="B99" i="2"/>
  <c r="B114" i="2"/>
  <c r="B153" i="2"/>
  <c r="B172" i="2"/>
  <c r="B183" i="2"/>
  <c r="B226" i="2"/>
  <c r="B187" i="2"/>
  <c r="B353" i="2"/>
  <c r="B137" i="2"/>
  <c r="B130" i="2"/>
  <c r="B32" i="2"/>
  <c r="B25" i="2"/>
  <c r="B46" i="2"/>
  <c r="B267" i="2"/>
  <c r="B191" i="2"/>
  <c r="B238" i="2"/>
  <c r="B34" i="2"/>
  <c r="B22" i="2"/>
  <c r="B125" i="2"/>
  <c r="B65" i="2"/>
  <c r="B111" i="2"/>
  <c r="B141" i="2"/>
  <c r="B144" i="2"/>
  <c r="B9" i="2"/>
  <c r="B292" i="2"/>
  <c r="B223" i="2"/>
  <c r="B189" i="2"/>
  <c r="B121" i="2"/>
  <c r="B316" i="2"/>
  <c r="B295" i="2"/>
  <c r="B91" i="2"/>
  <c r="B162" i="2"/>
  <c r="B246" i="2"/>
  <c r="B365" i="2"/>
  <c r="B101" i="2"/>
  <c r="B136" i="2"/>
  <c r="B58" i="2"/>
  <c r="B40" i="2"/>
  <c r="B193" i="2"/>
  <c r="B268" i="2"/>
  <c r="B349" i="2"/>
  <c r="B256" i="2"/>
  <c r="B169" i="2"/>
  <c r="B62" i="2"/>
  <c r="B301" i="2"/>
  <c r="B107" i="2"/>
  <c r="B195" i="2"/>
  <c r="B291" i="2"/>
  <c r="B156" i="2"/>
  <c r="B272" i="2"/>
  <c r="B4" i="2"/>
  <c r="B200" i="2"/>
  <c r="B105" i="2"/>
  <c r="B61" i="2"/>
  <c r="B208" i="2"/>
  <c r="B149" i="2"/>
  <c r="B356" i="2"/>
  <c r="B50" i="2"/>
  <c r="B177" i="2"/>
  <c r="B178" i="2"/>
  <c r="B350" i="2"/>
  <c r="B134" i="2"/>
  <c r="B314" i="2"/>
  <c r="B242" i="2"/>
  <c r="B355" i="2"/>
  <c r="B171" i="2"/>
  <c r="B258" i="2"/>
  <c r="B37" i="2"/>
  <c r="B146" i="2"/>
  <c r="B287" i="2"/>
  <c r="B279" i="2"/>
  <c r="B64" i="2"/>
  <c r="B128" i="2"/>
  <c r="B313" i="2"/>
  <c r="B283" i="2"/>
  <c r="B67" i="2"/>
  <c r="B354" i="2"/>
  <c r="B213" i="2"/>
  <c r="B251" i="2"/>
  <c r="B216" i="2"/>
  <c r="B202" i="2"/>
  <c r="B253" i="2"/>
  <c r="B227" i="2"/>
  <c r="B63" i="2"/>
  <c r="B224" i="2"/>
  <c r="B282" i="2"/>
  <c r="B352" i="2"/>
  <c r="B168" i="2"/>
  <c r="B159" i="2"/>
  <c r="B229" i="2"/>
  <c r="B317" i="2"/>
  <c r="B152" i="2"/>
  <c r="B14" i="2"/>
  <c r="B342" i="2"/>
  <c r="B59" i="2"/>
  <c r="B190" i="2"/>
  <c r="B143" i="2"/>
  <c r="B55" i="2"/>
  <c r="B16" i="2"/>
  <c r="B180" i="2"/>
  <c r="B312" i="2"/>
  <c r="B71" i="2"/>
  <c r="B160" i="2"/>
  <c r="B289" i="2"/>
  <c r="B11" i="2"/>
  <c r="B266" i="2"/>
  <c r="B12" i="2"/>
  <c r="B265" i="2"/>
  <c r="B52" i="2"/>
  <c r="B214" i="2"/>
  <c r="B161" i="2"/>
  <c r="B113" i="2"/>
  <c r="B363" i="2"/>
  <c r="B261" i="2"/>
  <c r="B86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B299" i="2" l="1"/>
  <c r="B290" i="2"/>
  <c r="B358" i="2"/>
  <c r="B218" i="2"/>
  <c r="B335" i="2"/>
  <c r="B95" i="2"/>
  <c r="B188" i="2"/>
  <c r="B278" i="2"/>
  <c r="B239" i="2"/>
  <c r="B324" i="2"/>
  <c r="B233" i="2"/>
  <c r="B79" i="2"/>
  <c r="B209" i="2"/>
  <c r="B220" i="2"/>
  <c r="B102" i="2"/>
  <c r="B263" i="2"/>
  <c r="B39" i="2"/>
  <c r="B341" i="2"/>
  <c r="B329" i="2"/>
  <c r="B248" i="2"/>
  <c r="B157" i="2"/>
  <c r="B217" i="2"/>
  <c r="B13" i="2"/>
  <c r="B244" i="2"/>
  <c r="B112" i="2"/>
  <c r="B170" i="2"/>
  <c r="B47" i="2"/>
  <c r="B104" i="2"/>
  <c r="B19" i="2"/>
  <c r="B150" i="2"/>
  <c r="B198" i="2"/>
  <c r="B138" i="2"/>
  <c r="B158" i="2"/>
  <c r="B100" i="2"/>
  <c r="B347" i="2"/>
  <c r="B98" i="2"/>
  <c r="B10" i="2"/>
  <c r="B225" i="2"/>
  <c r="B18" i="2"/>
  <c r="B87" i="2"/>
  <c r="B28" i="2"/>
  <c r="B142" i="2"/>
  <c r="B254" i="2"/>
  <c r="B24" i="2"/>
  <c r="B211" i="2"/>
  <c r="B26" i="2"/>
  <c r="B140" i="2"/>
  <c r="B346" i="2"/>
  <c r="B361" i="2"/>
  <c r="B294" i="2"/>
  <c r="B300" i="2"/>
  <c r="B72" i="2"/>
  <c r="B166" i="2"/>
  <c r="B49" i="2"/>
  <c r="B92" i="2"/>
  <c r="B273" i="2"/>
  <c r="B167" i="2"/>
  <c r="B89" i="2"/>
  <c r="B321" i="2"/>
  <c r="B277" i="2"/>
  <c r="B274" i="2"/>
  <c r="B285" i="2"/>
  <c r="B155" i="2"/>
  <c r="B237" i="2"/>
  <c r="B151" i="2"/>
  <c r="B74" i="2"/>
  <c r="B70" i="2"/>
  <c r="B207" i="2"/>
  <c r="B48" i="2"/>
  <c r="B206" i="2"/>
  <c r="B196" i="2"/>
  <c r="B173" i="2"/>
  <c r="B174" i="2"/>
  <c r="B66" i="2"/>
  <c r="B259" i="2"/>
  <c r="B318" i="2"/>
  <c r="B305" i="2"/>
  <c r="B262" i="2"/>
  <c r="B309" i="2"/>
  <c r="B181" i="2"/>
  <c r="B212" i="2"/>
  <c r="B184" i="2"/>
  <c r="B154" i="2"/>
  <c r="B303" i="2"/>
  <c r="B126" i="2"/>
  <c r="B103" i="2"/>
  <c r="B115" i="2"/>
  <c r="B35" i="2"/>
  <c r="B194" i="2"/>
  <c r="B348" i="2"/>
  <c r="B308" i="2"/>
  <c r="B332" i="2"/>
  <c r="B109" i="2"/>
  <c r="B315" i="2"/>
  <c r="B164" i="2"/>
  <c r="B124" i="2"/>
  <c r="B210" i="2"/>
  <c r="B298" i="2"/>
  <c r="B163" i="2"/>
  <c r="B57" i="2"/>
  <c r="B219" i="2"/>
  <c r="B269" i="2"/>
  <c r="B197" i="2"/>
  <c r="B7" i="2"/>
  <c r="C41" i="2" s="1"/>
  <c r="B311" i="2"/>
  <c r="B215" i="2"/>
  <c r="B293" i="2"/>
  <c r="B54" i="2"/>
  <c r="B351" i="2"/>
  <c r="B30" i="2"/>
  <c r="B306" i="2"/>
  <c r="B186" i="2"/>
  <c r="B247" i="2"/>
  <c r="B255" i="2"/>
  <c r="B117" i="2"/>
  <c r="B192" i="2"/>
  <c r="B129" i="2"/>
  <c r="B96" i="2"/>
  <c r="B338" i="2"/>
  <c r="B85" i="2"/>
  <c r="B78" i="2"/>
  <c r="B271" i="2"/>
  <c r="B132" i="2"/>
  <c r="B31" i="2"/>
  <c r="B176" i="2"/>
  <c r="B336" i="2"/>
  <c r="B286" i="2"/>
  <c r="B325" i="2"/>
  <c r="B241" i="2"/>
  <c r="B339" i="2"/>
  <c r="B147" i="2"/>
  <c r="B185" i="2"/>
  <c r="B119" i="2"/>
  <c r="B231" i="2"/>
  <c r="B360" i="2"/>
  <c r="B88" i="2"/>
  <c r="B97" i="2"/>
  <c r="B76" i="2"/>
  <c r="B288" i="2"/>
  <c r="B2" i="2"/>
  <c r="C359" i="2" l="1"/>
  <c r="C271" i="2"/>
  <c r="C173" i="2"/>
  <c r="C158" i="2"/>
  <c r="C73" i="2"/>
  <c r="C7" i="2"/>
  <c r="C37" i="2"/>
  <c r="C218" i="2"/>
  <c r="C240" i="2"/>
  <c r="C124" i="2"/>
  <c r="C237" i="2"/>
  <c r="C288" i="2"/>
  <c r="C203" i="2"/>
  <c r="C194" i="2"/>
  <c r="C246" i="2"/>
  <c r="C325" i="2"/>
  <c r="C330" i="2"/>
  <c r="C51" i="2"/>
  <c r="C84" i="2"/>
  <c r="C201" i="2"/>
  <c r="C125" i="2"/>
  <c r="C93" i="2"/>
  <c r="C277" i="2"/>
  <c r="C17" i="2"/>
  <c r="C91" i="2"/>
  <c r="C66" i="2"/>
  <c r="C273" i="2"/>
  <c r="C226" i="2"/>
  <c r="C88" i="2"/>
  <c r="C186" i="2"/>
  <c r="C35" i="2"/>
  <c r="C181" i="2"/>
  <c r="C39" i="2"/>
  <c r="C55" i="2"/>
  <c r="C105" i="2"/>
  <c r="C336" i="2"/>
  <c r="C14" i="2"/>
  <c r="C130" i="2"/>
  <c r="C363" i="2"/>
  <c r="C134" i="2"/>
  <c r="C151" i="2"/>
  <c r="C140" i="2"/>
  <c r="C349" i="2"/>
  <c r="C176" i="2"/>
  <c r="C75" i="2"/>
  <c r="C121" i="2"/>
  <c r="C138" i="2"/>
  <c r="C142" i="2"/>
  <c r="C321" i="2"/>
  <c r="C357" i="2"/>
  <c r="C262" i="2"/>
  <c r="C348" i="2"/>
  <c r="C59" i="2"/>
  <c r="C327" i="2"/>
  <c r="C85" i="2"/>
  <c r="C9" i="2"/>
  <c r="C95" i="2"/>
  <c r="C175" i="2"/>
  <c r="C65" i="2"/>
  <c r="C49" i="2"/>
  <c r="C301" i="2"/>
  <c r="C228" i="2"/>
  <c r="C3" i="2"/>
  <c r="C309" i="2"/>
  <c r="C293" i="2"/>
  <c r="C320" i="2"/>
  <c r="C286" i="2"/>
  <c r="C291" i="2"/>
  <c r="C139" i="2"/>
  <c r="C177" i="2"/>
  <c r="C110" i="2"/>
  <c r="C287" i="2"/>
  <c r="C23" i="2"/>
  <c r="C279" i="2"/>
  <c r="C165" i="2"/>
  <c r="C303" i="2"/>
  <c r="C315" i="2"/>
  <c r="C169" i="2"/>
  <c r="C255" i="2"/>
  <c r="C313" i="2"/>
  <c r="C5" i="2"/>
  <c r="C143" i="2"/>
  <c r="C230" i="2"/>
  <c r="C209" i="2"/>
  <c r="C118" i="2"/>
  <c r="C322" i="2"/>
  <c r="C30" i="2"/>
  <c r="C78" i="2"/>
  <c r="C216" i="2"/>
  <c r="C316" i="2"/>
  <c r="C280" i="2"/>
  <c r="C232" i="2"/>
  <c r="C224" i="2"/>
  <c r="C152" i="2"/>
  <c r="C220" i="2"/>
  <c r="C302" i="2"/>
  <c r="C47" i="2"/>
  <c r="C307" i="2"/>
  <c r="C183" i="2"/>
  <c r="C18" i="2"/>
  <c r="C334" i="2"/>
  <c r="C157" i="2"/>
  <c r="C45" i="2"/>
  <c r="C269" i="2"/>
  <c r="C103" i="2"/>
  <c r="C99" i="2"/>
  <c r="C258" i="2"/>
  <c r="C206" i="2"/>
  <c r="C26" i="2"/>
  <c r="C111" i="2"/>
  <c r="C109" i="2"/>
  <c r="C212" i="2"/>
  <c r="C257" i="2"/>
  <c r="C227" i="2"/>
  <c r="C10" i="2"/>
  <c r="C161" i="2"/>
  <c r="C332" i="2"/>
  <c r="C119" i="2"/>
  <c r="C6" i="2"/>
  <c r="C57" i="2"/>
  <c r="C308" i="2"/>
  <c r="C58" i="2"/>
  <c r="C70" i="2"/>
  <c r="C312" i="2"/>
  <c r="C300" i="2"/>
  <c r="C314" i="2"/>
  <c r="C98" i="2"/>
  <c r="C244" i="2"/>
  <c r="C214" i="2"/>
  <c r="C24" i="2"/>
  <c r="C96" i="2"/>
  <c r="C83" i="2"/>
  <c r="C164" i="2"/>
  <c r="C40" i="2"/>
  <c r="C254" i="2"/>
  <c r="C198" i="2"/>
  <c r="C129" i="2"/>
  <c r="C32" i="2"/>
  <c r="C253" i="2"/>
  <c r="C207" i="2"/>
  <c r="C356" i="2"/>
  <c r="C82" i="2"/>
  <c r="C54" i="2"/>
  <c r="C106" i="2"/>
  <c r="C185" i="2"/>
  <c r="C156" i="2"/>
  <c r="C146" i="2"/>
  <c r="C260" i="2"/>
  <c r="C326" i="2"/>
  <c r="C77" i="2"/>
  <c r="C184" i="2"/>
  <c r="C366" i="2"/>
  <c r="C50" i="2"/>
  <c r="C361" i="2"/>
  <c r="C155" i="2"/>
  <c r="C44" i="2"/>
  <c r="C205" i="2"/>
  <c r="C245" i="2"/>
  <c r="C231" i="2"/>
  <c r="C76" i="2"/>
  <c r="C328" i="2"/>
  <c r="C126" i="2"/>
  <c r="C20" i="2"/>
  <c r="C289" i="2"/>
  <c r="C219" i="2"/>
  <c r="C97" i="2"/>
  <c r="C351" i="2"/>
  <c r="C114" i="2"/>
  <c r="C92" i="2"/>
  <c r="C112" i="2"/>
  <c r="C31" i="2"/>
  <c r="C22" i="2"/>
  <c r="C204" i="2"/>
  <c r="C178" i="2"/>
  <c r="C192" i="2"/>
  <c r="C148" i="2"/>
  <c r="C292" i="2"/>
  <c r="C364" i="2"/>
  <c r="C12" i="2"/>
  <c r="C43" i="2"/>
  <c r="C235" i="2"/>
  <c r="C33" i="2"/>
  <c r="C52" i="2"/>
  <c r="C323" i="2"/>
  <c r="C248" i="2"/>
  <c r="C81" i="2"/>
  <c r="C68" i="2"/>
  <c r="C21" i="2"/>
  <c r="C135" i="2"/>
  <c r="C132" i="2"/>
  <c r="C61" i="2"/>
  <c r="C266" i="2"/>
  <c r="C117" i="2"/>
  <c r="C270" i="2"/>
  <c r="C311" i="2"/>
  <c r="C283" i="2"/>
  <c r="C275" i="2"/>
  <c r="C210" i="2"/>
  <c r="C222" i="2"/>
  <c r="C120" i="2"/>
  <c r="C94" i="2"/>
  <c r="C62" i="2"/>
  <c r="C174" i="2"/>
  <c r="C48" i="2"/>
  <c r="C74" i="2"/>
  <c r="C223" i="2"/>
  <c r="C159" i="2"/>
  <c r="C274" i="2"/>
  <c r="C8" i="2"/>
  <c r="C294" i="2"/>
  <c r="C172" i="2"/>
  <c r="C4" i="2"/>
  <c r="C71" i="2"/>
  <c r="C211" i="2"/>
  <c r="C225" i="2"/>
  <c r="C331" i="2"/>
  <c r="C191" i="2"/>
  <c r="C69" i="2"/>
  <c r="C170" i="2"/>
  <c r="C243" i="2"/>
  <c r="C341" i="2"/>
  <c r="C195" i="2"/>
  <c r="C190" i="2"/>
  <c r="C285" i="2"/>
  <c r="C239" i="2"/>
  <c r="C182" i="2"/>
  <c r="C236" i="2"/>
  <c r="C101" i="2"/>
  <c r="C352" i="2"/>
  <c r="C319" i="2"/>
  <c r="C60" i="2"/>
  <c r="C238" i="2"/>
  <c r="C360" i="2"/>
  <c r="C202" i="2"/>
  <c r="C179" i="2"/>
  <c r="C305" i="2"/>
  <c r="C317" i="2"/>
  <c r="C340" i="2"/>
  <c r="C116" i="2"/>
  <c r="C343" i="2"/>
  <c r="C107" i="2"/>
  <c r="C150" i="2"/>
  <c r="C276" i="2"/>
  <c r="C38" i="2"/>
  <c r="C141" i="2"/>
  <c r="C64" i="2"/>
  <c r="C250" i="2"/>
  <c r="C233" i="2"/>
  <c r="C221" i="2"/>
  <c r="C131" i="2"/>
  <c r="C358" i="2"/>
  <c r="C299" i="2"/>
  <c r="C113" i="2"/>
  <c r="C268" i="2"/>
  <c r="C29" i="2"/>
  <c r="C344" i="2"/>
  <c r="C355" i="2"/>
  <c r="C90" i="2"/>
  <c r="C79" i="2"/>
  <c r="C278" i="2"/>
  <c r="C335" i="2"/>
  <c r="C187" i="2"/>
  <c r="C290" i="2"/>
  <c r="C11" i="2"/>
  <c r="C147" i="2"/>
  <c r="C295" i="2"/>
  <c r="C338" i="2"/>
  <c r="C215" i="2"/>
  <c r="C16" i="2"/>
  <c r="C122" i="2"/>
  <c r="C46" i="2"/>
  <c r="C337" i="2"/>
  <c r="C272" i="2"/>
  <c r="C166" i="2"/>
  <c r="C354" i="2"/>
  <c r="C347" i="2"/>
  <c r="C339" i="2"/>
  <c r="C168" i="2"/>
  <c r="C353" i="2"/>
  <c r="C163" i="2"/>
  <c r="C154" i="2"/>
  <c r="C196" i="2"/>
  <c r="C137" i="2"/>
  <c r="C167" i="2"/>
  <c r="C56" i="2"/>
  <c r="C63" i="2"/>
  <c r="C53" i="2"/>
  <c r="C28" i="2"/>
  <c r="C133" i="2"/>
  <c r="C200" i="2"/>
  <c r="C19" i="2"/>
  <c r="C13" i="2"/>
  <c r="C329" i="2"/>
  <c r="C263" i="2"/>
  <c r="C251" i="2"/>
  <c r="C265" i="2"/>
  <c r="C36" i="2"/>
  <c r="C188" i="2"/>
  <c r="C15" i="2"/>
  <c r="C34" i="2"/>
  <c r="C171" i="2"/>
  <c r="C333" i="2"/>
  <c r="C208" i="2"/>
  <c r="C247" i="2"/>
  <c r="C197" i="2"/>
  <c r="C180" i="2"/>
  <c r="C145" i="2"/>
  <c r="C153" i="2"/>
  <c r="C89" i="2"/>
  <c r="C189" i="2"/>
  <c r="C281" i="2"/>
  <c r="C136" i="2"/>
  <c r="C350" i="2"/>
  <c r="C86" i="2"/>
  <c r="C264" i="2"/>
  <c r="C115" i="2"/>
  <c r="C318" i="2"/>
  <c r="C108" i="2"/>
  <c r="C149" i="2"/>
  <c r="C160" i="2"/>
  <c r="C72" i="2"/>
  <c r="C365" i="2"/>
  <c r="C362" i="2"/>
  <c r="C2" i="2"/>
  <c r="C310" i="2"/>
  <c r="C241" i="2"/>
  <c r="C256" i="2"/>
  <c r="C342" i="2"/>
  <c r="C67" i="2"/>
  <c r="C306" i="2"/>
  <c r="C249" i="2"/>
  <c r="C25" i="2"/>
  <c r="C261" i="2"/>
  <c r="C42" i="2"/>
  <c r="C296" i="2"/>
  <c r="C284" i="2"/>
  <c r="C162" i="2"/>
  <c r="C259" i="2"/>
  <c r="C123" i="2"/>
  <c r="C27" i="2"/>
  <c r="C267" i="2"/>
  <c r="C298" i="2"/>
  <c r="C297" i="2"/>
  <c r="C127" i="2"/>
  <c r="C252" i="2"/>
  <c r="C346" i="2"/>
  <c r="C193" i="2"/>
  <c r="C229" i="2"/>
  <c r="C100" i="2"/>
  <c r="C87" i="2"/>
  <c r="C199" i="2"/>
  <c r="C345" i="2"/>
  <c r="C242" i="2"/>
  <c r="C104" i="2"/>
  <c r="C217" i="2"/>
  <c r="C304" i="2"/>
  <c r="C102" i="2"/>
  <c r="C282" i="2"/>
  <c r="C213" i="2"/>
  <c r="C324" i="2"/>
  <c r="C80" i="2"/>
  <c r="C234" i="2"/>
  <c r="C144" i="2"/>
  <c r="C128" i="2"/>
</calcChain>
</file>

<file path=xl/sharedStrings.xml><?xml version="1.0" encoding="utf-8"?>
<sst xmlns="http://schemas.openxmlformats.org/spreadsheetml/2006/main" count="617" uniqueCount="444">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</sst>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Yale</v>
          </cell>
          <cell r="D2" t="str">
            <v>Pennsylvania</v>
          </cell>
          <cell r="E2">
            <v>13.681096856780581</v>
          </cell>
          <cell r="F2" t="b">
            <v>0</v>
          </cell>
          <cell r="G2">
            <v>0.58413494732581994</v>
          </cell>
          <cell r="H2">
            <v>0</v>
          </cell>
          <cell r="I2">
            <v>0.1151667176220199</v>
          </cell>
          <cell r="J2">
            <v>0.60476569388728585</v>
          </cell>
          <cell r="K2">
            <v>0</v>
          </cell>
        </row>
        <row r="3">
          <cell r="B3">
            <v>2</v>
          </cell>
          <cell r="C3" t="str">
            <v>VCU</v>
          </cell>
          <cell r="D3" t="str">
            <v>Dayton</v>
          </cell>
          <cell r="E3">
            <v>5.8184781956801936</v>
          </cell>
          <cell r="F3" t="b">
            <v>0</v>
          </cell>
          <cell r="G3">
            <v>0.58215316693628694</v>
          </cell>
          <cell r="H3">
            <v>0</v>
          </cell>
          <cell r="I3">
            <v>0.1113833186965478</v>
          </cell>
          <cell r="J3">
            <v>0.37931223716023471</v>
          </cell>
          <cell r="K3">
            <v>0</v>
          </cell>
        </row>
        <row r="4">
          <cell r="B4">
            <v>3</v>
          </cell>
          <cell r="C4" t="str">
            <v>Arkansas</v>
          </cell>
          <cell r="D4" t="str">
            <v>Vanderbilt</v>
          </cell>
          <cell r="E4">
            <v>0.90115752506281677</v>
          </cell>
          <cell r="F4" t="b">
            <v>0</v>
          </cell>
          <cell r="G4">
            <v>0.58416972815810764</v>
          </cell>
          <cell r="H4">
            <v>0</v>
          </cell>
          <cell r="I4">
            <v>0.11523311739275099</v>
          </cell>
          <cell r="J4">
            <v>0.23086436271906891</v>
          </cell>
          <cell r="K4">
            <v>0</v>
          </cell>
        </row>
        <row r="5">
          <cell r="B5">
            <v>4</v>
          </cell>
          <cell r="C5" t="str">
            <v>South Florida</v>
          </cell>
          <cell r="D5" t="str">
            <v>Wichita State</v>
          </cell>
          <cell r="E5">
            <v>7.4032426199694186</v>
          </cell>
          <cell r="F5" t="b">
            <v>0</v>
          </cell>
          <cell r="G5">
            <v>0.53494349879025571</v>
          </cell>
          <cell r="H5">
            <v>0</v>
          </cell>
          <cell r="I5">
            <v>2.1255770417760941E-2</v>
          </cell>
          <cell r="J5">
            <v>0.31853329360313981</v>
          </cell>
          <cell r="K5">
            <v>0</v>
          </cell>
        </row>
        <row r="6">
          <cell r="B6">
            <v>5</v>
          </cell>
          <cell r="C6" t="str">
            <v>Michigan</v>
          </cell>
          <cell r="D6" t="str">
            <v>Purdue</v>
          </cell>
          <cell r="E6">
            <v>8.1192118490222143</v>
          </cell>
          <cell r="F6" t="b">
            <v>0</v>
          </cell>
          <cell r="G6">
            <v>0.54030444557347446</v>
          </cell>
          <cell r="H6">
            <v>0</v>
          </cell>
          <cell r="I6">
            <v>3.1490305185723988E-2</v>
          </cell>
          <cell r="J6">
            <v>0.3531038477568707</v>
          </cell>
          <cell r="K6">
            <v>0</v>
          </cell>
        </row>
        <row r="7">
          <cell r="B7">
            <v>6</v>
          </cell>
          <cell r="C7" t="str">
            <v>Pennsylvania</v>
          </cell>
          <cell r="D7" t="str">
            <v>Yale</v>
          </cell>
          <cell r="E7">
            <v>-5.948460539849191</v>
          </cell>
          <cell r="F7" t="b">
            <v>0</v>
          </cell>
          <cell r="G7">
            <v>0.59995136376980063</v>
          </cell>
          <cell r="H7">
            <v>0</v>
          </cell>
          <cell r="I7">
            <v>0.14536169446961941</v>
          </cell>
          <cell r="J7">
            <v>5.0628028549783648E-2</v>
          </cell>
          <cell r="K7">
            <v>0</v>
          </cell>
        </row>
        <row r="8">
          <cell r="B8">
            <v>7</v>
          </cell>
          <cell r="C8" t="str">
            <v>Dayton</v>
          </cell>
          <cell r="D8" t="str">
            <v>VCU</v>
          </cell>
          <cell r="E8">
            <v>-2.614078974163784</v>
          </cell>
          <cell r="F8" t="b">
            <v>0</v>
          </cell>
          <cell r="G8">
            <v>0.50284440878143111</v>
          </cell>
          <cell r="H8">
            <v>0</v>
          </cell>
          <cell r="I8">
            <v>-4.0024310508176952E-2</v>
          </cell>
          <cell r="J8">
            <v>9.0751156934488209E-2</v>
          </cell>
          <cell r="K8">
            <v>0</v>
          </cell>
        </row>
        <row r="9">
          <cell r="B9">
            <v>8</v>
          </cell>
          <cell r="C9" t="str">
            <v>Vanderbilt</v>
          </cell>
          <cell r="D9" t="str">
            <v>Arkansas</v>
          </cell>
          <cell r="E9">
            <v>3.227539499305712</v>
          </cell>
          <cell r="F9" t="b">
            <v>0</v>
          </cell>
          <cell r="G9">
            <v>0.5181341423468605</v>
          </cell>
          <cell r="H9">
            <v>0</v>
          </cell>
          <cell r="I9">
            <v>-1.083481915599355E-2</v>
          </cell>
          <cell r="J9">
            <v>0.14687723117576471</v>
          </cell>
          <cell r="K9">
            <v>0</v>
          </cell>
        </row>
        <row r="10">
          <cell r="B10">
            <v>9</v>
          </cell>
          <cell r="C10" t="str">
            <v>Wichita State</v>
          </cell>
          <cell r="D10" t="str">
            <v>South Florida</v>
          </cell>
          <cell r="E10">
            <v>-3.7737812074701851</v>
          </cell>
          <cell r="F10" t="b">
            <v>0</v>
          </cell>
          <cell r="G10">
            <v>0.55532971620632787</v>
          </cell>
          <cell r="H10">
            <v>0</v>
          </cell>
          <cell r="I10">
            <v>6.017491275753506E-2</v>
          </cell>
          <cell r="J10">
            <v>1.158829478328138E-2</v>
          </cell>
          <cell r="K10">
            <v>0</v>
          </cell>
        </row>
        <row r="11">
          <cell r="B11">
            <v>10</v>
          </cell>
          <cell r="C11" t="str">
            <v>Purdue</v>
          </cell>
          <cell r="D11" t="str">
            <v>Michigan</v>
          </cell>
          <cell r="E11">
            <v>-4.6286934473639709</v>
          </cell>
          <cell r="F11" t="b">
            <v>0</v>
          </cell>
          <cell r="G11">
            <v>0.54655280081314772</v>
          </cell>
          <cell r="H11">
            <v>0</v>
          </cell>
          <cell r="I11">
            <v>4.3418983370554783E-2</v>
          </cell>
          <cell r="J11">
            <v>3.7060047282995612E-2</v>
          </cell>
          <cell r="K11">
            <v>0</v>
          </cell>
        </row>
        <row r="12">
          <cell r="B12">
            <v>11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>
            <v>12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>
            <v>13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>
            <v>14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>
            <v>15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>
            <v>16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>
            <v>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>
            <v>18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Duke</v>
          </cell>
          <cell r="C2" t="str">
            <v>Siena</v>
          </cell>
          <cell r="D2">
            <v>23.054887624413109</v>
          </cell>
          <cell r="E2">
            <v>101.57301127857072</v>
          </cell>
          <cell r="F2">
            <v>99.414290660558592</v>
          </cell>
          <cell r="G2">
            <v>0.57213541666666667</v>
          </cell>
          <cell r="H2">
            <v>66.278787878787867</v>
          </cell>
          <cell r="I2">
            <v>58.18181818181818</v>
          </cell>
          <cell r="J2">
            <v>22.121212121212121</v>
          </cell>
          <cell r="K2">
            <v>12.212121212121213</v>
          </cell>
          <cell r="L2">
            <v>10.575757575757576</v>
          </cell>
          <cell r="M2">
            <v>0</v>
          </cell>
          <cell r="N2">
            <v>-9.4717636747576321</v>
          </cell>
          <cell r="O2">
            <v>99.270352989185866</v>
          </cell>
          <cell r="P2">
            <v>104.44122133140282</v>
          </cell>
          <cell r="Q2">
            <v>0.50557917109458028</v>
          </cell>
          <cell r="R2">
            <v>63.834117647058825</v>
          </cell>
          <cell r="S2">
            <v>55.352941176470587</v>
          </cell>
          <cell r="T2">
            <v>18.941176470588236</v>
          </cell>
          <cell r="U2">
            <v>10.176470588235293</v>
          </cell>
          <cell r="V2">
            <v>10.323529411764707</v>
          </cell>
          <cell r="W2">
            <v>0</v>
          </cell>
        </row>
        <row r="3">
          <cell r="A3">
            <v>2</v>
          </cell>
          <cell r="B3" t="str">
            <v>Uconn</v>
          </cell>
          <cell r="C3" t="str">
            <v>Furman</v>
          </cell>
          <cell r="D3">
            <v>18.120431537245491</v>
          </cell>
          <cell r="E3">
            <v>100.0952772073922</v>
          </cell>
          <cell r="F3">
            <v>94.261774983054991</v>
          </cell>
          <cell r="G3">
            <v>0.55882352941176472</v>
          </cell>
          <cell r="H3">
            <v>66.089696969696973</v>
          </cell>
          <cell r="I3">
            <v>58.727272727272727</v>
          </cell>
          <cell r="J3">
            <v>17.696969696969695</v>
          </cell>
          <cell r="K3">
            <v>11.454545454545455</v>
          </cell>
          <cell r="L3">
            <v>11.030303030303031</v>
          </cell>
          <cell r="M3">
            <v>0</v>
          </cell>
          <cell r="N3">
            <v>0.19358290778345913</v>
          </cell>
          <cell r="O3">
            <v>98.095219377978665</v>
          </cell>
          <cell r="P3">
            <v>107.97637861090803</v>
          </cell>
          <cell r="Q3">
            <v>0.5527254202750892</v>
          </cell>
          <cell r="R3">
            <v>66.856470588235297</v>
          </cell>
          <cell r="S3">
            <v>57.735294117647058</v>
          </cell>
          <cell r="T3">
            <v>18.323529411764707</v>
          </cell>
          <cell r="U3">
            <v>10.882352941176471</v>
          </cell>
          <cell r="V3">
            <v>11.941176470588236</v>
          </cell>
          <cell r="W3">
            <v>0</v>
          </cell>
        </row>
        <row r="4">
          <cell r="A4">
            <v>3</v>
          </cell>
          <cell r="B4" t="str">
            <v>Michigan State</v>
          </cell>
          <cell r="C4" t="str">
            <v>North Dakota State</v>
          </cell>
          <cell r="D4">
            <v>19.982154388171562</v>
          </cell>
          <cell r="E4">
            <v>101.32466702184337</v>
          </cell>
          <cell r="F4">
            <v>94.579391423053281</v>
          </cell>
          <cell r="G4">
            <v>0.53589041095890411</v>
          </cell>
          <cell r="H4">
            <v>66.620645161290327</v>
          </cell>
          <cell r="I4">
            <v>58.87096774193548</v>
          </cell>
          <cell r="J4">
            <v>20.838709677419356</v>
          </cell>
          <cell r="K4">
            <v>12.774193548387096</v>
          </cell>
          <cell r="L4">
            <v>11.35483870967742</v>
          </cell>
          <cell r="M4">
            <v>0</v>
          </cell>
          <cell r="N4">
            <v>3.8559349343715992</v>
          </cell>
          <cell r="O4">
            <v>100.41194644696189</v>
          </cell>
          <cell r="P4">
            <v>96.736529773208161</v>
          </cell>
          <cell r="Q4">
            <v>0.5419753086419753</v>
          </cell>
          <cell r="R4">
            <v>69</v>
          </cell>
          <cell r="S4">
            <v>61.363636363636367</v>
          </cell>
          <cell r="T4">
            <v>18.939393939393938</v>
          </cell>
          <cell r="U4">
            <v>11.515151515151516</v>
          </cell>
          <cell r="V4">
            <v>10.818181818181818</v>
          </cell>
          <cell r="W4">
            <v>0</v>
          </cell>
        </row>
        <row r="5">
          <cell r="A5">
            <v>4</v>
          </cell>
          <cell r="B5" t="str">
            <v>Kansas</v>
          </cell>
          <cell r="C5" t="str">
            <v>California Baptist</v>
          </cell>
          <cell r="D5">
            <v>16.809475334579385</v>
          </cell>
          <cell r="E5">
            <v>98.782531105933685</v>
          </cell>
          <cell r="F5">
            <v>105.39233290147665</v>
          </cell>
          <cell r="G5">
            <v>0.51565708418891165</v>
          </cell>
          <cell r="H5">
            <v>68.042424242424246</v>
          </cell>
          <cell r="I5">
            <v>59.030303030303031</v>
          </cell>
          <cell r="J5">
            <v>19.242424242424242</v>
          </cell>
          <cell r="K5">
            <v>10.121212121212121</v>
          </cell>
          <cell r="L5">
            <v>10.666666666666666</v>
          </cell>
          <cell r="M5">
            <v>0</v>
          </cell>
          <cell r="N5">
            <v>4.6851123682196496</v>
          </cell>
          <cell r="O5">
            <v>101.15808245043532</v>
          </cell>
          <cell r="P5">
            <v>89.740557985976295</v>
          </cell>
          <cell r="Q5">
            <v>0.48558215451577802</v>
          </cell>
          <cell r="R5">
            <v>67.477419354838716</v>
          </cell>
          <cell r="S5">
            <v>59.29032258064516</v>
          </cell>
          <cell r="T5">
            <v>21.612903225806452</v>
          </cell>
          <cell r="U5">
            <v>13.838709677419354</v>
          </cell>
          <cell r="V5">
            <v>12.516129032258064</v>
          </cell>
          <cell r="W5">
            <v>0</v>
          </cell>
        </row>
        <row r="6">
          <cell r="A6">
            <v>5</v>
          </cell>
          <cell r="B6" t="str">
            <v>St. John's</v>
          </cell>
          <cell r="C6" t="str">
            <v>Northern Iowa</v>
          </cell>
          <cell r="D6">
            <v>15.123966744544841</v>
          </cell>
          <cell r="E6">
            <v>102.62076624097725</v>
          </cell>
          <cell r="F6">
            <v>99.067983608660882</v>
          </cell>
          <cell r="G6">
            <v>0.50957290132547861</v>
          </cell>
          <cell r="H6">
            <v>70.527272727272731</v>
          </cell>
          <cell r="I6">
            <v>61.727272727272727</v>
          </cell>
          <cell r="J6">
            <v>26.060606060606062</v>
          </cell>
          <cell r="K6">
            <v>13.242424242424242</v>
          </cell>
          <cell r="L6">
            <v>10.575757575757576</v>
          </cell>
          <cell r="M6">
            <v>0</v>
          </cell>
          <cell r="N6">
            <v>9.044790611595948</v>
          </cell>
          <cell r="O6">
            <v>96.067511414353874</v>
          </cell>
          <cell r="P6">
            <v>96.437852753995415</v>
          </cell>
          <cell r="Q6">
            <v>0.54763144195731395</v>
          </cell>
          <cell r="R6">
            <v>63.515428571428572</v>
          </cell>
          <cell r="S6">
            <v>54.885714285714286</v>
          </cell>
          <cell r="T6">
            <v>14.028571428571428</v>
          </cell>
          <cell r="U6">
            <v>6.8571428571428568</v>
          </cell>
          <cell r="V6">
            <v>9.3142857142857149</v>
          </cell>
          <cell r="W6">
            <v>0</v>
          </cell>
        </row>
        <row r="7">
          <cell r="A7">
            <v>6</v>
          </cell>
          <cell r="B7" t="str">
            <v>Louisville</v>
          </cell>
          <cell r="C7" t="str">
            <v>South Florida</v>
          </cell>
          <cell r="D7">
            <v>16.631119331501349</v>
          </cell>
          <cell r="E7">
            <v>99.101896527014759</v>
          </cell>
          <cell r="F7">
            <v>98.314439245284362</v>
          </cell>
          <cell r="G7">
            <v>0.56448412698412698</v>
          </cell>
          <cell r="H7">
            <v>70.393939393939391</v>
          </cell>
          <cell r="I7">
            <v>61.090909090909093</v>
          </cell>
          <cell r="J7">
            <v>20.454545454545453</v>
          </cell>
          <cell r="K7">
            <v>11.333333333333334</v>
          </cell>
          <cell r="L7">
            <v>11.636363636363637</v>
          </cell>
          <cell r="M7">
            <v>0</v>
          </cell>
          <cell r="N7">
            <v>10.625076796135628</v>
          </cell>
          <cell r="O7">
            <v>104.34549376348122</v>
          </cell>
          <cell r="P7">
            <v>99.892005294669275</v>
          </cell>
          <cell r="Q7">
            <v>0.51318359375</v>
          </cell>
          <cell r="R7">
            <v>73.95225806451613</v>
          </cell>
          <cell r="S7">
            <v>66.064516129032256</v>
          </cell>
          <cell r="T7">
            <v>27.677419354838708</v>
          </cell>
          <cell r="U7">
            <v>15.516129032258064</v>
          </cell>
          <cell r="V7">
            <v>11.225806451612904</v>
          </cell>
          <cell r="W7">
            <v>0</v>
          </cell>
        </row>
        <row r="8">
          <cell r="A8">
            <v>7</v>
          </cell>
          <cell r="B8" t="str">
            <v>UCLA</v>
          </cell>
          <cell r="C8" t="str">
            <v>UCF</v>
          </cell>
          <cell r="D8">
            <v>15.943406980069799</v>
          </cell>
          <cell r="E8">
            <v>100.85863980873899</v>
          </cell>
          <cell r="F8">
            <v>91.898292422931632</v>
          </cell>
          <cell r="G8">
            <v>0.54047742605085625</v>
          </cell>
          <cell r="H8">
            <v>65.963636363636368</v>
          </cell>
          <cell r="I8">
            <v>58.393939393939391</v>
          </cell>
          <cell r="J8">
            <v>19.545454545454547</v>
          </cell>
          <cell r="K8">
            <v>10</v>
          </cell>
          <cell r="L8">
            <v>8.9696969696969688</v>
          </cell>
          <cell r="M8">
            <v>0</v>
          </cell>
          <cell r="N8">
            <v>12.780422052740661</v>
          </cell>
          <cell r="O8">
            <v>101.06601066010661</v>
          </cell>
          <cell r="P8">
            <v>97.015666781333081</v>
          </cell>
          <cell r="Q8">
            <v>0.52792008196721307</v>
          </cell>
          <cell r="R8">
            <v>70.258064516129025</v>
          </cell>
          <cell r="S8">
            <v>62.967741935483872</v>
          </cell>
          <cell r="T8">
            <v>19.35483870967742</v>
          </cell>
          <cell r="U8">
            <v>12.387096774193548</v>
          </cell>
          <cell r="V8">
            <v>11.161290322580646</v>
          </cell>
          <cell r="W8">
            <v>0</v>
          </cell>
        </row>
        <row r="9">
          <cell r="A9">
            <v>8</v>
          </cell>
          <cell r="B9" t="str">
            <v>Ohio State</v>
          </cell>
          <cell r="C9" t="str">
            <v>TCU</v>
          </cell>
          <cell r="D9">
            <v>14.72942352472889</v>
          </cell>
          <cell r="E9">
            <v>97.797107416748162</v>
          </cell>
          <cell r="F9">
            <v>102.96313452139</v>
          </cell>
          <cell r="G9">
            <v>0.56646273637374855</v>
          </cell>
          <cell r="H9">
            <v>66.71875</v>
          </cell>
          <cell r="I9">
            <v>56.1875</v>
          </cell>
          <cell r="J9">
            <v>21.09375</v>
          </cell>
          <cell r="K9">
            <v>9.0625</v>
          </cell>
          <cell r="L9">
            <v>10.3125</v>
          </cell>
          <cell r="M9">
            <v>0</v>
          </cell>
          <cell r="N9">
            <v>12.676356416890858</v>
          </cell>
          <cell r="O9">
            <v>101.27537334728432</v>
          </cell>
          <cell r="P9">
            <v>97.104848064562987</v>
          </cell>
          <cell r="Q9">
            <v>0.50900000000000001</v>
          </cell>
          <cell r="R9">
            <v>69.441212121212118</v>
          </cell>
          <cell r="S9">
            <v>60.606060606060609</v>
          </cell>
          <cell r="T9">
            <v>23.454545454545453</v>
          </cell>
          <cell r="U9">
            <v>12.424242424242424</v>
          </cell>
          <cell r="V9">
            <v>10.939393939393939</v>
          </cell>
          <cell r="W9">
            <v>0</v>
          </cell>
        </row>
        <row r="10">
          <cell r="A10">
            <v>9</v>
          </cell>
          <cell r="B10" t="str">
            <v>Arizona</v>
          </cell>
          <cell r="C10" t="str">
            <v>Long Island University</v>
          </cell>
          <cell r="D10">
            <v>23.687310951598352</v>
          </cell>
          <cell r="E10">
            <v>101.76807841686704</v>
          </cell>
          <cell r="F10">
            <v>98.493332637771204</v>
          </cell>
          <cell r="G10">
            <v>0.55109126984126988</v>
          </cell>
          <cell r="H10">
            <v>70.587878787878793</v>
          </cell>
          <cell r="I10">
            <v>61.090909090909093</v>
          </cell>
          <cell r="J10">
            <v>26.060606060606062</v>
          </cell>
          <cell r="K10">
            <v>12.878787878787879</v>
          </cell>
          <cell r="L10">
            <v>10.909090909090908</v>
          </cell>
          <cell r="M10">
            <v>0</v>
          </cell>
          <cell r="N10">
            <v>-5.3079314642110162</v>
          </cell>
          <cell r="O10">
            <v>97.176470588235304</v>
          </cell>
          <cell r="P10">
            <v>96.766501308175762</v>
          </cell>
          <cell r="Q10">
            <v>0.53577106518282991</v>
          </cell>
          <cell r="R10">
            <v>67.672727272727272</v>
          </cell>
          <cell r="S10">
            <v>57.18181818181818</v>
          </cell>
          <cell r="T10">
            <v>19.848484848484848</v>
          </cell>
          <cell r="U10">
            <v>11.303030303030303</v>
          </cell>
          <cell r="V10">
            <v>13.060606060606061</v>
          </cell>
          <cell r="W10">
            <v>0</v>
          </cell>
        </row>
        <row r="11">
          <cell r="A11">
            <v>10</v>
          </cell>
          <cell r="B11" t="str">
            <v>Purdue</v>
          </cell>
          <cell r="C11" t="str">
            <v>Queens University</v>
          </cell>
          <cell r="D11">
            <v>20.933350618351088</v>
          </cell>
          <cell r="E11">
            <v>102.749921687376</v>
          </cell>
          <cell r="F11">
            <v>101.56518525976452</v>
          </cell>
          <cell r="G11">
            <v>0.5771558245083207</v>
          </cell>
          <cell r="H11">
            <v>65.197575757575763</v>
          </cell>
          <cell r="I11">
            <v>60.090909090909093</v>
          </cell>
          <cell r="J11">
            <v>16.90909090909091</v>
          </cell>
          <cell r="K11">
            <v>11.363636363636363</v>
          </cell>
          <cell r="L11">
            <v>9.0303030303030312</v>
          </cell>
          <cell r="M11">
            <v>0</v>
          </cell>
          <cell r="N11">
            <v>-2.4386972367557296</v>
          </cell>
          <cell r="O11">
            <v>98.853272311212805</v>
          </cell>
          <cell r="P11">
            <v>98.255343754602677</v>
          </cell>
          <cell r="Q11">
            <v>0.56723716381418088</v>
          </cell>
          <cell r="R11">
            <v>70.530588235294118</v>
          </cell>
          <cell r="S11">
            <v>60.147058823529413</v>
          </cell>
          <cell r="T11">
            <v>22.529411764705884</v>
          </cell>
          <cell r="U11">
            <v>10.235294117647058</v>
          </cell>
          <cell r="V11">
            <v>10.705882352941176</v>
          </cell>
          <cell r="W11">
            <v>0</v>
          </cell>
        </row>
        <row r="12">
          <cell r="A12">
            <v>11</v>
          </cell>
          <cell r="B12" t="str">
            <v>Gonzaga</v>
          </cell>
          <cell r="C12" t="str">
            <v>Kennesaw State</v>
          </cell>
          <cell r="D12">
            <v>20.959854873623506</v>
          </cell>
          <cell r="E12">
            <v>102.65043408841434</v>
          </cell>
          <cell r="F12">
            <v>86.043703668873505</v>
          </cell>
          <cell r="G12">
            <v>0.56074766355140182</v>
          </cell>
          <cell r="H12">
            <v>69.724999999999994</v>
          </cell>
          <cell r="I12">
            <v>63.53125</v>
          </cell>
          <cell r="J12">
            <v>19.6875</v>
          </cell>
          <cell r="K12">
            <v>12.03125</v>
          </cell>
          <cell r="L12">
            <v>9.5625</v>
          </cell>
          <cell r="M12">
            <v>0</v>
          </cell>
          <cell r="N12">
            <v>6.9567142213273874</v>
          </cell>
          <cell r="O12">
            <v>101.53068723066454</v>
          </cell>
          <cell r="P12">
            <v>96.795298878830451</v>
          </cell>
          <cell r="Q12">
            <v>0.52725933202357567</v>
          </cell>
          <cell r="R12">
            <v>71.758787878787885</v>
          </cell>
          <cell r="S12">
            <v>61.696969696969695</v>
          </cell>
          <cell r="T12">
            <v>27</v>
          </cell>
          <cell r="U12">
            <v>13.636363636363637</v>
          </cell>
          <cell r="V12">
            <v>11.818181818181818</v>
          </cell>
          <cell r="W12">
            <v>0</v>
          </cell>
        </row>
        <row r="13">
          <cell r="A13">
            <v>12</v>
          </cell>
          <cell r="B13" t="str">
            <v>Arkansas</v>
          </cell>
          <cell r="C13" t="str">
            <v>Hawaii</v>
          </cell>
          <cell r="D13">
            <v>19.899076876872613</v>
          </cell>
          <cell r="E13">
            <v>101.9693472090823</v>
          </cell>
          <cell r="F13">
            <v>97.545722643013036</v>
          </cell>
          <cell r="G13">
            <v>0.56447688564476883</v>
          </cell>
          <cell r="H13">
            <v>72.41</v>
          </cell>
          <cell r="I13">
            <v>64.21875</v>
          </cell>
          <cell r="J13">
            <v>23.375</v>
          </cell>
          <cell r="K13">
            <v>11.0625</v>
          </cell>
          <cell r="L13">
            <v>8.96875</v>
          </cell>
          <cell r="M13">
            <v>0</v>
          </cell>
          <cell r="N13">
            <v>2.5953665153972887</v>
          </cell>
          <cell r="O13">
            <v>96.315948087298892</v>
          </cell>
          <cell r="P13">
            <v>92.335596342884884</v>
          </cell>
          <cell r="Q13">
            <v>0.52439024390243905</v>
          </cell>
          <cell r="R13">
            <v>71.912258064516138</v>
          </cell>
          <cell r="S13">
            <v>58.193548387096776</v>
          </cell>
          <cell r="T13">
            <v>25.387096774193548</v>
          </cell>
          <cell r="U13">
            <v>10.903225806451612</v>
          </cell>
          <cell r="V13">
            <v>13.451612903225806</v>
          </cell>
          <cell r="W13">
            <v>0</v>
          </cell>
        </row>
        <row r="14">
          <cell r="A14">
            <v>13</v>
          </cell>
          <cell r="B14" t="str">
            <v>Wisconsin</v>
          </cell>
          <cell r="C14" t="str">
            <v>High Point</v>
          </cell>
          <cell r="D14">
            <v>16.148066436541427</v>
          </cell>
          <cell r="E14">
            <v>101.53982043193399</v>
          </cell>
          <cell r="F14">
            <v>97.999163429970935</v>
          </cell>
          <cell r="G14">
            <v>0.54572127139364301</v>
          </cell>
          <cell r="H14">
            <v>69.256969696969705</v>
          </cell>
          <cell r="I14">
            <v>61.969696969696969</v>
          </cell>
          <cell r="J14">
            <v>20.212121212121211</v>
          </cell>
          <cell r="K14">
            <v>10.484848484848484</v>
          </cell>
          <cell r="L14">
            <v>8.8787878787878789</v>
          </cell>
          <cell r="M14">
            <v>0</v>
          </cell>
          <cell r="N14">
            <v>9.7914064574296606</v>
          </cell>
          <cell r="O14">
            <v>102.08135263134599</v>
          </cell>
          <cell r="P14">
            <v>95.473025683474958</v>
          </cell>
          <cell r="Q14">
            <v>0.56606463878326996</v>
          </cell>
          <cell r="R14">
            <v>71.407058823529411</v>
          </cell>
          <cell r="S14">
            <v>61.882352941176471</v>
          </cell>
          <cell r="T14">
            <v>26.794117647058822</v>
          </cell>
          <cell r="U14">
            <v>11.617647058823529</v>
          </cell>
          <cell r="V14">
            <v>9.3529411764705888</v>
          </cell>
          <cell r="W14">
            <v>0</v>
          </cell>
        </row>
        <row r="15">
          <cell r="A15">
            <v>14</v>
          </cell>
          <cell r="B15" t="str">
            <v>Texas</v>
          </cell>
          <cell r="C15" t="str">
            <v>NC State</v>
          </cell>
          <cell r="D15">
            <v>14.532052109666417</v>
          </cell>
          <cell r="E15">
            <v>100.55048907489414</v>
          </cell>
          <cell r="F15">
            <v>96.670144874968173</v>
          </cell>
          <cell r="G15">
            <v>0.5496777658431794</v>
          </cell>
          <cell r="H15">
            <v>68.81</v>
          </cell>
          <cell r="I15">
            <v>58.1875</v>
          </cell>
          <cell r="J15">
            <v>26.34375</v>
          </cell>
          <cell r="K15">
            <v>12</v>
          </cell>
          <cell r="L15">
            <v>11.03125</v>
          </cell>
          <cell r="M15">
            <v>0</v>
          </cell>
          <cell r="N15">
            <v>12.200219627889993</v>
          </cell>
          <cell r="O15">
            <v>100.22582813250121</v>
          </cell>
          <cell r="P15">
            <v>107.83717769619953</v>
          </cell>
          <cell r="Q15">
            <v>0.55333998005982055</v>
          </cell>
          <cell r="R15">
            <v>69.595151515151514</v>
          </cell>
          <cell r="S15">
            <v>60.787878787878789</v>
          </cell>
          <cell r="T15">
            <v>21.393939393939394</v>
          </cell>
          <cell r="U15">
            <v>9.8484848484848477</v>
          </cell>
          <cell r="V15">
            <v>9.2424242424242422</v>
          </cell>
          <cell r="W15">
            <v>0</v>
          </cell>
        </row>
        <row r="16">
          <cell r="A16">
            <v>15</v>
          </cell>
          <cell r="B16" t="str">
            <v>Miami</v>
          </cell>
          <cell r="C16" t="str">
            <v>Missouri</v>
          </cell>
          <cell r="D16">
            <v>12.238890418004498</v>
          </cell>
          <cell r="E16">
            <v>100.74202898550723</v>
          </cell>
          <cell r="F16">
            <v>98.35968575523485</v>
          </cell>
          <cell r="G16">
            <v>0.55597771023302933</v>
          </cell>
          <cell r="H16">
            <v>68.654545454545456</v>
          </cell>
          <cell r="I16">
            <v>59.81818181818182</v>
          </cell>
          <cell r="J16">
            <v>22.424242424242426</v>
          </cell>
          <cell r="K16">
            <v>12.242424242424242</v>
          </cell>
          <cell r="L16">
            <v>11.212121212121213</v>
          </cell>
          <cell r="M16">
            <v>0</v>
          </cell>
          <cell r="N16">
            <v>11.938625469494365</v>
          </cell>
          <cell r="O16">
            <v>98.436590436590436</v>
          </cell>
          <cell r="P16">
            <v>95.737468863684654</v>
          </cell>
          <cell r="Q16">
            <v>0.55317982456140347</v>
          </cell>
          <cell r="R16">
            <v>68.392499999999998</v>
          </cell>
          <cell r="S16">
            <v>57</v>
          </cell>
          <cell r="T16">
            <v>24.1875</v>
          </cell>
          <cell r="U16">
            <v>11.625</v>
          </cell>
          <cell r="V16">
            <v>12.375</v>
          </cell>
          <cell r="W16">
            <v>0</v>
          </cell>
        </row>
        <row r="17">
          <cell r="A17">
            <v>16</v>
          </cell>
          <cell r="B17" t="str">
            <v>Villanova</v>
          </cell>
          <cell r="C17" t="str">
            <v>Utah State</v>
          </cell>
          <cell r="D17">
            <v>11.840993072985095</v>
          </cell>
          <cell r="E17">
            <v>101.29752325216845</v>
          </cell>
          <cell r="F17">
            <v>98.574654865749267</v>
          </cell>
          <cell r="G17">
            <v>0.53713389121338917</v>
          </cell>
          <cell r="H17">
            <v>66.628749999999997</v>
          </cell>
          <cell r="I17">
            <v>59.75</v>
          </cell>
          <cell r="J17">
            <v>18.6875</v>
          </cell>
          <cell r="K17">
            <v>11.5</v>
          </cell>
          <cell r="L17">
            <v>10.15625</v>
          </cell>
          <cell r="M17">
            <v>0</v>
          </cell>
          <cell r="N17">
            <v>16.287809545840613</v>
          </cell>
          <cell r="O17">
            <v>99.539689712306071</v>
          </cell>
          <cell r="P17">
            <v>89.1227776403734</v>
          </cell>
          <cell r="Q17">
            <v>0.5741935483870968</v>
          </cell>
          <cell r="R17">
            <v>67.972499999999997</v>
          </cell>
          <cell r="S17">
            <v>58.125</v>
          </cell>
          <cell r="T17">
            <v>22.59375</v>
          </cell>
          <cell r="U17">
            <v>10.65625</v>
          </cell>
          <cell r="V17">
            <v>10.5625</v>
          </cell>
          <cell r="W17">
            <v>0</v>
          </cell>
        </row>
        <row r="18">
          <cell r="A18">
            <v>17</v>
          </cell>
          <cell r="B18" t="str">
            <v>UMBC</v>
          </cell>
          <cell r="C18" t="str">
            <v>Howard</v>
          </cell>
          <cell r="D18">
            <v>-7.6816292677242117</v>
          </cell>
          <cell r="E18">
            <v>97.507117437722428</v>
          </cell>
          <cell r="F18">
            <v>110.81504482768236</v>
          </cell>
          <cell r="G18">
            <v>0.54563953488372097</v>
          </cell>
          <cell r="H18">
            <v>66.929333333333332</v>
          </cell>
          <cell r="I18">
            <v>57.333333333333336</v>
          </cell>
          <cell r="J18">
            <v>18.399999999999999</v>
          </cell>
          <cell r="K18">
            <v>8.1666666666666661</v>
          </cell>
          <cell r="L18">
            <v>9.6666666666666661</v>
          </cell>
          <cell r="M18">
            <v>0</v>
          </cell>
          <cell r="N18">
            <v>-7.2160644315092952</v>
          </cell>
          <cell r="O18">
            <v>97.663689320388357</v>
          </cell>
          <cell r="P18">
            <v>100.3456480810049</v>
          </cell>
          <cell r="Q18">
            <v>0.52055921052631582</v>
          </cell>
          <cell r="R18">
            <v>69.484999999999999</v>
          </cell>
          <cell r="S18">
            <v>57</v>
          </cell>
          <cell r="T18">
            <v>25.25</v>
          </cell>
          <cell r="U18">
            <v>12.28125</v>
          </cell>
          <cell r="V18">
            <v>13.65625</v>
          </cell>
          <cell r="W18">
            <v>0</v>
          </cell>
        </row>
        <row r="19">
          <cell r="A19">
            <v>18</v>
          </cell>
          <cell r="B19" t="str">
            <v>Iowa State</v>
          </cell>
          <cell r="C19" t="str">
            <v>Tennessee State</v>
          </cell>
          <cell r="D19">
            <v>20.641493911570723</v>
          </cell>
          <cell r="E19">
            <v>101.50134460238188</v>
          </cell>
          <cell r="F19">
            <v>96.951162965358421</v>
          </cell>
          <cell r="G19">
            <v>0.56497313141182215</v>
          </cell>
          <cell r="H19">
            <v>67.654117647058825</v>
          </cell>
          <cell r="I19">
            <v>60.205882352941174</v>
          </cell>
          <cell r="J19">
            <v>20.470588235294116</v>
          </cell>
          <cell r="K19">
            <v>11.823529411764707</v>
          </cell>
          <cell r="L19">
            <v>10.264705882352942</v>
          </cell>
          <cell r="M19">
            <v>0</v>
          </cell>
          <cell r="N19">
            <v>1.0639361366167945</v>
          </cell>
          <cell r="O19">
            <v>100.59318477066054</v>
          </cell>
          <cell r="P19">
            <v>92.0991626269942</v>
          </cell>
          <cell r="Q19">
            <v>0.50690890481064488</v>
          </cell>
          <cell r="R19">
            <v>71.468387096774194</v>
          </cell>
          <cell r="S19">
            <v>63.032258064516128</v>
          </cell>
          <cell r="T19">
            <v>21.225806451612904</v>
          </cell>
          <cell r="U19">
            <v>13.129032258064516</v>
          </cell>
          <cell r="V19">
            <v>12.225806451612904</v>
          </cell>
          <cell r="W19">
            <v>0</v>
          </cell>
        </row>
        <row r="20">
          <cell r="A20">
            <v>19</v>
          </cell>
          <cell r="B20" t="str">
            <v>Virginia</v>
          </cell>
          <cell r="C20" t="str">
            <v>Wright State</v>
          </cell>
          <cell r="D20">
            <v>12.898930744177012</v>
          </cell>
          <cell r="E20">
            <v>102.74660271782574</v>
          </cell>
          <cell r="F20">
            <v>105.30602921182151</v>
          </cell>
          <cell r="G20">
            <v>0.54717923115327005</v>
          </cell>
          <cell r="H20">
            <v>67.065454545454543</v>
          </cell>
          <cell r="I20">
            <v>60.696969696969695</v>
          </cell>
          <cell r="J20">
            <v>20.121212121212121</v>
          </cell>
          <cell r="K20">
            <v>13.272727272727273</v>
          </cell>
          <cell r="L20">
            <v>10.787878787878787</v>
          </cell>
          <cell r="M20">
            <v>0</v>
          </cell>
          <cell r="N20">
            <v>3.0807597689023769</v>
          </cell>
          <cell r="O20">
            <v>99.432741654503502</v>
          </cell>
          <cell r="P20">
            <v>99.184832714478731</v>
          </cell>
          <cell r="Q20">
            <v>0.5488476953907816</v>
          </cell>
          <cell r="R20">
            <v>68.45058823529412</v>
          </cell>
          <cell r="S20">
            <v>58.705882352941174</v>
          </cell>
          <cell r="T20">
            <v>22.147058823529413</v>
          </cell>
          <cell r="U20">
            <v>11.264705882352942</v>
          </cell>
          <cell r="V20">
            <v>11.264705882352942</v>
          </cell>
          <cell r="W20">
            <v>0</v>
          </cell>
        </row>
        <row r="21">
          <cell r="A21">
            <v>20</v>
          </cell>
          <cell r="B21" t="str">
            <v>Alabama</v>
          </cell>
          <cell r="C21" t="str">
            <v>Hofstra</v>
          </cell>
          <cell r="D21">
            <v>19.673613604820769</v>
          </cell>
          <cell r="E21">
            <v>102.29455081001471</v>
          </cell>
          <cell r="F21">
            <v>103.71887375881523</v>
          </cell>
          <cell r="G21">
            <v>0.55384250474383301</v>
          </cell>
          <cell r="H21">
            <v>74.217500000000001</v>
          </cell>
          <cell r="I21">
            <v>65.875</v>
          </cell>
          <cell r="J21">
            <v>24.5</v>
          </cell>
          <cell r="K21">
            <v>12.21875</v>
          </cell>
          <cell r="L21">
            <v>9.78125</v>
          </cell>
          <cell r="M21">
            <v>0</v>
          </cell>
          <cell r="N21">
            <v>2.1356002741910172</v>
          </cell>
          <cell r="O21">
            <v>101.93227153239523</v>
          </cell>
          <cell r="P21">
            <v>108.25319811541539</v>
          </cell>
          <cell r="Q21">
            <v>0.52252944188428063</v>
          </cell>
          <cell r="R21">
            <v>65.487272727272725</v>
          </cell>
          <cell r="S21">
            <v>59.18181818181818</v>
          </cell>
          <cell r="T21">
            <v>18.393939393939394</v>
          </cell>
          <cell r="U21">
            <v>12.484848484848484</v>
          </cell>
          <cell r="V21">
            <v>10.696969696969697</v>
          </cell>
          <cell r="W21">
            <v>0</v>
          </cell>
        </row>
        <row r="22">
          <cell r="A22">
            <v>21</v>
          </cell>
          <cell r="B22" t="str">
            <v>Texas Tech</v>
          </cell>
          <cell r="C22" t="str">
            <v>Akron</v>
          </cell>
          <cell r="D22">
            <v>17.052374181699321</v>
          </cell>
          <cell r="E22">
            <v>100.51882408229335</v>
          </cell>
          <cell r="F22">
            <v>104.30065451536628</v>
          </cell>
          <cell r="G22">
            <v>0.56166837256908908</v>
          </cell>
          <cell r="H22">
            <v>67.617500000000007</v>
          </cell>
          <cell r="I22">
            <v>61.0625</v>
          </cell>
          <cell r="J22">
            <v>16.53125</v>
          </cell>
          <cell r="K22">
            <v>11.53125</v>
          </cell>
          <cell r="L22">
            <v>10.8125</v>
          </cell>
          <cell r="M22">
            <v>0</v>
          </cell>
          <cell r="N22">
            <v>10.62898797126984</v>
          </cell>
          <cell r="O22">
            <v>99.852760736196316</v>
          </cell>
          <cell r="P22">
            <v>94.235250093919447</v>
          </cell>
          <cell r="Q22">
            <v>0.58984747378455671</v>
          </cell>
          <cell r="R22">
            <v>71.226666666666659</v>
          </cell>
          <cell r="S22">
            <v>63.575757575757578</v>
          </cell>
          <cell r="T22">
            <v>17.939393939393938</v>
          </cell>
          <cell r="U22">
            <v>11.272727272727273</v>
          </cell>
          <cell r="V22">
            <v>11.030303030303031</v>
          </cell>
          <cell r="W22">
            <v>0</v>
          </cell>
        </row>
        <row r="23">
          <cell r="A23">
            <v>22</v>
          </cell>
          <cell r="B23" t="str">
            <v>Miami (OH)</v>
          </cell>
          <cell r="C23" t="str">
            <v>SMU</v>
          </cell>
          <cell r="D23">
            <v>7.7337055835141966</v>
          </cell>
          <cell r="E23">
            <v>96.443484662576694</v>
          </cell>
          <cell r="F23">
            <v>99.09137666807915</v>
          </cell>
          <cell r="G23">
            <v>0.61211129296235678</v>
          </cell>
          <cell r="H23">
            <v>71.92774193548388</v>
          </cell>
          <cell r="I23">
            <v>59.12903225806452</v>
          </cell>
          <cell r="J23">
            <v>23.516129032258064</v>
          </cell>
          <cell r="K23">
            <v>8</v>
          </cell>
          <cell r="L23">
            <v>10.451612903225806</v>
          </cell>
          <cell r="M23">
            <v>0</v>
          </cell>
          <cell r="N23">
            <v>13.72167513134278</v>
          </cell>
          <cell r="O23">
            <v>100.74486746987952</v>
          </cell>
          <cell r="P23">
            <v>98.898212983326317</v>
          </cell>
          <cell r="Q23">
            <v>0.55746016417189759</v>
          </cell>
          <cell r="R23">
            <v>70.241212121212129</v>
          </cell>
          <cell r="S23">
            <v>62.757575757575758</v>
          </cell>
          <cell r="T23">
            <v>19.212121212121211</v>
          </cell>
          <cell r="U23">
            <v>12.272727272727273</v>
          </cell>
          <cell r="V23">
            <v>11.303030303030303</v>
          </cell>
          <cell r="W23">
            <v>0</v>
          </cell>
        </row>
        <row r="24">
          <cell r="A24">
            <v>23</v>
          </cell>
          <cell r="B24" t="str">
            <v>Kentucky</v>
          </cell>
          <cell r="C24" t="str">
            <v>Santa Clara</v>
          </cell>
          <cell r="D24">
            <v>18.034523649586539</v>
          </cell>
          <cell r="E24">
            <v>101.2517590047062</v>
          </cell>
          <cell r="F24">
            <v>98.419793855345077</v>
          </cell>
          <cell r="G24">
            <v>0.53111327175498302</v>
          </cell>
          <cell r="H24">
            <v>69.036470588235289</v>
          </cell>
          <cell r="I24">
            <v>60.5</v>
          </cell>
          <cell r="J24">
            <v>22.676470588235293</v>
          </cell>
          <cell r="K24">
            <v>11.941176470588236</v>
          </cell>
          <cell r="L24">
            <v>10.5</v>
          </cell>
          <cell r="M24">
            <v>0</v>
          </cell>
          <cell r="N24">
            <v>15.7373824689671</v>
          </cell>
          <cell r="O24">
            <v>102.69192816262087</v>
          </cell>
          <cell r="P24">
            <v>86.875904373690886</v>
          </cell>
          <cell r="Q24">
            <v>0.54789719626168221</v>
          </cell>
          <cell r="R24">
            <v>69.654545454545456</v>
          </cell>
          <cell r="S24">
            <v>64.848484848484844</v>
          </cell>
          <cell r="T24">
            <v>16.363636363636363</v>
          </cell>
          <cell r="U24">
            <v>13.090909090909092</v>
          </cell>
          <cell r="V24">
            <v>10.696969696969697</v>
          </cell>
          <cell r="W24">
            <v>0</v>
          </cell>
        </row>
        <row r="25">
          <cell r="A25">
            <v>24</v>
          </cell>
          <cell r="B25" t="str">
            <v>Iowa State</v>
          </cell>
          <cell r="C25" t="str">
            <v>Tennessee State</v>
          </cell>
          <cell r="D25">
            <v>20.641493911570723</v>
          </cell>
          <cell r="E25">
            <v>101.50134460238188</v>
          </cell>
          <cell r="F25">
            <v>96.951162965358421</v>
          </cell>
          <cell r="G25">
            <v>0.56497313141182215</v>
          </cell>
          <cell r="H25">
            <v>67.654117647058825</v>
          </cell>
          <cell r="I25">
            <v>60.205882352941174</v>
          </cell>
          <cell r="J25">
            <v>20.470588235294116</v>
          </cell>
          <cell r="K25">
            <v>11.823529411764707</v>
          </cell>
          <cell r="L25">
            <v>10.264705882352942</v>
          </cell>
          <cell r="M25">
            <v>0</v>
          </cell>
          <cell r="N25">
            <v>1.0639361366167945</v>
          </cell>
          <cell r="O25">
            <v>100.59318477066054</v>
          </cell>
          <cell r="P25">
            <v>92.0991626269942</v>
          </cell>
          <cell r="Q25">
            <v>0.50690890481064488</v>
          </cell>
          <cell r="R25">
            <v>71.468387096774194</v>
          </cell>
          <cell r="S25">
            <v>63.032258064516128</v>
          </cell>
          <cell r="T25">
            <v>21.225806451612904</v>
          </cell>
          <cell r="U25">
            <v>13.129032258064516</v>
          </cell>
          <cell r="V25">
            <v>12.225806451612904</v>
          </cell>
          <cell r="W25">
            <v>0</v>
          </cell>
        </row>
        <row r="26">
          <cell r="A26">
            <v>25</v>
          </cell>
          <cell r="B26" t="str">
            <v>Prairie View A&amp;M</v>
          </cell>
          <cell r="C26" t="str">
            <v>Lehigh Mountain</v>
          </cell>
          <cell r="D26">
            <v>-11.471425536201773</v>
          </cell>
          <cell r="E26">
            <v>97.164732374848427</v>
          </cell>
          <cell r="F26">
            <v>95.447708530170132</v>
          </cell>
          <cell r="G26">
            <v>0.49387855044074436</v>
          </cell>
          <cell r="H26">
            <v>73.484705882352941</v>
          </cell>
          <cell r="I26">
            <v>60.058823529411768</v>
          </cell>
          <cell r="J26">
            <v>26.235294117647058</v>
          </cell>
          <cell r="K26">
            <v>10.058823529411764</v>
          </cell>
          <cell r="L26">
            <v>11.941176470588236</v>
          </cell>
          <cell r="M26">
            <v>0</v>
          </cell>
          <cell r="N26">
            <v>-9.9103284017639872</v>
          </cell>
          <cell r="O26">
            <v>93.603341122656985</v>
          </cell>
          <cell r="P26">
            <v>103.96836114726544</v>
          </cell>
          <cell r="Q26">
            <v>0.53463203463203468</v>
          </cell>
          <cell r="R26">
            <v>68.395151515151511</v>
          </cell>
          <cell r="S26">
            <v>56</v>
          </cell>
          <cell r="T26">
            <v>17.90909090909091</v>
          </cell>
          <cell r="U26">
            <v>7.5757575757575761</v>
          </cell>
          <cell r="V26">
            <v>12.090909090909092</v>
          </cell>
          <cell r="W26">
            <v>0</v>
          </cell>
        </row>
        <row r="27">
          <cell r="A27">
            <v>26</v>
          </cell>
          <cell r="B27" t="str">
            <v>Clemson</v>
          </cell>
          <cell r="C27" t="str">
            <v>Iowa</v>
          </cell>
          <cell r="D27">
            <v>11.025556023298106</v>
          </cell>
          <cell r="E27">
            <v>99.36088590073166</v>
          </cell>
          <cell r="F27">
            <v>103.15195066761017</v>
          </cell>
          <cell r="G27">
            <v>0.52621919244887261</v>
          </cell>
          <cell r="H27">
            <v>65.309411764705885</v>
          </cell>
          <cell r="I27">
            <v>56.088235294117645</v>
          </cell>
          <cell r="J27">
            <v>20.823529411764707</v>
          </cell>
          <cell r="K27">
            <v>9.3235294117647065</v>
          </cell>
          <cell r="L27">
            <v>9.382352941176471</v>
          </cell>
          <cell r="M27">
            <v>0</v>
          </cell>
          <cell r="N27">
            <v>15.51511812576733</v>
          </cell>
          <cell r="O27">
            <v>98.238539943433466</v>
          </cell>
          <cell r="P27">
            <v>93.168875634820807</v>
          </cell>
          <cell r="Q27">
            <v>0.56555993247045577</v>
          </cell>
          <cell r="R27">
            <v>62.900606060606066</v>
          </cell>
          <cell r="S27">
            <v>53.848484848484851</v>
          </cell>
          <cell r="T27">
            <v>18.575757575757574</v>
          </cell>
          <cell r="U27">
            <v>8.8181818181818183</v>
          </cell>
          <cell r="V27">
            <v>9.6969696969696972</v>
          </cell>
          <cell r="W27">
            <v>0</v>
          </cell>
        </row>
        <row r="28">
          <cell r="A28">
            <v>27</v>
          </cell>
          <cell r="B28" t="str">
            <v>Vanderbilt</v>
          </cell>
          <cell r="C28" t="str">
            <v>McNeese</v>
          </cell>
          <cell r="D28">
            <v>19.334095266215517</v>
          </cell>
          <cell r="E28">
            <v>100.88210871874095</v>
          </cell>
          <cell r="F28">
            <v>97.473801766777243</v>
          </cell>
          <cell r="G28">
            <v>0.55371690427698572</v>
          </cell>
          <cell r="H28">
            <v>70.61</v>
          </cell>
          <cell r="I28">
            <v>61.375</v>
          </cell>
          <cell r="J28">
            <v>23.6875</v>
          </cell>
          <cell r="K28">
            <v>10.8125</v>
          </cell>
          <cell r="L28">
            <v>9.625</v>
          </cell>
          <cell r="M28">
            <v>0</v>
          </cell>
          <cell r="N28">
            <v>7.3382243907443794</v>
          </cell>
          <cell r="O28">
            <v>103.37379689648401</v>
          </cell>
          <cell r="P28">
            <v>86.201703974879166</v>
          </cell>
          <cell r="Q28">
            <v>0.52292191435768265</v>
          </cell>
          <cell r="R28">
            <v>67.170909090909092</v>
          </cell>
          <cell r="S28">
            <v>60.151515151515149</v>
          </cell>
          <cell r="T28">
            <v>22.90909090909091</v>
          </cell>
          <cell r="U28">
            <v>12.666666666666666</v>
          </cell>
          <cell r="V28">
            <v>9.6060606060606055</v>
          </cell>
          <cell r="W28">
            <v>0</v>
          </cell>
        </row>
        <row r="29">
          <cell r="A29">
            <v>28</v>
          </cell>
          <cell r="B29" t="str">
            <v>Nebraska</v>
          </cell>
          <cell r="C29" t="str">
            <v>Troy</v>
          </cell>
          <cell r="D29">
            <v>15.82631796216417</v>
          </cell>
          <cell r="E29">
            <v>98.25476089716463</v>
          </cell>
          <cell r="F29">
            <v>102.35159180352665</v>
          </cell>
          <cell r="G29">
            <v>0.55440552016985134</v>
          </cell>
          <cell r="H29">
            <v>66.883750000000006</v>
          </cell>
          <cell r="I29">
            <v>58.875</v>
          </cell>
          <cell r="J29">
            <v>16</v>
          </cell>
          <cell r="K29">
            <v>8.78125</v>
          </cell>
          <cell r="L29">
            <v>9.75</v>
          </cell>
          <cell r="M29">
            <v>0</v>
          </cell>
          <cell r="N29">
            <v>1.3139417704256628</v>
          </cell>
          <cell r="O29">
            <v>100.51893957487461</v>
          </cell>
          <cell r="P29">
            <v>98.124365381111119</v>
          </cell>
          <cell r="Q29">
            <v>0.52557100297914594</v>
          </cell>
          <cell r="R29">
            <v>69.795151515151503</v>
          </cell>
          <cell r="S29">
            <v>61.030303030303031</v>
          </cell>
          <cell r="T29">
            <v>21.848484848484848</v>
          </cell>
          <cell r="U29">
            <v>12.727272727272727</v>
          </cell>
          <cell r="V29">
            <v>11.878787878787879</v>
          </cell>
          <cell r="W29">
            <v>0</v>
          </cell>
        </row>
        <row r="30">
          <cell r="A30">
            <v>29</v>
          </cell>
          <cell r="B30" t="str">
            <v>North Carolina</v>
          </cell>
          <cell r="C30" t="str">
            <v>VCU</v>
          </cell>
          <cell r="D30">
            <v>13.976487221924666</v>
          </cell>
          <cell r="E30">
            <v>100.8800604991177</v>
          </cell>
          <cell r="F30">
            <v>105.06607056606742</v>
          </cell>
          <cell r="G30">
            <v>0.54564643799472301</v>
          </cell>
          <cell r="H30">
            <v>67.842500000000001</v>
          </cell>
          <cell r="I30">
            <v>59.21875</v>
          </cell>
          <cell r="J30">
            <v>22.15625</v>
          </cell>
          <cell r="K30">
            <v>10.78125</v>
          </cell>
          <cell r="L30">
            <v>9.65625</v>
          </cell>
          <cell r="M30">
            <v>0</v>
          </cell>
          <cell r="N30">
            <v>10.280535393881047</v>
          </cell>
          <cell r="O30">
            <v>99.976592216912124</v>
          </cell>
          <cell r="P30">
            <v>99.94980567668172</v>
          </cell>
          <cell r="Q30">
            <v>0.54290339989206693</v>
          </cell>
          <cell r="R30">
            <v>68.818749999999994</v>
          </cell>
          <cell r="S30">
            <v>57.90625</v>
          </cell>
          <cell r="T30">
            <v>25.9375</v>
          </cell>
          <cell r="U30">
            <v>11.3125</v>
          </cell>
          <cell r="V30">
            <v>10.8125</v>
          </cell>
          <cell r="W30">
            <v>0</v>
          </cell>
        </row>
        <row r="31">
          <cell r="A31">
            <v>30</v>
          </cell>
          <cell r="B31" t="str">
            <v>Saint Mary's</v>
          </cell>
          <cell r="C31" t="str">
            <v>Texas A&amp;M</v>
          </cell>
          <cell r="D31">
            <v>15.018208989030123</v>
          </cell>
          <cell r="E31">
            <v>101.28604407135361</v>
          </cell>
          <cell r="F31">
            <v>97.020274221707183</v>
          </cell>
          <cell r="G31">
            <v>0.53311617806731815</v>
          </cell>
          <cell r="H31">
            <v>65.372500000000002</v>
          </cell>
          <cell r="I31">
            <v>57.5625</v>
          </cell>
          <cell r="J31">
            <v>20.875</v>
          </cell>
          <cell r="K31">
            <v>12.1875</v>
          </cell>
          <cell r="L31">
            <v>10.8125</v>
          </cell>
          <cell r="M31">
            <v>0</v>
          </cell>
          <cell r="N31">
            <v>13.344745551152522</v>
          </cell>
          <cell r="O31">
            <v>101.09664255240216</v>
          </cell>
          <cell r="P31">
            <v>98.213295342640578</v>
          </cell>
          <cell r="Q31">
            <v>0.54188861985472159</v>
          </cell>
          <cell r="R31">
            <v>73.739999999999995</v>
          </cell>
          <cell r="S31">
            <v>64.53125</v>
          </cell>
          <cell r="T31">
            <v>24.125</v>
          </cell>
          <cell r="U31">
            <v>12.25</v>
          </cell>
          <cell r="V31">
            <v>10.84375</v>
          </cell>
          <cell r="W31">
            <v>0</v>
          </cell>
        </row>
        <row r="32">
          <cell r="A32">
            <v>31</v>
          </cell>
          <cell r="B32" t="str">
            <v>Illinois</v>
          </cell>
          <cell r="C32" t="str">
            <v>Pennsylvania</v>
          </cell>
          <cell r="D32">
            <v>18.826343007871433</v>
          </cell>
          <cell r="E32">
            <v>105.08780903665816</v>
          </cell>
          <cell r="F32">
            <v>108.91673393133649</v>
          </cell>
          <cell r="G32">
            <v>0.5511688311688312</v>
          </cell>
          <cell r="H32">
            <v>66.809032258064519</v>
          </cell>
          <cell r="I32">
            <v>62.096774193548384</v>
          </cell>
          <cell r="J32">
            <v>20.387096774193548</v>
          </cell>
          <cell r="K32">
            <v>13.258064516129032</v>
          </cell>
          <cell r="L32">
            <v>9</v>
          </cell>
          <cell r="M32">
            <v>0</v>
          </cell>
          <cell r="N32">
            <v>-0.34703170207646006</v>
          </cell>
          <cell r="O32">
            <v>100.50742749351569</v>
          </cell>
          <cell r="P32">
            <v>109.36681685229431</v>
          </cell>
          <cell r="Q32">
            <v>0.50901741293532343</v>
          </cell>
          <cell r="R32">
            <v>68.677037037037039</v>
          </cell>
          <cell r="S32">
            <v>59.555555555555557</v>
          </cell>
          <cell r="T32">
            <v>22.666666666666668</v>
          </cell>
          <cell r="U32">
            <v>11.703703703703704</v>
          </cell>
          <cell r="V32">
            <v>10.851851851851851</v>
          </cell>
          <cell r="W32">
            <v>0</v>
          </cell>
        </row>
        <row r="33">
          <cell r="A33">
            <v>32</v>
          </cell>
          <cell r="B33" t="str">
            <v>Houstom</v>
          </cell>
          <cell r="C33" t="str">
            <v>Idaho</v>
          </cell>
          <cell r="D33" t="e">
            <v>#N/A</v>
          </cell>
          <cell r="E33" t="e">
            <v>#N/A</v>
          </cell>
          <cell r="F33" t="e">
            <v>#N/A</v>
          </cell>
          <cell r="G33" t="e">
            <v>#N/A</v>
          </cell>
          <cell r="H33" t="e">
            <v>#N/A</v>
          </cell>
          <cell r="I33" t="e">
            <v>#N/A</v>
          </cell>
          <cell r="J33" t="e">
            <v>#N/A</v>
          </cell>
          <cell r="K33" t="e">
            <v>#N/A</v>
          </cell>
          <cell r="L33" t="e">
            <v>#N/A</v>
          </cell>
          <cell r="M33">
            <v>0</v>
          </cell>
          <cell r="N33">
            <v>3.9283127151133375</v>
          </cell>
          <cell r="O33">
            <v>99.291484923193622</v>
          </cell>
          <cell r="P33">
            <v>93.019475800671287</v>
          </cell>
          <cell r="Q33">
            <v>0.53492375799311365</v>
          </cell>
          <cell r="R33">
            <v>68.792941176470592</v>
          </cell>
          <cell r="S33">
            <v>59.794117647058826</v>
          </cell>
          <cell r="T33">
            <v>20.117647058823529</v>
          </cell>
          <cell r="U33">
            <v>10.5</v>
          </cell>
          <cell r="V33">
            <v>10.647058823529411</v>
          </cell>
          <cell r="W33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23.696013174207508</v>
          </cell>
          <cell r="D3">
            <v>3</v>
          </cell>
          <cell r="E3">
            <v>23.687310951598352</v>
          </cell>
          <cell r="F3">
            <v>1</v>
          </cell>
          <cell r="G3">
            <v>2.4427346831240313</v>
          </cell>
        </row>
        <row r="4">
          <cell r="A4" t="str">
            <v>Michigan</v>
          </cell>
          <cell r="B4">
            <v>22.170536690416185</v>
          </cell>
          <cell r="C4">
            <v>26.261180748405771</v>
          </cell>
          <cell r="D4">
            <v>1</v>
          </cell>
          <cell r="E4">
            <v>23.158914646956031</v>
          </cell>
          <cell r="F4">
            <v>2</v>
          </cell>
          <cell r="G4">
            <v>2.3860634248226917</v>
          </cell>
        </row>
        <row r="5">
          <cell r="A5" t="str">
            <v>Duke</v>
          </cell>
          <cell r="B5">
            <v>23.806844554428128</v>
          </cell>
          <cell r="C5">
            <v>24.009965651848621</v>
          </cell>
          <cell r="D5">
            <v>2</v>
          </cell>
          <cell r="E5">
            <v>23.054887624413109</v>
          </cell>
          <cell r="F5">
            <v>3</v>
          </cell>
          <cell r="G5">
            <v>2.374906378088915</v>
          </cell>
        </row>
        <row r="6">
          <cell r="A6" t="str">
            <v>Florida</v>
          </cell>
          <cell r="B6">
            <v>23.898506089170024</v>
          </cell>
          <cell r="C6">
            <v>22.618452886641368</v>
          </cell>
          <cell r="D6">
            <v>4</v>
          </cell>
          <cell r="E6">
            <v>22.650454216704585</v>
          </cell>
          <cell r="F6">
            <v>4</v>
          </cell>
          <cell r="G6">
            <v>2.3315303175211648</v>
          </cell>
        </row>
        <row r="7">
          <cell r="A7" t="str">
            <v>Gonzaga</v>
          </cell>
          <cell r="B7">
            <v>23.269796454268604</v>
          </cell>
          <cell r="C7">
            <v>20.900625602324915</v>
          </cell>
          <cell r="D7">
            <v>5</v>
          </cell>
          <cell r="E7">
            <v>20.959854873623506</v>
          </cell>
          <cell r="F7">
            <v>5</v>
          </cell>
          <cell r="G7">
            <v>2.1502111235486088</v>
          </cell>
        </row>
        <row r="8">
          <cell r="A8" t="str">
            <v>Purdue</v>
          </cell>
          <cell r="B8">
            <v>25.133558227306281</v>
          </cell>
          <cell r="C8">
            <v>20.825652987352235</v>
          </cell>
          <cell r="D8">
            <v>6</v>
          </cell>
          <cell r="E8">
            <v>20.933350618351088</v>
          </cell>
          <cell r="F8">
            <v>6</v>
          </cell>
          <cell r="G8">
            <v>2.1473685043186266</v>
          </cell>
        </row>
        <row r="9">
          <cell r="A9" t="str">
            <v>Houston</v>
          </cell>
          <cell r="B9">
            <v>24.989412990794982</v>
          </cell>
          <cell r="C9">
            <v>20.796240244149597</v>
          </cell>
          <cell r="D9">
            <v>7</v>
          </cell>
          <cell r="E9">
            <v>20.901069562815731</v>
          </cell>
          <cell r="F9">
            <v>7</v>
          </cell>
          <cell r="G9">
            <v>2.143906315010315</v>
          </cell>
        </row>
        <row r="10">
          <cell r="A10" t="str">
            <v>Iowa State</v>
          </cell>
          <cell r="B10">
            <v>20.841253854011949</v>
          </cell>
          <cell r="C10">
            <v>20.636371861764538</v>
          </cell>
          <cell r="D10">
            <v>8</v>
          </cell>
          <cell r="E10">
            <v>20.641493911570723</v>
          </cell>
          <cell r="F10">
            <v>8</v>
          </cell>
          <cell r="G10">
            <v>2.1160664557016808</v>
          </cell>
        </row>
        <row r="11">
          <cell r="A11" t="str">
            <v>Tennessee</v>
          </cell>
          <cell r="B11">
            <v>21.154185097948655</v>
          </cell>
          <cell r="C11">
            <v>20.567797484793068</v>
          </cell>
          <cell r="D11">
            <v>9</v>
          </cell>
          <cell r="E11">
            <v>20.582457175121956</v>
          </cell>
          <cell r="F11">
            <v>9</v>
          </cell>
          <cell r="G11">
            <v>2.109734681404317</v>
          </cell>
        </row>
        <row r="12">
          <cell r="A12" t="str">
            <v>Michigan State</v>
          </cell>
          <cell r="B12">
            <v>20.512921474156744</v>
          </cell>
          <cell r="C12">
            <v>19.968544975710401</v>
          </cell>
          <cell r="D12">
            <v>10</v>
          </cell>
          <cell r="E12">
            <v>19.982154388171562</v>
          </cell>
          <cell r="F12">
            <v>10</v>
          </cell>
          <cell r="G12">
            <v>2.0453513501822935</v>
          </cell>
        </row>
        <row r="13">
          <cell r="A13" t="str">
            <v>Arkansas</v>
          </cell>
          <cell r="B13">
            <v>19.897498939026178</v>
          </cell>
          <cell r="C13">
            <v>19.89911733681739</v>
          </cell>
          <cell r="D13">
            <v>11</v>
          </cell>
          <cell r="E13">
            <v>19.899076876872613</v>
          </cell>
          <cell r="F13">
            <v>11</v>
          </cell>
          <cell r="G13">
            <v>2.0364411684484489</v>
          </cell>
        </row>
        <row r="14">
          <cell r="A14" t="str">
            <v>Alabama</v>
          </cell>
          <cell r="B14">
            <v>19.611532443464291</v>
          </cell>
          <cell r="C14">
            <v>19.675205429470935</v>
          </cell>
          <cell r="D14">
            <v>12</v>
          </cell>
          <cell r="E14">
            <v>19.673613604820769</v>
          </cell>
          <cell r="F14">
            <v>12</v>
          </cell>
          <cell r="G14">
            <v>2.0122599105258288</v>
          </cell>
        </row>
        <row r="15">
          <cell r="A15" t="str">
            <v>Vanderbilt</v>
          </cell>
          <cell r="B15">
            <v>19.814939133924728</v>
          </cell>
          <cell r="C15">
            <v>19.321765936274257</v>
          </cell>
          <cell r="D15">
            <v>13</v>
          </cell>
          <cell r="E15">
            <v>19.334095266215517</v>
          </cell>
          <cell r="F15">
            <v>13</v>
          </cell>
          <cell r="G15">
            <v>1.9758460838277705</v>
          </cell>
        </row>
        <row r="16">
          <cell r="A16" t="str">
            <v>Illinois</v>
          </cell>
          <cell r="B16">
            <v>22.357214477641335</v>
          </cell>
          <cell r="C16">
            <v>18.735807841979899</v>
          </cell>
          <cell r="D16">
            <v>15</v>
          </cell>
          <cell r="E16">
            <v>18.826343007871433</v>
          </cell>
          <cell r="F16">
            <v>14</v>
          </cell>
          <cell r="G16">
            <v>1.9213889289746828</v>
          </cell>
        </row>
        <row r="17">
          <cell r="A17" t="str">
            <v>UConn</v>
          </cell>
          <cell r="B17">
            <v>23.8885224238179</v>
          </cell>
          <cell r="C17">
            <v>17.972531770923123</v>
          </cell>
          <cell r="D17">
            <v>16</v>
          </cell>
          <cell r="E17">
            <v>18.120431537245491</v>
          </cell>
          <cell r="F17">
            <v>15</v>
          </cell>
          <cell r="G17">
            <v>1.8456789156035616</v>
          </cell>
        </row>
        <row r="18">
          <cell r="A18" t="str">
            <v>Kentucky</v>
          </cell>
          <cell r="B18">
            <v>21.963932506439889</v>
          </cell>
          <cell r="C18">
            <v>17.933769576333887</v>
          </cell>
          <cell r="D18">
            <v>17</v>
          </cell>
          <cell r="E18">
            <v>18.034523649586539</v>
          </cell>
          <cell r="F18">
            <v>16</v>
          </cell>
          <cell r="G18">
            <v>1.8364651719629081</v>
          </cell>
        </row>
        <row r="19">
          <cell r="A19" t="str">
            <v>Texas Tech</v>
          </cell>
          <cell r="B19">
            <v>21.610552058212996</v>
          </cell>
          <cell r="C19">
            <v>18.98677987717333</v>
          </cell>
          <cell r="D19">
            <v>14</v>
          </cell>
          <cell r="E19">
            <v>17.052374181699321</v>
          </cell>
          <cell r="F19">
            <v>17</v>
          </cell>
          <cell r="G19">
            <v>1.7311282388766018</v>
          </cell>
        </row>
        <row r="20">
          <cell r="A20" t="str">
            <v>Auburn</v>
          </cell>
          <cell r="B20">
            <v>20.255824923422399</v>
          </cell>
          <cell r="C20">
            <v>16.965585277005371</v>
          </cell>
          <cell r="D20">
            <v>18</v>
          </cell>
          <cell r="E20">
            <v>17.047841268165797</v>
          </cell>
          <cell r="F20">
            <v>18</v>
          </cell>
          <cell r="G20">
            <v>1.7306420774264573</v>
          </cell>
        </row>
        <row r="21">
          <cell r="A21" t="str">
            <v>BYU</v>
          </cell>
          <cell r="B21">
            <v>22.353677530978857</v>
          </cell>
          <cell r="C21">
            <v>16.820588486343897</v>
          </cell>
          <cell r="D21">
            <v>19</v>
          </cell>
          <cell r="E21">
            <v>16.95891571245977</v>
          </cell>
          <cell r="F21">
            <v>19</v>
          </cell>
          <cell r="G21">
            <v>1.7211046845780766</v>
          </cell>
        </row>
        <row r="22">
          <cell r="A22" t="str">
            <v>Kansas</v>
          </cell>
          <cell r="B22">
            <v>19.619972109714087</v>
          </cell>
          <cell r="C22">
            <v>16.73741131470414</v>
          </cell>
          <cell r="D22">
            <v>20</v>
          </cell>
          <cell r="E22">
            <v>16.809475334579385</v>
          </cell>
          <cell r="F22">
            <v>20</v>
          </cell>
          <cell r="G22">
            <v>1.7050769906273366</v>
          </cell>
        </row>
        <row r="23">
          <cell r="A23" t="str">
            <v>Louisville</v>
          </cell>
          <cell r="B23">
            <v>21.158267596654795</v>
          </cell>
          <cell r="C23">
            <v>16.515038606753826</v>
          </cell>
          <cell r="D23">
            <v>21</v>
          </cell>
          <cell r="E23">
            <v>16.631119331501349</v>
          </cell>
          <cell r="F23">
            <v>21</v>
          </cell>
          <cell r="G23">
            <v>1.6859480545783385</v>
          </cell>
        </row>
        <row r="24">
          <cell r="A24" t="str">
            <v>Utah State</v>
          </cell>
          <cell r="B24">
            <v>17.85964083250806</v>
          </cell>
          <cell r="C24">
            <v>16.247506179515806</v>
          </cell>
          <cell r="D24">
            <v>22</v>
          </cell>
          <cell r="E24">
            <v>16.287809545840613</v>
          </cell>
          <cell r="F24">
            <v>22</v>
          </cell>
          <cell r="G24">
            <v>1.6491275897688296</v>
          </cell>
        </row>
        <row r="25">
          <cell r="A25" t="str">
            <v>Wisconsin</v>
          </cell>
          <cell r="B25">
            <v>20.84233967694907</v>
          </cell>
          <cell r="C25">
            <v>16.027700456018152</v>
          </cell>
          <cell r="D25">
            <v>23</v>
          </cell>
          <cell r="E25">
            <v>16.148066436541427</v>
          </cell>
          <cell r="F25">
            <v>23</v>
          </cell>
          <cell r="G25">
            <v>1.6341399417225639</v>
          </cell>
        </row>
        <row r="26">
          <cell r="A26" t="str">
            <v>UCLA</v>
          </cell>
          <cell r="B26">
            <v>22.200725869750766</v>
          </cell>
          <cell r="C26">
            <v>15.782962905975415</v>
          </cell>
          <cell r="D26">
            <v>25</v>
          </cell>
          <cell r="E26">
            <v>15.943406980069799</v>
          </cell>
          <cell r="F26">
            <v>24</v>
          </cell>
          <cell r="G26">
            <v>1.6121899227318626</v>
          </cell>
        </row>
        <row r="27">
          <cell r="A27" t="str">
            <v>Nebraska</v>
          </cell>
          <cell r="B27">
            <v>16.206376355863735</v>
          </cell>
          <cell r="C27">
            <v>15.816572875146232</v>
          </cell>
          <cell r="D27">
            <v>24</v>
          </cell>
          <cell r="E27">
            <v>15.82631796216417</v>
          </cell>
          <cell r="F27">
            <v>25</v>
          </cell>
          <cell r="G27">
            <v>1.5996319583409651</v>
          </cell>
        </row>
        <row r="28">
          <cell r="A28" t="str">
            <v>Santa Clara</v>
          </cell>
          <cell r="B28">
            <v>15.533209820599076</v>
          </cell>
          <cell r="C28">
            <v>15.7426176650791</v>
          </cell>
          <cell r="D28">
            <v>26</v>
          </cell>
          <cell r="E28">
            <v>15.7373824689671</v>
          </cell>
          <cell r="F28">
            <v>26</v>
          </cell>
          <cell r="G28">
            <v>1.5900934996824778</v>
          </cell>
        </row>
        <row r="29">
          <cell r="A29" t="str">
            <v>Iowa</v>
          </cell>
          <cell r="B29">
            <v>20.435850766301293</v>
          </cell>
          <cell r="C29">
            <v>15.388945493958767</v>
          </cell>
          <cell r="D29">
            <v>27</v>
          </cell>
          <cell r="E29">
            <v>15.51511812576733</v>
          </cell>
          <cell r="F29">
            <v>27</v>
          </cell>
          <cell r="G29">
            <v>1.5662553314477887</v>
          </cell>
        </row>
        <row r="30">
          <cell r="A30" t="str">
            <v>St. John's</v>
          </cell>
          <cell r="B30">
            <v>23.036885093583159</v>
          </cell>
          <cell r="C30">
            <v>14.921071402261807</v>
          </cell>
          <cell r="D30">
            <v>29</v>
          </cell>
          <cell r="E30">
            <v>15.123966744544841</v>
          </cell>
          <cell r="F30">
            <v>28</v>
          </cell>
          <cell r="G30">
            <v>1.5243037871893734</v>
          </cell>
        </row>
        <row r="31">
          <cell r="A31" t="str">
            <v>Saint Mary's</v>
          </cell>
          <cell r="B31">
            <v>18.3754884225479</v>
          </cell>
          <cell r="C31">
            <v>14.932124900991207</v>
          </cell>
          <cell r="D31">
            <v>28</v>
          </cell>
          <cell r="E31">
            <v>15.018208989030123</v>
          </cell>
          <cell r="F31">
            <v>29</v>
          </cell>
          <cell r="G31">
            <v>1.5129611168726278</v>
          </cell>
        </row>
        <row r="32">
          <cell r="A32" t="str">
            <v>Ohio State</v>
          </cell>
          <cell r="B32">
            <v>19.539372034863764</v>
          </cell>
          <cell r="C32">
            <v>14.606091511648509</v>
          </cell>
          <cell r="D32">
            <v>30</v>
          </cell>
          <cell r="E32">
            <v>14.72942352472889</v>
          </cell>
          <cell r="F32">
            <v>30</v>
          </cell>
          <cell r="G32">
            <v>1.4819884633977598</v>
          </cell>
        </row>
        <row r="33">
          <cell r="A33" t="str">
            <v>Texas</v>
          </cell>
          <cell r="B33">
            <v>16.253714630756026</v>
          </cell>
          <cell r="C33">
            <v>14.487906916817966</v>
          </cell>
          <cell r="D33">
            <v>31</v>
          </cell>
          <cell r="E33">
            <v>14.532052109666417</v>
          </cell>
          <cell r="F33">
            <v>31</v>
          </cell>
          <cell r="G33">
            <v>1.4608200972565963</v>
          </cell>
        </row>
        <row r="34">
          <cell r="A34" t="str">
            <v>San Diego State</v>
          </cell>
          <cell r="B34">
            <v>18.448153521291179</v>
          </cell>
          <cell r="C34">
            <v>14.197175445374867</v>
          </cell>
          <cell r="D34">
            <v>33</v>
          </cell>
          <cell r="E34">
            <v>14.303449897272774</v>
          </cell>
          <cell r="F34">
            <v>32</v>
          </cell>
          <cell r="G34">
            <v>1.4363021834994452</v>
          </cell>
        </row>
        <row r="35">
          <cell r="A35" t="str">
            <v>Georgia</v>
          </cell>
          <cell r="B35">
            <v>17.950699951149623</v>
          </cell>
          <cell r="C35">
            <v>14.015853762621465</v>
          </cell>
          <cell r="D35">
            <v>34</v>
          </cell>
          <cell r="E35">
            <v>14.114224917334669</v>
          </cell>
          <cell r="F35">
            <v>33</v>
          </cell>
          <cell r="G35">
            <v>1.4160075341596905</v>
          </cell>
        </row>
        <row r="36">
          <cell r="A36" t="str">
            <v>North Carolina</v>
          </cell>
          <cell r="B36">
            <v>18.770883806676974</v>
          </cell>
          <cell r="C36">
            <v>13.853553976161786</v>
          </cell>
          <cell r="D36">
            <v>35</v>
          </cell>
          <cell r="E36">
            <v>13.976487221924666</v>
          </cell>
          <cell r="F36">
            <v>34</v>
          </cell>
          <cell r="G36">
            <v>1.4012349696170687</v>
          </cell>
        </row>
        <row r="37">
          <cell r="A37" t="str">
            <v>SMU</v>
          </cell>
          <cell r="B37">
            <v>19.201852273032792</v>
          </cell>
          <cell r="C37">
            <v>13.581157768735343</v>
          </cell>
          <cell r="D37">
            <v>36</v>
          </cell>
          <cell r="E37">
            <v>13.72167513134278</v>
          </cell>
          <cell r="F37">
            <v>35</v>
          </cell>
          <cell r="G37">
            <v>1.3739060089926272</v>
          </cell>
        </row>
        <row r="38">
          <cell r="A38" t="str">
            <v>Texas A&amp;M</v>
          </cell>
          <cell r="B38">
            <v>16.014733241007438</v>
          </cell>
          <cell r="C38">
            <v>13.276284328335731</v>
          </cell>
          <cell r="D38">
            <v>37</v>
          </cell>
          <cell r="E38">
            <v>13.344745551152522</v>
          </cell>
          <cell r="F38">
            <v>36</v>
          </cell>
          <cell r="G38">
            <v>1.3334797732057642</v>
          </cell>
        </row>
        <row r="39">
          <cell r="A39" t="str">
            <v>Baylor</v>
          </cell>
          <cell r="B39">
            <v>19.16475956028432</v>
          </cell>
          <cell r="C39">
            <v>13.135369673342353</v>
          </cell>
          <cell r="D39">
            <v>38</v>
          </cell>
          <cell r="E39">
            <v>13.286104420515903</v>
          </cell>
          <cell r="F39">
            <v>37</v>
          </cell>
          <cell r="G39">
            <v>1.3271904281967373</v>
          </cell>
        </row>
        <row r="40">
          <cell r="A40" t="str">
            <v>Oklahoma</v>
          </cell>
          <cell r="B40">
            <v>18.852287045547964</v>
          </cell>
          <cell r="C40">
            <v>13.03359610262776</v>
          </cell>
          <cell r="D40">
            <v>39</v>
          </cell>
          <cell r="E40">
            <v>13.179063376200766</v>
          </cell>
          <cell r="F40">
            <v>38</v>
          </cell>
          <cell r="G40">
            <v>1.3157101233234196</v>
          </cell>
        </row>
        <row r="41">
          <cell r="A41" t="str">
            <v>Virginia</v>
          </cell>
          <cell r="B41">
            <v>17.976536937098711</v>
          </cell>
          <cell r="C41">
            <v>12.768735713589274</v>
          </cell>
          <cell r="D41">
            <v>41</v>
          </cell>
          <cell r="E41">
            <v>12.898930744177012</v>
          </cell>
          <cell r="F41">
            <v>39</v>
          </cell>
          <cell r="G41">
            <v>1.2856654984678415</v>
          </cell>
        </row>
        <row r="42">
          <cell r="A42" t="str">
            <v>Saint Louis</v>
          </cell>
          <cell r="B42">
            <v>13.200856043417884</v>
          </cell>
          <cell r="C42">
            <v>14.421524269951229</v>
          </cell>
          <cell r="D42">
            <v>32</v>
          </cell>
          <cell r="E42">
            <v>12.891007564287897</v>
          </cell>
          <cell r="F42">
            <v>40</v>
          </cell>
          <cell r="G42">
            <v>1.2848157261092557</v>
          </cell>
        </row>
        <row r="43">
          <cell r="A43" t="str">
            <v>UCF</v>
          </cell>
          <cell r="B43">
            <v>12.869455518949275</v>
          </cell>
          <cell r="C43">
            <v>12.778139143350696</v>
          </cell>
          <cell r="D43">
            <v>40</v>
          </cell>
          <cell r="E43">
            <v>12.780422052740661</v>
          </cell>
          <cell r="F43">
            <v>41</v>
          </cell>
          <cell r="G43">
            <v>1.2729552720632695</v>
          </cell>
        </row>
        <row r="44">
          <cell r="A44" t="str">
            <v>TCU</v>
          </cell>
          <cell r="B44">
            <v>15.486595932014291</v>
          </cell>
          <cell r="C44">
            <v>12.604298993426156</v>
          </cell>
          <cell r="D44">
            <v>42</v>
          </cell>
          <cell r="E44">
            <v>12.676356416890858</v>
          </cell>
          <cell r="F44">
            <v>42</v>
          </cell>
          <cell r="G44">
            <v>1.2617940839971844</v>
          </cell>
        </row>
        <row r="45">
          <cell r="A45" t="str">
            <v>Indiana</v>
          </cell>
          <cell r="B45">
            <v>18.769900205372554</v>
          </cell>
          <cell r="C45">
            <v>12.437388761565717</v>
          </cell>
          <cell r="D45">
            <v>44</v>
          </cell>
          <cell r="E45">
            <v>12.595701547660889</v>
          </cell>
          <cell r="F45">
            <v>43</v>
          </cell>
          <cell r="G45">
            <v>1.2531437340851304</v>
          </cell>
        </row>
        <row r="46">
          <cell r="A46" t="str">
            <v>New Mexico</v>
          </cell>
          <cell r="B46">
            <v>12.32632888000543</v>
          </cell>
          <cell r="C46">
            <v>12.506013487460411</v>
          </cell>
          <cell r="D46">
            <v>43</v>
          </cell>
          <cell r="E46">
            <v>12.501521372274036</v>
          </cell>
          <cell r="F46">
            <v>44</v>
          </cell>
          <cell r="G46">
            <v>1.2430427757716034</v>
          </cell>
        </row>
        <row r="47">
          <cell r="A47" t="str">
            <v>Cincinnati</v>
          </cell>
          <cell r="B47">
            <v>17.830958402823203</v>
          </cell>
          <cell r="C47">
            <v>12.25750576039918</v>
          </cell>
          <cell r="D47">
            <v>45</v>
          </cell>
          <cell r="E47">
            <v>12.39684207645978</v>
          </cell>
          <cell r="F47">
            <v>45</v>
          </cell>
          <cell r="G47">
            <v>1.231815771797933</v>
          </cell>
        </row>
        <row r="48">
          <cell r="A48" t="str">
            <v>Miami</v>
          </cell>
          <cell r="B48">
            <v>15.666562444013055</v>
          </cell>
          <cell r="C48">
            <v>12.151001391696585</v>
          </cell>
          <cell r="D48">
            <v>46</v>
          </cell>
          <cell r="E48">
            <v>12.238890418004498</v>
          </cell>
          <cell r="F48">
            <v>46</v>
          </cell>
          <cell r="G48">
            <v>1.2148752308501618</v>
          </cell>
        </row>
        <row r="49">
          <cell r="A49" t="str">
            <v>NC State</v>
          </cell>
          <cell r="B49">
            <v>18.268501706355732</v>
          </cell>
          <cell r="C49">
            <v>12.044622651519077</v>
          </cell>
          <cell r="D49">
            <v>47</v>
          </cell>
          <cell r="E49">
            <v>12.200219627889993</v>
          </cell>
          <cell r="F49">
            <v>47</v>
          </cell>
          <cell r="G49">
            <v>1.2107277333827458</v>
          </cell>
        </row>
        <row r="50">
          <cell r="A50" t="str">
            <v>Missouri</v>
          </cell>
          <cell r="B50">
            <v>20.470260700429062</v>
          </cell>
          <cell r="C50">
            <v>11.71986559177809</v>
          </cell>
          <cell r="D50">
            <v>50</v>
          </cell>
          <cell r="E50">
            <v>11.938625469494365</v>
          </cell>
          <cell r="F50">
            <v>48</v>
          </cell>
          <cell r="G50">
            <v>1.1826713862994798</v>
          </cell>
        </row>
        <row r="51">
          <cell r="A51" t="str">
            <v>LSU</v>
          </cell>
          <cell r="B51">
            <v>13.241259481143162</v>
          </cell>
          <cell r="C51">
            <v>11.816813102420255</v>
          </cell>
          <cell r="D51">
            <v>48</v>
          </cell>
          <cell r="E51">
            <v>11.852424261888327</v>
          </cell>
          <cell r="F51">
            <v>49</v>
          </cell>
          <cell r="G51">
            <v>1.1734261836755968</v>
          </cell>
        </row>
        <row r="52">
          <cell r="A52" t="str">
            <v>Villanova</v>
          </cell>
          <cell r="B52">
            <v>15.786076207910773</v>
          </cell>
          <cell r="C52">
            <v>11.739837095166488</v>
          </cell>
          <cell r="D52">
            <v>49</v>
          </cell>
          <cell r="E52">
            <v>11.840993072985095</v>
          </cell>
          <cell r="F52">
            <v>50</v>
          </cell>
          <cell r="G52">
            <v>1.1722001723402886</v>
          </cell>
        </row>
        <row r="53">
          <cell r="A53" t="str">
            <v>Washington</v>
          </cell>
          <cell r="B53">
            <v>17.70257354068773</v>
          </cell>
          <cell r="C53">
            <v>11.269755368363628</v>
          </cell>
          <cell r="D53">
            <v>51</v>
          </cell>
          <cell r="E53">
            <v>11.430575822671731</v>
          </cell>
          <cell r="F53">
            <v>51</v>
          </cell>
          <cell r="G53">
            <v>1.1281823361073529</v>
          </cell>
        </row>
        <row r="54">
          <cell r="A54" t="str">
            <v>Clemson</v>
          </cell>
          <cell r="B54">
            <v>19.851444098386473</v>
          </cell>
          <cell r="C54">
            <v>10.799251200859944</v>
          </cell>
          <cell r="D54">
            <v>52</v>
          </cell>
          <cell r="E54">
            <v>11.025556023298106</v>
          </cell>
          <cell r="F54">
            <v>52</v>
          </cell>
          <cell r="G54">
            <v>1.0847433841960661</v>
          </cell>
        </row>
        <row r="55">
          <cell r="A55" t="str">
            <v>Stanford</v>
          </cell>
          <cell r="B55">
            <v>12.773932093692459</v>
          </cell>
          <cell r="C55">
            <v>10.793747415061926</v>
          </cell>
          <cell r="D55">
            <v>54</v>
          </cell>
          <cell r="E55">
            <v>10.843252032027689</v>
          </cell>
          <cell r="F55">
            <v>53</v>
          </cell>
          <cell r="G55">
            <v>1.0651910207751212</v>
          </cell>
        </row>
        <row r="56">
          <cell r="A56" t="str">
            <v>Akron</v>
          </cell>
          <cell r="B56">
            <v>14.017497672961843</v>
          </cell>
          <cell r="C56">
            <v>10.542103107123891</v>
          </cell>
          <cell r="D56">
            <v>56</v>
          </cell>
          <cell r="E56">
            <v>10.62898797126984</v>
          </cell>
          <cell r="F56">
            <v>54</v>
          </cell>
          <cell r="G56">
            <v>1.0422108942579202</v>
          </cell>
        </row>
        <row r="57">
          <cell r="A57" t="str">
            <v>South Florida</v>
          </cell>
          <cell r="B57">
            <v>14.502100434073014</v>
          </cell>
          <cell r="C57">
            <v>10.525665933624413</v>
          </cell>
          <cell r="D57">
            <v>57</v>
          </cell>
          <cell r="E57">
            <v>10.625076796135628</v>
          </cell>
          <cell r="F57">
            <v>55</v>
          </cell>
          <cell r="G57">
            <v>1.0417914151390366</v>
          </cell>
        </row>
        <row r="58">
          <cell r="A58" t="str">
            <v>Arizona State</v>
          </cell>
          <cell r="B58">
            <v>14.405762229379153</v>
          </cell>
          <cell r="C58">
            <v>10.516815423988515</v>
          </cell>
          <cell r="D58">
            <v>58</v>
          </cell>
          <cell r="E58">
            <v>10.61403909412328</v>
          </cell>
          <cell r="F58">
            <v>56</v>
          </cell>
          <cell r="G58">
            <v>1.0406076058347336</v>
          </cell>
        </row>
        <row r="59">
          <cell r="A59" t="str">
            <v>Boise State</v>
          </cell>
          <cell r="B59">
            <v>14.656697145610531</v>
          </cell>
          <cell r="C59">
            <v>10.363717905540874</v>
          </cell>
          <cell r="D59">
            <v>59</v>
          </cell>
          <cell r="E59">
            <v>10.471042386542615</v>
          </cell>
          <cell r="F59">
            <v>57</v>
          </cell>
          <cell r="G59">
            <v>1.0252710047261573</v>
          </cell>
        </row>
        <row r="60">
          <cell r="A60" t="str">
            <v>Oklahoma State</v>
          </cell>
          <cell r="B60">
            <v>14.223680468275028</v>
          </cell>
          <cell r="C60">
            <v>10.338460044238504</v>
          </cell>
          <cell r="D60">
            <v>60</v>
          </cell>
          <cell r="E60">
            <v>10.435590554839417</v>
          </cell>
          <cell r="F60">
            <v>58</v>
          </cell>
          <cell r="G60">
            <v>1.0214687451455049</v>
          </cell>
        </row>
        <row r="61">
          <cell r="A61" t="str">
            <v>Wake Forest</v>
          </cell>
          <cell r="B61">
            <v>13.974759095963076</v>
          </cell>
          <cell r="C61">
            <v>10.269867025124697</v>
          </cell>
          <cell r="D61">
            <v>61</v>
          </cell>
          <cell r="E61">
            <v>10.362489326895655</v>
          </cell>
          <cell r="F61">
            <v>59</v>
          </cell>
          <cell r="G61">
            <v>1.0136285340491191</v>
          </cell>
        </row>
        <row r="62">
          <cell r="A62" t="str">
            <v>Northwestern</v>
          </cell>
          <cell r="B62">
            <v>14.502255506436576</v>
          </cell>
          <cell r="C62">
            <v>10.235065502504892</v>
          </cell>
          <cell r="D62">
            <v>62</v>
          </cell>
          <cell r="E62">
            <v>10.341745252603184</v>
          </cell>
          <cell r="F62">
            <v>60</v>
          </cell>
          <cell r="G62">
            <v>1.0114037024556306</v>
          </cell>
        </row>
        <row r="63">
          <cell r="A63" t="str">
            <v>VCU</v>
          </cell>
          <cell r="B63">
            <v>15.866511896233263</v>
          </cell>
          <cell r="C63">
            <v>10.137305227154068</v>
          </cell>
          <cell r="D63">
            <v>63</v>
          </cell>
          <cell r="E63">
            <v>10.280535393881047</v>
          </cell>
          <cell r="F63">
            <v>61</v>
          </cell>
          <cell r="G63">
            <v>1.0048388576909064</v>
          </cell>
        </row>
        <row r="64">
          <cell r="A64" t="str">
            <v>Ole Miss</v>
          </cell>
          <cell r="B64">
            <v>15.32419956436574</v>
          </cell>
          <cell r="C64">
            <v>9.9233812621402269</v>
          </cell>
          <cell r="D64">
            <v>64</v>
          </cell>
          <cell r="E64">
            <v>10.058401719695865</v>
          </cell>
          <cell r="F64">
            <v>62</v>
          </cell>
          <cell r="G64">
            <v>0.98101470389464662</v>
          </cell>
        </row>
        <row r="65">
          <cell r="A65" t="str">
            <v>High Point</v>
          </cell>
          <cell r="B65">
            <v>13.396471442361008</v>
          </cell>
          <cell r="C65">
            <v>9.6989688937134719</v>
          </cell>
          <cell r="D65">
            <v>66</v>
          </cell>
          <cell r="E65">
            <v>9.7914064574296606</v>
          </cell>
          <cell r="F65">
            <v>63</v>
          </cell>
          <cell r="G65">
            <v>0.95237908070768207</v>
          </cell>
        </row>
        <row r="66">
          <cell r="A66" t="str">
            <v>Southern California</v>
          </cell>
          <cell r="B66">
            <v>19.752289936695011</v>
          </cell>
          <cell r="C66">
            <v>9.4006704550654892</v>
          </cell>
          <cell r="D66">
            <v>68</v>
          </cell>
          <cell r="E66">
            <v>9.659460942106227</v>
          </cell>
          <cell r="F66">
            <v>64</v>
          </cell>
          <cell r="G66">
            <v>0.93822773575143892</v>
          </cell>
        </row>
        <row r="67">
          <cell r="A67" t="str">
            <v>Seton Hall</v>
          </cell>
          <cell r="B67">
            <v>8.1076286972262395</v>
          </cell>
          <cell r="C67">
            <v>9.6838812740066782</v>
          </cell>
          <cell r="D67">
            <v>67</v>
          </cell>
          <cell r="E67">
            <v>9.6444749595871677</v>
          </cell>
          <cell r="F67">
            <v>65</v>
          </cell>
          <cell r="G67">
            <v>0.9366204677240596</v>
          </cell>
        </row>
        <row r="68">
          <cell r="A68" t="str">
            <v>Colorado</v>
          </cell>
          <cell r="B68">
            <v>10.835928700083171</v>
          </cell>
          <cell r="C68">
            <v>9.3335183123512984</v>
          </cell>
          <cell r="D68">
            <v>69</v>
          </cell>
          <cell r="E68">
            <v>9.3710785720445955</v>
          </cell>
          <cell r="F68">
            <v>66</v>
          </cell>
          <cell r="G68">
            <v>0.90729831470944655</v>
          </cell>
        </row>
        <row r="69">
          <cell r="A69" t="str">
            <v>Nevada</v>
          </cell>
          <cell r="B69">
            <v>14.187958711646898</v>
          </cell>
          <cell r="C69">
            <v>9.0405283836275849</v>
          </cell>
          <cell r="D69">
            <v>72</v>
          </cell>
          <cell r="E69">
            <v>9.1692141418280677</v>
          </cell>
          <cell r="F69">
            <v>67</v>
          </cell>
          <cell r="G69">
            <v>0.88564806627631754</v>
          </cell>
        </row>
        <row r="70">
          <cell r="A70" t="str">
            <v>California</v>
          </cell>
          <cell r="B70">
            <v>11.900594442090167</v>
          </cell>
          <cell r="C70">
            <v>9.0644580599510896</v>
          </cell>
          <cell r="D70">
            <v>71</v>
          </cell>
          <cell r="E70">
            <v>9.1353614695045664</v>
          </cell>
          <cell r="F70">
            <v>68</v>
          </cell>
          <cell r="G70">
            <v>0.88201731882297485</v>
          </cell>
        </row>
        <row r="71">
          <cell r="A71" t="str">
            <v>Florida State</v>
          </cell>
          <cell r="B71">
            <v>14.489621953834808</v>
          </cell>
          <cell r="C71">
            <v>8.9492466493800187</v>
          </cell>
          <cell r="D71">
            <v>74</v>
          </cell>
          <cell r="E71">
            <v>9.0877560319913879</v>
          </cell>
          <cell r="F71">
            <v>69</v>
          </cell>
          <cell r="G71">
            <v>0.87691156766204681</v>
          </cell>
        </row>
        <row r="72">
          <cell r="A72" t="str">
            <v>Northern Iowa</v>
          </cell>
          <cell r="B72">
            <v>13.377766522114587</v>
          </cell>
          <cell r="C72">
            <v>8.9336886651723937</v>
          </cell>
          <cell r="D72">
            <v>75</v>
          </cell>
          <cell r="E72">
            <v>9.044790611595948</v>
          </cell>
          <cell r="F72">
            <v>70</v>
          </cell>
          <cell r="G72">
            <v>0.87230346496363032</v>
          </cell>
        </row>
        <row r="73">
          <cell r="A73" t="str">
            <v>Grand Canyon</v>
          </cell>
          <cell r="B73">
            <v>10.857794571237998</v>
          </cell>
          <cell r="C73">
            <v>8.9973499003918196</v>
          </cell>
          <cell r="D73">
            <v>73</v>
          </cell>
          <cell r="E73">
            <v>9.043861017162973</v>
          </cell>
          <cell r="F73">
            <v>71</v>
          </cell>
          <cell r="G73">
            <v>0.87220376463309468</v>
          </cell>
        </row>
        <row r="74">
          <cell r="A74" t="str">
            <v>Sam Houston</v>
          </cell>
          <cell r="B74">
            <v>2.8248760712375889</v>
          </cell>
          <cell r="C74">
            <v>9.1549167465064087</v>
          </cell>
          <cell r="D74">
            <v>70</v>
          </cell>
          <cell r="E74">
            <v>8.9966657296246897</v>
          </cell>
          <cell r="F74">
            <v>72</v>
          </cell>
          <cell r="G74">
            <v>0.86714200264272934</v>
          </cell>
        </row>
        <row r="75">
          <cell r="A75" t="str">
            <v>Belmont</v>
          </cell>
          <cell r="B75">
            <v>11.38734507771372</v>
          </cell>
          <cell r="C75">
            <v>8.8078459300927054</v>
          </cell>
          <cell r="D75">
            <v>76</v>
          </cell>
          <cell r="E75">
            <v>8.8723334087832306</v>
          </cell>
          <cell r="F75">
            <v>73</v>
          </cell>
          <cell r="G75">
            <v>0.85380718366745101</v>
          </cell>
        </row>
        <row r="76">
          <cell r="A76" t="str">
            <v>West Virginia</v>
          </cell>
          <cell r="B76">
            <v>15.314260744597942</v>
          </cell>
          <cell r="C76">
            <v>8.6903865056319098</v>
          </cell>
          <cell r="D76">
            <v>77</v>
          </cell>
          <cell r="E76">
            <v>8.8559833616060608</v>
          </cell>
          <cell r="F76">
            <v>74</v>
          </cell>
          <cell r="G76">
            <v>0.85205361775740229</v>
          </cell>
        </row>
        <row r="77">
          <cell r="A77" t="str">
            <v>Oregon</v>
          </cell>
          <cell r="B77">
            <v>18.28693102974616</v>
          </cell>
          <cell r="C77">
            <v>8.1750580052259298</v>
          </cell>
          <cell r="D77">
            <v>80</v>
          </cell>
          <cell r="E77">
            <v>8.4278548308389354</v>
          </cell>
          <cell r="F77">
            <v>75</v>
          </cell>
          <cell r="G77">
            <v>0.80613622140145991</v>
          </cell>
        </row>
        <row r="78">
          <cell r="A78" t="str">
            <v>Colorado State</v>
          </cell>
          <cell r="B78">
            <v>14.00215292190866</v>
          </cell>
          <cell r="C78">
            <v>8.2648288355168908</v>
          </cell>
          <cell r="D78">
            <v>78</v>
          </cell>
          <cell r="E78">
            <v>8.4082619376766843</v>
          </cell>
          <cell r="F78">
            <v>76</v>
          </cell>
          <cell r="G78">
            <v>0.80403485562824517</v>
          </cell>
        </row>
        <row r="79">
          <cell r="A79" t="str">
            <v>Kansas State</v>
          </cell>
          <cell r="B79">
            <v>15.543271889111036</v>
          </cell>
          <cell r="C79">
            <v>8.15241474672459</v>
          </cell>
          <cell r="D79">
            <v>81</v>
          </cell>
          <cell r="E79">
            <v>8.337186175284252</v>
          </cell>
          <cell r="F79">
            <v>77</v>
          </cell>
          <cell r="G79">
            <v>0.79641187860490525</v>
          </cell>
        </row>
        <row r="80">
          <cell r="A80" t="str">
            <v>George Washington</v>
          </cell>
          <cell r="B80">
            <v>12.609131256265183</v>
          </cell>
          <cell r="C80">
            <v>8.0747840459303877</v>
          </cell>
          <cell r="D80">
            <v>82</v>
          </cell>
          <cell r="E80">
            <v>8.188142726188758</v>
          </cell>
          <cell r="F80">
            <v>78</v>
          </cell>
          <cell r="G80">
            <v>0.78042675583321808</v>
          </cell>
        </row>
        <row r="81">
          <cell r="A81" t="str">
            <v>Virginia Tech</v>
          </cell>
          <cell r="B81">
            <v>13.845209155066584</v>
          </cell>
          <cell r="C81">
            <v>7.6278232434120543</v>
          </cell>
          <cell r="D81">
            <v>84</v>
          </cell>
          <cell r="E81">
            <v>7.7832578912034176</v>
          </cell>
          <cell r="F81">
            <v>79</v>
          </cell>
          <cell r="G81">
            <v>0.737002279045324</v>
          </cell>
        </row>
        <row r="82">
          <cell r="A82" t="str">
            <v>Miami (OH)</v>
          </cell>
          <cell r="B82">
            <v>13.525882252433213</v>
          </cell>
          <cell r="C82">
            <v>7.5851882330290934</v>
          </cell>
          <cell r="D82">
            <v>86</v>
          </cell>
          <cell r="E82">
            <v>7.7337055835141966</v>
          </cell>
          <cell r="F82">
            <v>80</v>
          </cell>
          <cell r="G82">
            <v>0.73168772327759546</v>
          </cell>
        </row>
        <row r="83">
          <cell r="A83" t="str">
            <v>Wichita State</v>
          </cell>
          <cell r="B83">
            <v>9.0210071949947395</v>
          </cell>
          <cell r="C83">
            <v>7.6730421282376211</v>
          </cell>
          <cell r="D83">
            <v>83</v>
          </cell>
          <cell r="E83">
            <v>7.7067412549065493</v>
          </cell>
          <cell r="F83">
            <v>81</v>
          </cell>
          <cell r="G83">
            <v>0.72879576052535677</v>
          </cell>
        </row>
        <row r="84">
          <cell r="A84" t="str">
            <v>UNLV</v>
          </cell>
          <cell r="B84">
            <v>11.192165782512511</v>
          </cell>
          <cell r="C84">
            <v>7.6155536621519833</v>
          </cell>
          <cell r="D84">
            <v>85</v>
          </cell>
          <cell r="E84">
            <v>7.7049689651609965</v>
          </cell>
          <cell r="F84">
            <v>82</v>
          </cell>
          <cell r="G84">
            <v>0.72860567991905312</v>
          </cell>
        </row>
        <row r="85">
          <cell r="A85" t="str">
            <v>Yale</v>
          </cell>
          <cell r="B85">
            <v>14.953359680962022</v>
          </cell>
          <cell r="C85">
            <v>7.3764927981408999</v>
          </cell>
          <cell r="D85">
            <v>87</v>
          </cell>
          <cell r="E85">
            <v>7.5659144702114283</v>
          </cell>
          <cell r="F85">
            <v>83</v>
          </cell>
          <cell r="G85">
            <v>0.71369188674522754</v>
          </cell>
        </row>
        <row r="86">
          <cell r="A86" t="str">
            <v>Notre Dame</v>
          </cell>
          <cell r="B86">
            <v>16.090956511961046</v>
          </cell>
          <cell r="C86">
            <v>7.2432539366016329</v>
          </cell>
          <cell r="D86">
            <v>88</v>
          </cell>
          <cell r="E86">
            <v>7.4644465009856189</v>
          </cell>
          <cell r="F86">
            <v>84</v>
          </cell>
          <cell r="G86">
            <v>0.70280930213441972</v>
          </cell>
        </row>
        <row r="87">
          <cell r="A87" t="str">
            <v>Providence</v>
          </cell>
          <cell r="B87">
            <v>15.934601567729755</v>
          </cell>
          <cell r="C87">
            <v>7.1812142203275879</v>
          </cell>
          <cell r="D87">
            <v>89</v>
          </cell>
          <cell r="E87">
            <v>7.4000489040126425</v>
          </cell>
          <cell r="F87">
            <v>85</v>
          </cell>
          <cell r="G87">
            <v>0.69590256788972915</v>
          </cell>
        </row>
        <row r="88">
          <cell r="A88" t="str">
            <v>McNeese</v>
          </cell>
          <cell r="B88">
            <v>12.435400478194667</v>
          </cell>
          <cell r="C88">
            <v>10.797271157732835</v>
          </cell>
          <cell r="D88">
            <v>53</v>
          </cell>
          <cell r="E88">
            <v>7.3382243907443794</v>
          </cell>
          <cell r="F88">
            <v>86</v>
          </cell>
          <cell r="G88">
            <v>0.6892718005471149</v>
          </cell>
        </row>
        <row r="89">
          <cell r="A89" t="str">
            <v>Dayton</v>
          </cell>
          <cell r="B89">
            <v>13.449405350407183</v>
          </cell>
          <cell r="C89">
            <v>7.1280071995648147</v>
          </cell>
          <cell r="D89">
            <v>90</v>
          </cell>
          <cell r="E89">
            <v>7.2860421533358739</v>
          </cell>
          <cell r="F89">
            <v>87</v>
          </cell>
          <cell r="G89">
            <v>0.68367518106106262</v>
          </cell>
        </row>
        <row r="90">
          <cell r="A90" t="str">
            <v>Minnesota</v>
          </cell>
          <cell r="B90">
            <v>15.757484874618889</v>
          </cell>
          <cell r="C90">
            <v>6.8359537958688277</v>
          </cell>
          <cell r="D90">
            <v>92</v>
          </cell>
          <cell r="E90">
            <v>7.0589920728375795</v>
          </cell>
          <cell r="F90">
            <v>88</v>
          </cell>
          <cell r="G90">
            <v>0.65932373566636249</v>
          </cell>
        </row>
        <row r="91">
          <cell r="A91" t="str">
            <v>Kennesaw State</v>
          </cell>
          <cell r="B91">
            <v>5.8133777351374993</v>
          </cell>
          <cell r="C91">
            <v>6.9860305414861017</v>
          </cell>
          <cell r="D91">
            <v>91</v>
          </cell>
          <cell r="E91">
            <v>6.9567142213273874</v>
          </cell>
          <cell r="F91">
            <v>89</v>
          </cell>
          <cell r="G91">
            <v>0.64835429002392242</v>
          </cell>
        </row>
        <row r="92">
          <cell r="A92" t="str">
            <v>Middle Tennessee</v>
          </cell>
          <cell r="B92">
            <v>8.0494590269813031</v>
          </cell>
          <cell r="C92">
            <v>6.7820851166282008</v>
          </cell>
          <cell r="D92">
            <v>93</v>
          </cell>
          <cell r="E92">
            <v>6.8137694643870281</v>
          </cell>
          <cell r="F92">
            <v>90</v>
          </cell>
          <cell r="G92">
            <v>0.63302326069571224</v>
          </cell>
        </row>
        <row r="93">
          <cell r="A93" t="str">
            <v>Utah Valley</v>
          </cell>
          <cell r="B93">
            <v>10.000620853136329</v>
          </cell>
          <cell r="C93">
            <v>10.773505000955783</v>
          </cell>
          <cell r="D93">
            <v>55</v>
          </cell>
          <cell r="E93">
            <v>6.7541828972602982</v>
          </cell>
          <cell r="F93">
            <v>91</v>
          </cell>
          <cell r="G93">
            <v>0.62663251627289718</v>
          </cell>
        </row>
        <row r="94">
          <cell r="A94" t="str">
            <v>Butler</v>
          </cell>
          <cell r="B94">
            <v>14.983715750485825</v>
          </cell>
          <cell r="C94">
            <v>6.5151167208883454</v>
          </cell>
          <cell r="D94">
            <v>94</v>
          </cell>
          <cell r="E94">
            <v>6.7268316966282828</v>
          </cell>
          <cell r="F94">
            <v>92</v>
          </cell>
          <cell r="G94">
            <v>0.62369906094353422</v>
          </cell>
        </row>
        <row r="95">
          <cell r="A95" t="str">
            <v>Utah</v>
          </cell>
          <cell r="B95">
            <v>14.027042917165174</v>
          </cell>
          <cell r="C95">
            <v>6.5087328204622921</v>
          </cell>
          <cell r="D95">
            <v>95</v>
          </cell>
          <cell r="E95">
            <v>6.6966905728798638</v>
          </cell>
          <cell r="F95">
            <v>93</v>
          </cell>
          <cell r="G95">
            <v>0.62046638237551222</v>
          </cell>
        </row>
        <row r="96">
          <cell r="A96" t="str">
            <v>Creighton</v>
          </cell>
          <cell r="B96">
            <v>18.850264705579271</v>
          </cell>
          <cell r="C96">
            <v>5.9623477178782869</v>
          </cell>
          <cell r="D96">
            <v>99</v>
          </cell>
          <cell r="E96">
            <v>6.2845456425708113</v>
          </cell>
          <cell r="F96">
            <v>94</v>
          </cell>
          <cell r="G96">
            <v>0.57626324999565492</v>
          </cell>
        </row>
        <row r="97">
          <cell r="A97" t="str">
            <v>South Carolina</v>
          </cell>
          <cell r="B97">
            <v>13.624333765068965</v>
          </cell>
          <cell r="C97">
            <v>6.0283292556854029</v>
          </cell>
          <cell r="D97">
            <v>96</v>
          </cell>
          <cell r="E97">
            <v>6.2182293684199914</v>
          </cell>
          <cell r="F97">
            <v>95</v>
          </cell>
          <cell r="G97">
            <v>0.56915073488348444</v>
          </cell>
        </row>
        <row r="98">
          <cell r="A98" t="str">
            <v>Illinois State</v>
          </cell>
          <cell r="B98">
            <v>13.317375704818167</v>
          </cell>
          <cell r="C98">
            <v>6.0239249869375522</v>
          </cell>
          <cell r="D98">
            <v>97</v>
          </cell>
          <cell r="E98">
            <v>6.2062612548845673</v>
          </cell>
          <cell r="F98">
            <v>96</v>
          </cell>
          <cell r="G98">
            <v>0.56786713761456542</v>
          </cell>
        </row>
        <row r="99">
          <cell r="A99" t="str">
            <v>Liberty</v>
          </cell>
          <cell r="B99">
            <v>12.531227606445631</v>
          </cell>
          <cell r="C99">
            <v>6.0177582815225659</v>
          </cell>
          <cell r="D99">
            <v>98</v>
          </cell>
          <cell r="E99">
            <v>6.1805950146456432</v>
          </cell>
          <cell r="F99">
            <v>97</v>
          </cell>
          <cell r="G99">
            <v>0.56511439669373531</v>
          </cell>
        </row>
        <row r="100">
          <cell r="A100" t="str">
            <v>Bradley</v>
          </cell>
          <cell r="B100">
            <v>14.741901139432152</v>
          </cell>
          <cell r="C100">
            <v>5.8079328470442064</v>
          </cell>
          <cell r="D100">
            <v>101</v>
          </cell>
          <cell r="E100">
            <v>6.0312820543539054</v>
          </cell>
          <cell r="F100">
            <v>98</v>
          </cell>
          <cell r="G100">
            <v>0.54910036846134902</v>
          </cell>
        </row>
        <row r="101">
          <cell r="A101" t="str">
            <v>Xavier</v>
          </cell>
          <cell r="B101">
            <v>15.270434470611017</v>
          </cell>
          <cell r="C101">
            <v>5.7320935055467839</v>
          </cell>
          <cell r="D101">
            <v>102</v>
          </cell>
          <cell r="E101">
            <v>5.9705520296733905</v>
          </cell>
          <cell r="F101">
            <v>99</v>
          </cell>
          <cell r="G101">
            <v>0.5425869865828632</v>
          </cell>
        </row>
        <row r="102">
          <cell r="A102" t="str">
            <v>Davidson</v>
          </cell>
          <cell r="B102">
            <v>9.0242862806618511</v>
          </cell>
          <cell r="C102">
            <v>5.8612248479407185</v>
          </cell>
          <cell r="D102">
            <v>100</v>
          </cell>
          <cell r="E102">
            <v>5.9403013837587473</v>
          </cell>
          <cell r="F102">
            <v>100</v>
          </cell>
          <cell r="G102">
            <v>0.53934256160609961</v>
          </cell>
        </row>
        <row r="103">
          <cell r="A103" t="str">
            <v>Mississippi State</v>
          </cell>
          <cell r="B103">
            <v>18.518577700746054</v>
          </cell>
          <cell r="C103">
            <v>5.5412271993795068</v>
          </cell>
          <cell r="D103">
            <v>109</v>
          </cell>
          <cell r="E103">
            <v>5.8656609619136706</v>
          </cell>
          <cell r="F103">
            <v>101</v>
          </cell>
          <cell r="G103">
            <v>0.53133726976560003</v>
          </cell>
        </row>
        <row r="104">
          <cell r="A104" t="str">
            <v>Murray State</v>
          </cell>
          <cell r="B104">
            <v>10.972565370614436</v>
          </cell>
          <cell r="C104">
            <v>5.7290841585978196</v>
          </cell>
          <cell r="D104">
            <v>103</v>
          </cell>
          <cell r="E104">
            <v>5.8601711888982351</v>
          </cell>
          <cell r="F104">
            <v>102</v>
          </cell>
          <cell r="G104">
            <v>0.53074848376948291</v>
          </cell>
        </row>
        <row r="105">
          <cell r="A105" t="str">
            <v>Syracuse</v>
          </cell>
          <cell r="B105">
            <v>13.526154656844779</v>
          </cell>
          <cell r="C105">
            <v>5.6566837494751692</v>
          </cell>
          <cell r="D105">
            <v>106</v>
          </cell>
          <cell r="E105">
            <v>5.8534205221594098</v>
          </cell>
          <cell r="F105">
            <v>103</v>
          </cell>
          <cell r="G105">
            <v>0.53002446512078849</v>
          </cell>
        </row>
        <row r="106">
          <cell r="A106" t="str">
            <v>Duquesne</v>
          </cell>
          <cell r="B106">
            <v>12.10720888603219</v>
          </cell>
          <cell r="C106">
            <v>5.6713367169684856</v>
          </cell>
          <cell r="D106">
            <v>104</v>
          </cell>
          <cell r="E106">
            <v>5.8322335211950787</v>
          </cell>
          <cell r="F106">
            <v>104</v>
          </cell>
          <cell r="G106">
            <v>0.52775212900917789</v>
          </cell>
        </row>
        <row r="107">
          <cell r="A107" t="str">
            <v>Marquette</v>
          </cell>
          <cell r="B107">
            <v>19.034473302508317</v>
          </cell>
          <cell r="C107">
            <v>5.394689150682705</v>
          </cell>
          <cell r="D107">
            <v>113</v>
          </cell>
          <cell r="E107">
            <v>5.7356837544783463</v>
          </cell>
          <cell r="F107">
            <v>105</v>
          </cell>
          <cell r="G107">
            <v>0.5173970286413927</v>
          </cell>
        </row>
        <row r="108">
          <cell r="A108" t="str">
            <v>Seattle</v>
          </cell>
          <cell r="B108">
            <v>8.0547252401815363</v>
          </cell>
          <cell r="C108">
            <v>5.5717715283960487</v>
          </cell>
          <cell r="D108">
            <v>107</v>
          </cell>
          <cell r="E108">
            <v>5.6338453711906853</v>
          </cell>
          <cell r="F108">
            <v>106</v>
          </cell>
          <cell r="G108">
            <v>0.50647471659344501</v>
          </cell>
        </row>
        <row r="109">
          <cell r="A109" t="str">
            <v>Western Kentucky</v>
          </cell>
          <cell r="B109">
            <v>4.0080511882242069</v>
          </cell>
          <cell r="C109">
            <v>5.6659700885511253</v>
          </cell>
          <cell r="D109">
            <v>105</v>
          </cell>
          <cell r="E109">
            <v>5.6245221160429528</v>
          </cell>
          <cell r="F109">
            <v>107</v>
          </cell>
          <cell r="G109">
            <v>0.50547478416385683</v>
          </cell>
        </row>
        <row r="110">
          <cell r="A110" t="str">
            <v>UIC</v>
          </cell>
          <cell r="B110">
            <v>8.1779835340698366</v>
          </cell>
          <cell r="C110">
            <v>5.4987604840564623</v>
          </cell>
          <cell r="D110">
            <v>110</v>
          </cell>
          <cell r="E110">
            <v>5.5657410603067969</v>
          </cell>
          <cell r="F110">
            <v>108</v>
          </cell>
          <cell r="G110">
            <v>0.49917043198807076</v>
          </cell>
        </row>
        <row r="111">
          <cell r="A111" t="str">
            <v>Washington State</v>
          </cell>
          <cell r="B111">
            <v>13.573021075172218</v>
          </cell>
          <cell r="C111">
            <v>5.2804686058220192</v>
          </cell>
          <cell r="D111">
            <v>114</v>
          </cell>
          <cell r="E111">
            <v>5.487782417555775</v>
          </cell>
          <cell r="F111">
            <v>109</v>
          </cell>
          <cell r="G111">
            <v>0.49080925621649601</v>
          </cell>
        </row>
        <row r="112">
          <cell r="A112" t="str">
            <v>UT Rio Grande Valley</v>
          </cell>
          <cell r="B112">
            <v>2.1309102215605353</v>
          </cell>
          <cell r="C112">
            <v>5.5663994385265809</v>
          </cell>
          <cell r="D112">
            <v>108</v>
          </cell>
          <cell r="E112">
            <v>5.4805122081024296</v>
          </cell>
          <cell r="F112">
            <v>110</v>
          </cell>
          <cell r="G112">
            <v>0.49002951586968513</v>
          </cell>
        </row>
        <row r="113">
          <cell r="A113" t="str">
            <v>Maryland</v>
          </cell>
          <cell r="B113">
            <v>19.085855817119466</v>
          </cell>
          <cell r="C113">
            <v>5.1307654861111667</v>
          </cell>
          <cell r="D113">
            <v>118</v>
          </cell>
          <cell r="E113">
            <v>5.4796427443863749</v>
          </cell>
          <cell r="F113">
            <v>111</v>
          </cell>
          <cell r="G113">
            <v>0.48993626464441487</v>
          </cell>
        </row>
        <row r="114">
          <cell r="A114" t="str">
            <v>Georgetown</v>
          </cell>
          <cell r="B114">
            <v>13.480335110241374</v>
          </cell>
          <cell r="C114">
            <v>5.2692726616992758</v>
          </cell>
          <cell r="D114">
            <v>117</v>
          </cell>
          <cell r="E114">
            <v>5.4745492229128283</v>
          </cell>
          <cell r="F114">
            <v>112</v>
          </cell>
          <cell r="G114">
            <v>0.48938997719207139</v>
          </cell>
        </row>
        <row r="115">
          <cell r="A115" t="str">
            <v>Bowling Green</v>
          </cell>
          <cell r="B115">
            <v>5.4136655374198615</v>
          </cell>
          <cell r="C115">
            <v>5.4146315687641788</v>
          </cell>
          <cell r="D115">
            <v>111</v>
          </cell>
          <cell r="E115">
            <v>5.4146074179805712</v>
          </cell>
          <cell r="F115">
            <v>113</v>
          </cell>
          <cell r="G115">
            <v>0.48296113300728111</v>
          </cell>
        </row>
        <row r="116">
          <cell r="A116" t="str">
            <v>New Mexico State</v>
          </cell>
          <cell r="B116">
            <v>5.4820861231191262</v>
          </cell>
          <cell r="C116">
            <v>5.4028651187052796</v>
          </cell>
          <cell r="D116">
            <v>112</v>
          </cell>
          <cell r="E116">
            <v>5.4048456438156256</v>
          </cell>
          <cell r="F116">
            <v>114</v>
          </cell>
          <cell r="G116">
            <v>0.48191416878682641</v>
          </cell>
        </row>
        <row r="117">
          <cell r="A117" t="str">
            <v>UC Irvine</v>
          </cell>
          <cell r="B117">
            <v>9.7110414694150613</v>
          </cell>
          <cell r="C117">
            <v>5.2709039303035512</v>
          </cell>
          <cell r="D117">
            <v>116</v>
          </cell>
          <cell r="E117">
            <v>5.3819073687813388</v>
          </cell>
          <cell r="F117">
            <v>115</v>
          </cell>
          <cell r="G117">
            <v>0.47945400603013344</v>
          </cell>
        </row>
        <row r="118">
          <cell r="A118" t="str">
            <v>Montana State</v>
          </cell>
          <cell r="B118">
            <v>5.7522786722706289</v>
          </cell>
          <cell r="C118">
            <v>5.275284493097435</v>
          </cell>
          <cell r="D118">
            <v>115</v>
          </cell>
          <cell r="E118">
            <v>5.2872093475767645</v>
          </cell>
          <cell r="F118">
            <v>116</v>
          </cell>
          <cell r="G118">
            <v>0.46929750801309505</v>
          </cell>
        </row>
        <row r="119">
          <cell r="A119" t="str">
            <v>San Francisco</v>
          </cell>
          <cell r="B119">
            <v>15.972807869851753</v>
          </cell>
          <cell r="C119">
            <v>4.9546362737760683</v>
          </cell>
          <cell r="D119">
            <v>121</v>
          </cell>
          <cell r="E119">
            <v>5.2300905636779609</v>
          </cell>
          <cell r="F119">
            <v>117</v>
          </cell>
          <cell r="G119">
            <v>0.46317143686583623</v>
          </cell>
        </row>
        <row r="120">
          <cell r="A120" t="str">
            <v>Tulsa</v>
          </cell>
          <cell r="B120">
            <v>6.910260899305193</v>
          </cell>
          <cell r="C120">
            <v>9.7035413170069535</v>
          </cell>
          <cell r="D120">
            <v>65</v>
          </cell>
          <cell r="E120">
            <v>5.133709306564409</v>
          </cell>
          <cell r="F120">
            <v>118</v>
          </cell>
          <cell r="G120">
            <v>0.45283440939364894</v>
          </cell>
        </row>
        <row r="121">
          <cell r="A121" t="str">
            <v>Kent State</v>
          </cell>
          <cell r="B121">
            <v>8.6774133528160959</v>
          </cell>
          <cell r="C121">
            <v>5.0326554432598556</v>
          </cell>
          <cell r="D121">
            <v>119</v>
          </cell>
          <cell r="E121">
            <v>5.1237743909987614</v>
          </cell>
          <cell r="F121">
            <v>119</v>
          </cell>
          <cell r="G121">
            <v>0.45176887551069733</v>
          </cell>
        </row>
        <row r="122">
          <cell r="A122" t="str">
            <v>Winthrop</v>
          </cell>
          <cell r="B122">
            <v>9.6122619299645855</v>
          </cell>
          <cell r="C122">
            <v>4.9820652382467845</v>
          </cell>
          <cell r="D122">
            <v>120</v>
          </cell>
          <cell r="E122">
            <v>5.09782015553973</v>
          </cell>
          <cell r="F122">
            <v>120</v>
          </cell>
          <cell r="G122">
            <v>0.44898524669121082</v>
          </cell>
        </row>
        <row r="123">
          <cell r="A123" t="str">
            <v>Pittsburgh</v>
          </cell>
          <cell r="B123">
            <v>15.627088080075735</v>
          </cell>
          <cell r="C123">
            <v>4.7683926972072062</v>
          </cell>
          <cell r="D123">
            <v>124</v>
          </cell>
          <cell r="E123">
            <v>5.0398600817789196</v>
          </cell>
          <cell r="F123">
            <v>121</v>
          </cell>
          <cell r="G123">
            <v>0.4427689460047648</v>
          </cell>
        </row>
        <row r="124">
          <cell r="A124" t="str">
            <v>George Mason</v>
          </cell>
          <cell r="B124">
            <v>12.882788610671113</v>
          </cell>
          <cell r="C124">
            <v>4.8288016253740462</v>
          </cell>
          <cell r="D124">
            <v>123</v>
          </cell>
          <cell r="E124">
            <v>5.030151300006473</v>
          </cell>
          <cell r="F124">
            <v>122</v>
          </cell>
          <cell r="G124">
            <v>0.44172766529408669</v>
          </cell>
        </row>
        <row r="125">
          <cell r="A125" t="str">
            <v>Southern Illinois</v>
          </cell>
          <cell r="B125">
            <v>4.9268342073308489</v>
          </cell>
          <cell r="C125">
            <v>4.8957861403137262</v>
          </cell>
          <cell r="D125">
            <v>122</v>
          </cell>
          <cell r="E125">
            <v>4.8965623419891546</v>
          </cell>
          <cell r="F125">
            <v>123</v>
          </cell>
          <cell r="G125">
            <v>0.42740005876184384</v>
          </cell>
        </row>
        <row r="126">
          <cell r="A126" t="str">
            <v>Toledo</v>
          </cell>
          <cell r="B126">
            <v>7.0650703430890545</v>
          </cell>
          <cell r="C126">
            <v>4.6798050150318815</v>
          </cell>
          <cell r="D126">
            <v>125</v>
          </cell>
          <cell r="E126">
            <v>4.739436648233311</v>
          </cell>
          <cell r="F126">
            <v>124</v>
          </cell>
          <cell r="G126">
            <v>0.41054810370768774</v>
          </cell>
        </row>
        <row r="127">
          <cell r="A127" t="str">
            <v>Memphis</v>
          </cell>
          <cell r="B127">
            <v>15.968957252141987</v>
          </cell>
          <cell r="C127">
            <v>4.4160419758079685</v>
          </cell>
          <cell r="D127">
            <v>128</v>
          </cell>
          <cell r="E127">
            <v>4.704864857716319</v>
          </cell>
          <cell r="F127">
            <v>125</v>
          </cell>
          <cell r="G127">
            <v>0.40684022980108558</v>
          </cell>
        </row>
        <row r="128">
          <cell r="A128" t="str">
            <v>California Baptist</v>
          </cell>
          <cell r="B128">
            <v>8.4002017292656532</v>
          </cell>
          <cell r="C128">
            <v>4.5898536666543679</v>
          </cell>
          <cell r="D128">
            <v>127</v>
          </cell>
          <cell r="E128">
            <v>4.6851123682196496</v>
          </cell>
          <cell r="F128">
            <v>126</v>
          </cell>
          <cell r="G128">
            <v>0.40472174709307729</v>
          </cell>
        </row>
        <row r="129">
          <cell r="A129" t="str">
            <v>Stephen F. Austin</v>
          </cell>
          <cell r="B129">
            <v>4.4708840344629214E-2</v>
          </cell>
          <cell r="C129">
            <v>4.5997041251441688</v>
          </cell>
          <cell r="D129">
            <v>126</v>
          </cell>
          <cell r="E129">
            <v>4.4858292430241802</v>
          </cell>
          <cell r="F129">
            <v>127</v>
          </cell>
          <cell r="G129">
            <v>0.38334834730994394</v>
          </cell>
        </row>
        <row r="130">
          <cell r="A130" t="str">
            <v>Florida Atlantic</v>
          </cell>
          <cell r="B130">
            <v>9.6848517837220296</v>
          </cell>
          <cell r="C130">
            <v>4.3423379086463409</v>
          </cell>
          <cell r="D130">
            <v>131</v>
          </cell>
          <cell r="E130">
            <v>4.4759007555232335</v>
          </cell>
          <cell r="F130">
            <v>128</v>
          </cell>
          <cell r="G130">
            <v>0.38228350284611173</v>
          </cell>
        </row>
        <row r="131">
          <cell r="A131" t="str">
            <v>Jacksonville State</v>
          </cell>
          <cell r="B131">
            <v>5.2401185217502464</v>
          </cell>
          <cell r="C131">
            <v>4.3944956393912431</v>
          </cell>
          <cell r="D131">
            <v>130</v>
          </cell>
          <cell r="E131">
            <v>4.4156362114502183</v>
          </cell>
          <cell r="F131">
            <v>129</v>
          </cell>
          <cell r="G131">
            <v>0.37582004442755573</v>
          </cell>
        </row>
        <row r="132">
          <cell r="A132" t="str">
            <v>Pacific</v>
          </cell>
          <cell r="B132">
            <v>3.5350309061542493</v>
          </cell>
          <cell r="C132">
            <v>4.3946312940094305</v>
          </cell>
          <cell r="D132">
            <v>129</v>
          </cell>
          <cell r="E132">
            <v>4.3731412843130508</v>
          </cell>
          <cell r="F132">
            <v>130</v>
          </cell>
          <cell r="G132">
            <v>0.37126240280302319</v>
          </cell>
        </row>
        <row r="133">
          <cell r="A133" t="str">
            <v>DePaul</v>
          </cell>
          <cell r="B133">
            <v>13.592775810899269</v>
          </cell>
          <cell r="C133">
            <v>4.1017216329502277</v>
          </cell>
          <cell r="D133">
            <v>132</v>
          </cell>
          <cell r="E133">
            <v>4.3389979873989537</v>
          </cell>
          <cell r="F133">
            <v>131</v>
          </cell>
          <cell r="G133">
            <v>0.36760048544728408</v>
          </cell>
        </row>
        <row r="134">
          <cell r="A134" t="str">
            <v>North Texas</v>
          </cell>
          <cell r="B134">
            <v>11.526309182378027</v>
          </cell>
          <cell r="C134">
            <v>3.8733259004993945</v>
          </cell>
          <cell r="D134">
            <v>134</v>
          </cell>
          <cell r="E134">
            <v>4.0646504825463605</v>
          </cell>
          <cell r="F134">
            <v>132</v>
          </cell>
          <cell r="G134">
            <v>0.33817632374283435</v>
          </cell>
        </row>
        <row r="135">
          <cell r="A135" t="str">
            <v>St. Bonaventure</v>
          </cell>
          <cell r="B135">
            <v>10.149747374958512</v>
          </cell>
          <cell r="C135">
            <v>3.8551740646790491</v>
          </cell>
          <cell r="D135">
            <v>136</v>
          </cell>
          <cell r="E135">
            <v>4.0125383974360362</v>
          </cell>
          <cell r="F135">
            <v>133</v>
          </cell>
          <cell r="G135">
            <v>0.33258722819094994</v>
          </cell>
        </row>
        <row r="136">
          <cell r="A136" t="str">
            <v>Florida International</v>
          </cell>
          <cell r="B136">
            <v>2.7413022335596025</v>
          </cell>
          <cell r="C136">
            <v>4.0176914580016181</v>
          </cell>
          <cell r="D136">
            <v>133</v>
          </cell>
          <cell r="E136">
            <v>3.9857817273905676</v>
          </cell>
          <cell r="F136">
            <v>134</v>
          </cell>
          <cell r="G136">
            <v>0.32971753711607216</v>
          </cell>
        </row>
        <row r="137">
          <cell r="A137" t="str">
            <v>Cornell</v>
          </cell>
          <cell r="B137">
            <v>12.240510571584281</v>
          </cell>
          <cell r="C137">
            <v>3.7331516462878711</v>
          </cell>
          <cell r="D137">
            <v>138</v>
          </cell>
          <cell r="E137">
            <v>3.9458356194202815</v>
          </cell>
          <cell r="F137">
            <v>135</v>
          </cell>
          <cell r="G137">
            <v>0.32543325998728018</v>
          </cell>
        </row>
        <row r="138">
          <cell r="A138" t="str">
            <v>Idaho</v>
          </cell>
          <cell r="B138">
            <v>6.7522602313339091</v>
          </cell>
          <cell r="C138">
            <v>3.8559038044410152</v>
          </cell>
          <cell r="D138">
            <v>135</v>
          </cell>
          <cell r="E138">
            <v>3.9283127151133375</v>
          </cell>
          <cell r="F138">
            <v>136</v>
          </cell>
          <cell r="G138">
            <v>0.32355390347504892</v>
          </cell>
        </row>
        <row r="139">
          <cell r="A139" t="str">
            <v>Rutgers</v>
          </cell>
          <cell r="B139">
            <v>12.398819364854372</v>
          </cell>
          <cell r="C139">
            <v>3.6937546478753518</v>
          </cell>
          <cell r="D139">
            <v>140</v>
          </cell>
          <cell r="E139">
            <v>3.9113812657998275</v>
          </cell>
          <cell r="F139">
            <v>137</v>
          </cell>
          <cell r="G139">
            <v>0.3217379813555491</v>
          </cell>
        </row>
        <row r="140">
          <cell r="A140" t="str">
            <v>North Dakota State</v>
          </cell>
          <cell r="B140">
            <v>6.6499404773091211</v>
          </cell>
          <cell r="C140">
            <v>3.7842937666039704</v>
          </cell>
          <cell r="D140">
            <v>137</v>
          </cell>
          <cell r="E140">
            <v>3.8559349343715992</v>
          </cell>
          <cell r="F140">
            <v>138</v>
          </cell>
          <cell r="G140">
            <v>0.31579128312427018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3.6679884768218587</v>
          </cell>
          <cell r="D141">
            <v>142</v>
          </cell>
          <cell r="E141">
            <v>3.8251640123374107</v>
          </cell>
          <cell r="F141">
            <v>139</v>
          </cell>
          <cell r="G141">
            <v>0.31249105779065378</v>
          </cell>
        </row>
        <row r="142">
          <cell r="A142" t="str">
            <v>Missouri State</v>
          </cell>
          <cell r="B142">
            <v>5.8362417833099247</v>
          </cell>
          <cell r="C142">
            <v>3.6718621664320361</v>
          </cell>
          <cell r="D142">
            <v>141</v>
          </cell>
          <cell r="E142">
            <v>3.7259716568539836</v>
          </cell>
          <cell r="F142">
            <v>140</v>
          </cell>
          <cell r="G142">
            <v>0.3018525360036311</v>
          </cell>
        </row>
        <row r="143">
          <cell r="A143" t="str">
            <v>Portland State</v>
          </cell>
          <cell r="B143">
            <v>4.0411677395733916</v>
          </cell>
          <cell r="C143">
            <v>3.693821137609246</v>
          </cell>
          <cell r="D143">
            <v>139</v>
          </cell>
          <cell r="E143">
            <v>3.7025048026583498</v>
          </cell>
          <cell r="F143">
            <v>141</v>
          </cell>
          <cell r="G143">
            <v>0.29933568237699409</v>
          </cell>
        </row>
        <row r="144">
          <cell r="A144" t="str">
            <v>Fresno State</v>
          </cell>
          <cell r="B144">
            <v>4.3610610087658825</v>
          </cell>
          <cell r="C144">
            <v>3.6045892845813357</v>
          </cell>
          <cell r="D144">
            <v>143</v>
          </cell>
          <cell r="E144">
            <v>3.6235010776859493</v>
          </cell>
          <cell r="F144">
            <v>142</v>
          </cell>
          <cell r="G144">
            <v>0.29086242004464374</v>
          </cell>
        </row>
        <row r="145">
          <cell r="A145" t="str">
            <v>UT Arlington</v>
          </cell>
          <cell r="B145">
            <v>6.1401425942335406</v>
          </cell>
          <cell r="C145">
            <v>3.3757390548340114</v>
          </cell>
          <cell r="D145">
            <v>145</v>
          </cell>
          <cell r="E145">
            <v>3.4448491433189998</v>
          </cell>
          <cell r="F145">
            <v>143</v>
          </cell>
          <cell r="G145">
            <v>0.27170174494227578</v>
          </cell>
        </row>
        <row r="146">
          <cell r="A146" t="str">
            <v>Northern Colorado</v>
          </cell>
          <cell r="B146">
            <v>5.2861079713044568</v>
          </cell>
          <cell r="C146">
            <v>3.3903498996349413</v>
          </cell>
          <cell r="D146">
            <v>144</v>
          </cell>
          <cell r="E146">
            <v>3.4377438514266792</v>
          </cell>
          <cell r="F146">
            <v>144</v>
          </cell>
          <cell r="G146">
            <v>0.27093969223941161</v>
          </cell>
        </row>
        <row r="147">
          <cell r="A147" t="str">
            <v>Wyoming</v>
          </cell>
          <cell r="B147">
            <v>9.2936311138903847</v>
          </cell>
          <cell r="C147">
            <v>8.2394776228395745</v>
          </cell>
          <cell r="D147">
            <v>79</v>
          </cell>
          <cell r="E147">
            <v>3.2658314601158445</v>
          </cell>
          <cell r="F147">
            <v>145</v>
          </cell>
          <cell r="G147">
            <v>0.25250184275488102</v>
          </cell>
        </row>
        <row r="148">
          <cell r="A148" t="str">
            <v>Louisiana Tech</v>
          </cell>
          <cell r="B148">
            <v>5.8923615444656878</v>
          </cell>
          <cell r="C148">
            <v>3.1132449953245098</v>
          </cell>
          <cell r="D148">
            <v>146</v>
          </cell>
          <cell r="E148">
            <v>3.1827229090530391</v>
          </cell>
          <cell r="F148">
            <v>146</v>
          </cell>
          <cell r="G148">
            <v>0.24358833196203306</v>
          </cell>
        </row>
        <row r="149">
          <cell r="A149" t="str">
            <v>Loyola Marymount</v>
          </cell>
          <cell r="B149">
            <v>7.9556497051635517</v>
          </cell>
          <cell r="C149">
            <v>3.0589826690059589</v>
          </cell>
          <cell r="D149">
            <v>147</v>
          </cell>
          <cell r="E149">
            <v>3.1813993449098987</v>
          </cell>
          <cell r="F149">
            <v>147</v>
          </cell>
          <cell r="G149">
            <v>0.24344637781743497</v>
          </cell>
        </row>
        <row r="150">
          <cell r="A150" t="str">
            <v>Penn State</v>
          </cell>
          <cell r="B150">
            <v>13.199945506304053</v>
          </cell>
          <cell r="C150">
            <v>2.9191674653815389</v>
          </cell>
          <cell r="D150">
            <v>151</v>
          </cell>
          <cell r="E150">
            <v>3.1761869164046019</v>
          </cell>
          <cell r="F150">
            <v>148</v>
          </cell>
          <cell r="G150">
            <v>0.24288733741611931</v>
          </cell>
        </row>
        <row r="151">
          <cell r="A151" t="str">
            <v>UNC Wilmington</v>
          </cell>
          <cell r="B151">
            <v>11.452044273918382</v>
          </cell>
          <cell r="C151">
            <v>2.9063613994417636</v>
          </cell>
          <cell r="D151">
            <v>152</v>
          </cell>
          <cell r="E151">
            <v>3.1200034713036793</v>
          </cell>
          <cell r="F151">
            <v>149</v>
          </cell>
          <cell r="G151">
            <v>0.23686158269073607</v>
          </cell>
        </row>
        <row r="152">
          <cell r="A152" t="str">
            <v>Wright State</v>
          </cell>
          <cell r="B152">
            <v>8.2226290065142429</v>
          </cell>
          <cell r="C152">
            <v>2.9489169679379699</v>
          </cell>
          <cell r="D152">
            <v>150</v>
          </cell>
          <cell r="E152">
            <v>3.0807597689023769</v>
          </cell>
          <cell r="F152">
            <v>150</v>
          </cell>
          <cell r="G152">
            <v>0.23265263956235716</v>
          </cell>
        </row>
        <row r="153">
          <cell r="A153" t="str">
            <v>Richmond</v>
          </cell>
          <cell r="B153">
            <v>4.7143576609582825</v>
          </cell>
          <cell r="C153">
            <v>2.9707942998664101</v>
          </cell>
          <cell r="D153">
            <v>149</v>
          </cell>
          <cell r="E153">
            <v>3.0143833838937066</v>
          </cell>
          <cell r="F153">
            <v>151</v>
          </cell>
          <cell r="G153">
            <v>0.22553367747483496</v>
          </cell>
        </row>
        <row r="154">
          <cell r="A154" t="str">
            <v>Tarleton</v>
          </cell>
          <cell r="B154">
            <v>1.756369952207554</v>
          </cell>
          <cell r="C154">
            <v>3.0080486206721715</v>
          </cell>
          <cell r="D154">
            <v>148</v>
          </cell>
          <cell r="E154">
            <v>2.9767566539605563</v>
          </cell>
          <cell r="F154">
            <v>152</v>
          </cell>
          <cell r="G154">
            <v>0.22149815695294234</v>
          </cell>
        </row>
        <row r="155">
          <cell r="A155" t="str">
            <v>Rhode Island</v>
          </cell>
          <cell r="B155">
            <v>10.26520529831047</v>
          </cell>
          <cell r="C155">
            <v>2.449998890866989</v>
          </cell>
          <cell r="D155">
            <v>157</v>
          </cell>
          <cell r="E155">
            <v>2.6453790510530761</v>
          </cell>
          <cell r="F155">
            <v>153</v>
          </cell>
          <cell r="G155">
            <v>0.18595743578465049</v>
          </cell>
        </row>
        <row r="156">
          <cell r="A156" t="str">
            <v>UC Santa Barbara</v>
          </cell>
          <cell r="B156">
            <v>10.200974139185588</v>
          </cell>
          <cell r="C156">
            <v>2.450056503147612</v>
          </cell>
          <cell r="D156">
            <v>156</v>
          </cell>
          <cell r="E156">
            <v>2.6438294440485617</v>
          </cell>
          <cell r="F156">
            <v>154</v>
          </cell>
          <cell r="G156">
            <v>0.18579123822034721</v>
          </cell>
        </row>
        <row r="157">
          <cell r="A157" t="str">
            <v>Hawaii</v>
          </cell>
          <cell r="B157">
            <v>6.6079361622356876</v>
          </cell>
          <cell r="C157">
            <v>2.492480114196304</v>
          </cell>
          <cell r="D157">
            <v>154</v>
          </cell>
          <cell r="E157">
            <v>2.5953665153972887</v>
          </cell>
          <cell r="F157">
            <v>155</v>
          </cell>
          <cell r="G157">
            <v>0.18059351991023373</v>
          </cell>
        </row>
        <row r="158">
          <cell r="A158" t="str">
            <v>Texas A&amp;M-CC</v>
          </cell>
          <cell r="B158">
            <v>5.2676380276133958</v>
          </cell>
          <cell r="C158">
            <v>2.4672236033877679</v>
          </cell>
          <cell r="D158">
            <v>155</v>
          </cell>
          <cell r="E158">
            <v>2.5372339639934087</v>
          </cell>
          <cell r="F158">
            <v>156</v>
          </cell>
          <cell r="G158">
            <v>0.17435872075024483</v>
          </cell>
        </row>
        <row r="159">
          <cell r="A159" t="str">
            <v>Oregon State</v>
          </cell>
          <cell r="B159">
            <v>14.211715497060888</v>
          </cell>
          <cell r="C159">
            <v>2.2359708473078732</v>
          </cell>
          <cell r="D159">
            <v>160</v>
          </cell>
          <cell r="E159">
            <v>2.5353644635516988</v>
          </cell>
          <cell r="F159">
            <v>157</v>
          </cell>
          <cell r="G159">
            <v>0.17415821415794699</v>
          </cell>
        </row>
        <row r="160">
          <cell r="A160" t="str">
            <v>UMass</v>
          </cell>
          <cell r="B160">
            <v>3.4899893142971776</v>
          </cell>
          <cell r="C160">
            <v>2.4964280216049426</v>
          </cell>
          <cell r="D160">
            <v>153</v>
          </cell>
          <cell r="E160">
            <v>2.5212670539222484</v>
          </cell>
          <cell r="F160">
            <v>158</v>
          </cell>
          <cell r="G160">
            <v>0.1726462468419924</v>
          </cell>
        </row>
        <row r="161">
          <cell r="A161" t="str">
            <v>East Tennessee State</v>
          </cell>
          <cell r="B161">
            <v>10.948431749931771</v>
          </cell>
          <cell r="C161">
            <v>2.2627158736792992</v>
          </cell>
          <cell r="D161">
            <v>159</v>
          </cell>
          <cell r="E161">
            <v>2.479858770585611</v>
          </cell>
          <cell r="F161">
            <v>159</v>
          </cell>
          <cell r="G161">
            <v>0.16820514931695554</v>
          </cell>
        </row>
        <row r="162">
          <cell r="A162" t="str">
            <v>William &amp; Mary</v>
          </cell>
          <cell r="B162">
            <v>8.8460788154082941</v>
          </cell>
          <cell r="C162">
            <v>2.2116463768175167</v>
          </cell>
          <cell r="D162">
            <v>161</v>
          </cell>
          <cell r="E162">
            <v>2.3775071877822862</v>
          </cell>
          <cell r="F162">
            <v>160</v>
          </cell>
          <cell r="G162">
            <v>0.15722779588802774</v>
          </cell>
        </row>
        <row r="163">
          <cell r="A163" t="str">
            <v>Weber State</v>
          </cell>
          <cell r="B163">
            <v>1.9611137486645602</v>
          </cell>
          <cell r="C163">
            <v>2.2723311708029224</v>
          </cell>
          <cell r="D163">
            <v>158</v>
          </cell>
          <cell r="E163">
            <v>2.2645507352494634</v>
          </cell>
          <cell r="F163">
            <v>161</v>
          </cell>
          <cell r="G163">
            <v>0.14511305503528124</v>
          </cell>
        </row>
        <row r="164">
          <cell r="A164" t="str">
            <v>Abilene Christian</v>
          </cell>
          <cell r="B164">
            <v>4.6587729498792365</v>
          </cell>
          <cell r="C164">
            <v>2.1878771523872138</v>
          </cell>
          <cell r="D164">
            <v>162</v>
          </cell>
          <cell r="E164">
            <v>2.2496495473245144</v>
          </cell>
          <cell r="F164">
            <v>162</v>
          </cell>
          <cell r="G164">
            <v>0.14351488134921958</v>
          </cell>
        </row>
        <row r="165">
          <cell r="A165" t="str">
            <v>Montana</v>
          </cell>
          <cell r="B165">
            <v>7.2388141003298552</v>
          </cell>
          <cell r="C165">
            <v>2.0945759077732538</v>
          </cell>
          <cell r="D165">
            <v>163</v>
          </cell>
          <cell r="E165">
            <v>2.2231818625871687</v>
          </cell>
          <cell r="F165">
            <v>163</v>
          </cell>
          <cell r="G165">
            <v>0.14067618436135196</v>
          </cell>
        </row>
        <row r="166">
          <cell r="A166" t="str">
            <v>Hofstra</v>
          </cell>
          <cell r="B166">
            <v>4.9840939446210539</v>
          </cell>
          <cell r="C166">
            <v>2.062561974949221</v>
          </cell>
          <cell r="D166">
            <v>164</v>
          </cell>
          <cell r="E166">
            <v>2.1356002741910172</v>
          </cell>
          <cell r="F166">
            <v>164</v>
          </cell>
          <cell r="G166">
            <v>0.13128293392634055</v>
          </cell>
        </row>
        <row r="167">
          <cell r="A167" t="str">
            <v>UC San Diego</v>
          </cell>
          <cell r="B167">
            <v>13.658747039986601</v>
          </cell>
          <cell r="C167">
            <v>1.7738631074212148</v>
          </cell>
          <cell r="D167">
            <v>166</v>
          </cell>
          <cell r="E167">
            <v>2.0709852057353495</v>
          </cell>
          <cell r="F167">
            <v>165</v>
          </cell>
          <cell r="G167">
            <v>0.12435287555454966</v>
          </cell>
        </row>
        <row r="168">
          <cell r="A168" t="str">
            <v>Drake</v>
          </cell>
          <cell r="B168">
            <v>11.638031355552167</v>
          </cell>
          <cell r="C168">
            <v>1.7325277535719832</v>
          </cell>
          <cell r="D168">
            <v>167</v>
          </cell>
          <cell r="E168">
            <v>1.9801653436214879</v>
          </cell>
          <cell r="F168">
            <v>166</v>
          </cell>
          <cell r="G168">
            <v>0.11461231563857774</v>
          </cell>
        </row>
        <row r="169">
          <cell r="A169" t="str">
            <v>San Diego</v>
          </cell>
          <cell r="B169">
            <v>3.3518950872348374</v>
          </cell>
          <cell r="C169">
            <v>1.7881043663405869</v>
          </cell>
          <cell r="D169">
            <v>165</v>
          </cell>
          <cell r="E169">
            <v>1.8271991343629432</v>
          </cell>
          <cell r="F169">
            <v>167</v>
          </cell>
          <cell r="G169">
            <v>9.8206471237118925E-2</v>
          </cell>
        </row>
        <row r="170">
          <cell r="A170" t="str">
            <v>San Jose State</v>
          </cell>
          <cell r="B170">
            <v>6.9683420651099723</v>
          </cell>
          <cell r="C170">
            <v>1.5838244292059387</v>
          </cell>
          <cell r="D170">
            <v>170</v>
          </cell>
          <cell r="E170">
            <v>1.7184373701035396</v>
          </cell>
          <cell r="F170">
            <v>168</v>
          </cell>
          <cell r="G170">
            <v>8.65416166923349E-2</v>
          </cell>
        </row>
        <row r="171">
          <cell r="A171" t="str">
            <v>Columbia</v>
          </cell>
          <cell r="B171">
            <v>6.0613304816433882</v>
          </cell>
          <cell r="C171">
            <v>1.5671652129473508</v>
          </cell>
          <cell r="D171">
            <v>171</v>
          </cell>
          <cell r="E171">
            <v>1.6795193446647518</v>
          </cell>
          <cell r="F171">
            <v>169</v>
          </cell>
          <cell r="G171">
            <v>8.2367602883300778E-2</v>
          </cell>
        </row>
        <row r="172">
          <cell r="A172" t="str">
            <v>Utah Tech</v>
          </cell>
          <cell r="B172">
            <v>2.6815136307772209</v>
          </cell>
          <cell r="C172">
            <v>1.6422323526413751</v>
          </cell>
          <cell r="D172">
            <v>169</v>
          </cell>
          <cell r="E172">
            <v>1.6682143845947712</v>
          </cell>
          <cell r="F172">
            <v>170</v>
          </cell>
          <cell r="G172">
            <v>8.11551297706323E-2</v>
          </cell>
        </row>
        <row r="173">
          <cell r="A173" t="str">
            <v>Eastern Washington</v>
          </cell>
          <cell r="B173">
            <v>4.5611014700271113</v>
          </cell>
          <cell r="C173">
            <v>1.5470412528056978</v>
          </cell>
          <cell r="D173">
            <v>172</v>
          </cell>
          <cell r="E173">
            <v>1.6223927582362332</v>
          </cell>
          <cell r="F173">
            <v>171</v>
          </cell>
          <cell r="G173">
            <v>7.624069490358687E-2</v>
          </cell>
        </row>
        <row r="174">
          <cell r="A174" t="str">
            <v>Temple</v>
          </cell>
          <cell r="B174">
            <v>7.8504390694144872</v>
          </cell>
          <cell r="C174">
            <v>1.4125697215739741</v>
          </cell>
          <cell r="D174">
            <v>174</v>
          </cell>
          <cell r="E174">
            <v>1.5735164552699872</v>
          </cell>
          <cell r="F174">
            <v>172</v>
          </cell>
          <cell r="G174">
            <v>7.0998641607832605E-2</v>
          </cell>
        </row>
        <row r="175">
          <cell r="A175" t="str">
            <v>CSU Fullerton</v>
          </cell>
          <cell r="B175">
            <v>-7.2289295991476736</v>
          </cell>
          <cell r="C175">
            <v>1.7206022891336858</v>
          </cell>
          <cell r="D175">
            <v>168</v>
          </cell>
          <cell r="E175">
            <v>1.4968639919266518</v>
          </cell>
          <cell r="F175">
            <v>173</v>
          </cell>
          <cell r="G175">
            <v>6.2777555443150515E-2</v>
          </cell>
        </row>
        <row r="176">
          <cell r="A176" t="str">
            <v>Mercer</v>
          </cell>
          <cell r="B176">
            <v>4.2261109018042715</v>
          </cell>
          <cell r="C176">
            <v>1.3892134457868854</v>
          </cell>
          <cell r="D176">
            <v>175</v>
          </cell>
          <cell r="E176">
            <v>1.46013588218732</v>
          </cell>
          <cell r="F176">
            <v>174</v>
          </cell>
          <cell r="G176">
            <v>5.8838413220408142E-2</v>
          </cell>
        </row>
        <row r="177">
          <cell r="A177" t="str">
            <v>UTEP</v>
          </cell>
          <cell r="B177">
            <v>3.2977056297508884</v>
          </cell>
          <cell r="C177">
            <v>1.369194611748807</v>
          </cell>
          <cell r="D177">
            <v>176</v>
          </cell>
          <cell r="E177">
            <v>1.4174073871988591</v>
          </cell>
          <cell r="F177">
            <v>175</v>
          </cell>
          <cell r="G177">
            <v>5.4255721110254763E-2</v>
          </cell>
        </row>
        <row r="178">
          <cell r="A178" t="str">
            <v>Northern Kentucky</v>
          </cell>
          <cell r="B178">
            <v>1.5128202582854133</v>
          </cell>
          <cell r="C178">
            <v>1.4133015957259283</v>
          </cell>
          <cell r="D178">
            <v>173</v>
          </cell>
          <cell r="E178">
            <v>1.4157895622899153</v>
          </cell>
          <cell r="F178">
            <v>176</v>
          </cell>
          <cell r="G178">
            <v>5.4082207078276136E-2</v>
          </cell>
        </row>
        <row r="179">
          <cell r="A179" t="str">
            <v>Troy</v>
          </cell>
          <cell r="B179">
            <v>8.6787585448606048</v>
          </cell>
          <cell r="C179">
            <v>1.1251003146709206</v>
          </cell>
          <cell r="D179">
            <v>177</v>
          </cell>
          <cell r="E179">
            <v>1.3139417704256628</v>
          </cell>
          <cell r="F179">
            <v>177</v>
          </cell>
          <cell r="G179">
            <v>4.3158885947052181E-2</v>
          </cell>
        </row>
        <row r="180">
          <cell r="A180" t="str">
            <v>UAB</v>
          </cell>
          <cell r="B180">
            <v>11.893851724735462</v>
          </cell>
          <cell r="C180">
            <v>0.91112386997574057</v>
          </cell>
          <cell r="D180">
            <v>179</v>
          </cell>
          <cell r="E180">
            <v>1.1856920663447339</v>
          </cell>
          <cell r="F180">
            <v>178</v>
          </cell>
          <cell r="G180">
            <v>2.9403922024735296E-2</v>
          </cell>
        </row>
        <row r="181">
          <cell r="A181" t="str">
            <v>Tennessee State</v>
          </cell>
          <cell r="B181">
            <v>4.6695105181924941</v>
          </cell>
          <cell r="C181">
            <v>0.97148551144818673</v>
          </cell>
          <cell r="D181">
            <v>178</v>
          </cell>
          <cell r="E181">
            <v>1.0639361366167945</v>
          </cell>
          <cell r="F181">
            <v>179</v>
          </cell>
          <cell r="G181">
            <v>1.6345424675851396E-2</v>
          </cell>
        </row>
        <row r="182">
          <cell r="A182" t="str">
            <v>St. Joseph's</v>
          </cell>
          <cell r="B182">
            <v>13.717931283626486</v>
          </cell>
          <cell r="C182">
            <v>0.69451717520154532</v>
          </cell>
          <cell r="D182">
            <v>186</v>
          </cell>
          <cell r="E182">
            <v>1.0201025279121692</v>
          </cell>
          <cell r="F182">
            <v>180</v>
          </cell>
          <cell r="G182">
            <v>1.1644207541372763E-2</v>
          </cell>
        </row>
        <row r="183">
          <cell r="A183" t="str">
            <v>Fordham</v>
          </cell>
          <cell r="B183">
            <v>6.7577083276114465</v>
          </cell>
          <cell r="C183">
            <v>0.81841103849176555</v>
          </cell>
          <cell r="D183">
            <v>181</v>
          </cell>
          <cell r="E183">
            <v>0.96689347071975773</v>
          </cell>
          <cell r="F183">
            <v>181</v>
          </cell>
          <cell r="G183">
            <v>5.937460167045305E-3</v>
          </cell>
        </row>
        <row r="184">
          <cell r="A184" t="str">
            <v>Ohio</v>
          </cell>
          <cell r="B184">
            <v>10.971514953340339</v>
          </cell>
          <cell r="C184">
            <v>0.69546637947521706</v>
          </cell>
          <cell r="D184">
            <v>185</v>
          </cell>
          <cell r="E184">
            <v>0.95236759382184533</v>
          </cell>
          <cell r="F184">
            <v>182</v>
          </cell>
          <cell r="G184">
            <v>4.3795391246332274E-3</v>
          </cell>
        </row>
        <row r="185">
          <cell r="A185" t="str">
            <v>Oakland</v>
          </cell>
          <cell r="B185">
            <v>6.4695957108994113</v>
          </cell>
          <cell r="C185">
            <v>0.77591009214428908</v>
          </cell>
          <cell r="D185">
            <v>182</v>
          </cell>
          <cell r="E185">
            <v>0.91825223261316724</v>
          </cell>
          <cell r="F185">
            <v>183</v>
          </cell>
          <cell r="G185">
            <v>7.206179131966432E-4</v>
          </cell>
        </row>
        <row r="186">
          <cell r="A186" t="str">
            <v>Portland</v>
          </cell>
          <cell r="B186">
            <v>3.6753800784627519</v>
          </cell>
          <cell r="C186">
            <v>0.83340499867049245</v>
          </cell>
          <cell r="D186">
            <v>180</v>
          </cell>
          <cell r="E186">
            <v>0.90445437566529896</v>
          </cell>
          <cell r="F186">
            <v>184</v>
          </cell>
          <cell r="G186">
            <v>-7.5922194985251947E-4</v>
          </cell>
        </row>
        <row r="187">
          <cell r="A187" t="str">
            <v>Valparaiso</v>
          </cell>
          <cell r="B187">
            <v>4.1024395871147687</v>
          </cell>
          <cell r="C187">
            <v>0.77023449221584828</v>
          </cell>
          <cell r="D187">
            <v>183</v>
          </cell>
          <cell r="E187">
            <v>0.85353961958832136</v>
          </cell>
          <cell r="F187">
            <v>185</v>
          </cell>
          <cell r="G187">
            <v>-6.2199022529467393E-3</v>
          </cell>
        </row>
        <row r="188">
          <cell r="A188" t="str">
            <v>Campbell</v>
          </cell>
          <cell r="B188">
            <v>7.7316653144052143</v>
          </cell>
          <cell r="C188">
            <v>0.65498676193719507</v>
          </cell>
          <cell r="D188">
            <v>187</v>
          </cell>
          <cell r="E188">
            <v>0.83190372574889571</v>
          </cell>
          <cell r="F188">
            <v>186</v>
          </cell>
          <cell r="G188">
            <v>-8.5403827664969605E-3</v>
          </cell>
        </row>
        <row r="189">
          <cell r="A189" t="str">
            <v>Idaho State</v>
          </cell>
          <cell r="B189">
            <v>5.3521542826006785</v>
          </cell>
          <cell r="C189">
            <v>0.7120032530646192</v>
          </cell>
          <cell r="D189">
            <v>184</v>
          </cell>
          <cell r="E189">
            <v>0.82800702880302079</v>
          </cell>
          <cell r="F189">
            <v>187</v>
          </cell>
          <cell r="G189">
            <v>-8.9583090790043909E-3</v>
          </cell>
        </row>
        <row r="190">
          <cell r="A190" t="str">
            <v>Robert Morris</v>
          </cell>
          <cell r="B190">
            <v>9.3468193830940063</v>
          </cell>
          <cell r="C190">
            <v>0.58594562038117493</v>
          </cell>
          <cell r="D190">
            <v>188</v>
          </cell>
          <cell r="E190">
            <v>0.80496746444899592</v>
          </cell>
          <cell r="F190">
            <v>188</v>
          </cell>
          <cell r="G190">
            <v>-1.1429335259895481E-2</v>
          </cell>
        </row>
        <row r="191">
          <cell r="A191" t="str">
            <v>Arkansas State</v>
          </cell>
          <cell r="B191">
            <v>10.32698899515729</v>
          </cell>
          <cell r="C191">
            <v>0.24647016691779861</v>
          </cell>
          <cell r="D191">
            <v>191</v>
          </cell>
          <cell r="E191">
            <v>0.49848313762378615</v>
          </cell>
          <cell r="F191">
            <v>189</v>
          </cell>
          <cell r="G191">
            <v>-4.4300217017066087E-2</v>
          </cell>
        </row>
        <row r="192">
          <cell r="A192" t="str">
            <v>Western Carolina</v>
          </cell>
          <cell r="B192">
            <v>-2.0856588670615377</v>
          </cell>
          <cell r="C192">
            <v>0.53640613780530044</v>
          </cell>
          <cell r="D192">
            <v>189</v>
          </cell>
          <cell r="E192">
            <v>0.47085451268362943</v>
          </cell>
          <cell r="F192">
            <v>190</v>
          </cell>
          <cell r="G192">
            <v>-4.7263426499680343E-2</v>
          </cell>
        </row>
        <row r="193">
          <cell r="A193" t="str">
            <v>Boston College</v>
          </cell>
          <cell r="B193">
            <v>10.806740653842446</v>
          </cell>
          <cell r="C193">
            <v>0.1869130291001154</v>
          </cell>
          <cell r="D193">
            <v>194</v>
          </cell>
          <cell r="E193">
            <v>0.45240871971867391</v>
          </cell>
          <cell r="F193">
            <v>191</v>
          </cell>
          <cell r="G193">
            <v>-4.9241764138505492E-2</v>
          </cell>
        </row>
        <row r="194">
          <cell r="A194" t="str">
            <v>South Dakota State</v>
          </cell>
          <cell r="B194">
            <v>7.2431333970691121</v>
          </cell>
          <cell r="C194">
            <v>0.18172560543187471</v>
          </cell>
          <cell r="D194">
            <v>195</v>
          </cell>
          <cell r="E194">
            <v>0.35826080022280582</v>
          </cell>
          <cell r="F194">
            <v>192</v>
          </cell>
          <cell r="G194">
            <v>-5.9339262961658173E-2</v>
          </cell>
        </row>
        <row r="195">
          <cell r="A195" t="str">
            <v>Austin Peay</v>
          </cell>
          <cell r="B195">
            <v>4.0889739876354199</v>
          </cell>
          <cell r="C195">
            <v>0.26195205112287334</v>
          </cell>
          <cell r="D195">
            <v>190</v>
          </cell>
          <cell r="E195">
            <v>0.35762759953568712</v>
          </cell>
          <cell r="F195">
            <v>193</v>
          </cell>
          <cell r="G195">
            <v>-5.9407174639656342E-2</v>
          </cell>
        </row>
        <row r="196">
          <cell r="A196" t="str">
            <v>CSU Northridge</v>
          </cell>
          <cell r="B196">
            <v>6.6453279658500097</v>
          </cell>
          <cell r="C196">
            <v>0.19099361099014489</v>
          </cell>
          <cell r="D196">
            <v>192</v>
          </cell>
          <cell r="E196">
            <v>0.35235196986164163</v>
          </cell>
          <cell r="F196">
            <v>194</v>
          </cell>
          <cell r="G196">
            <v>-5.9972993456580935E-2</v>
          </cell>
        </row>
        <row r="197">
          <cell r="A197" t="str">
            <v>UC Davis</v>
          </cell>
          <cell r="B197">
            <v>1.6068695599259029</v>
          </cell>
          <cell r="C197">
            <v>0.18805621924422641</v>
          </cell>
          <cell r="D197">
            <v>193</v>
          </cell>
          <cell r="E197">
            <v>0.22352655276126834</v>
          </cell>
          <cell r="F197">
            <v>195</v>
          </cell>
          <cell r="G197">
            <v>-7.3789703422436972E-2</v>
          </cell>
        </row>
        <row r="198">
          <cell r="A198" t="str">
            <v>Furman</v>
          </cell>
          <cell r="B198">
            <v>9.7417903789513538</v>
          </cell>
          <cell r="C198">
            <v>-5.1242924810589674E-2</v>
          </cell>
          <cell r="D198">
            <v>196</v>
          </cell>
          <cell r="E198">
            <v>0.19358290778345913</v>
          </cell>
          <cell r="F198">
            <v>196</v>
          </cell>
          <cell r="G198">
            <v>-7.7001202110282108E-2</v>
          </cell>
        </row>
        <row r="199">
          <cell r="A199" t="str">
            <v>Southern Utah</v>
          </cell>
          <cell r="B199">
            <v>-0.85868020363852504</v>
          </cell>
          <cell r="C199">
            <v>-6.961378280181485E-2</v>
          </cell>
          <cell r="D199">
            <v>197</v>
          </cell>
          <cell r="E199">
            <v>-8.934044332273261E-2</v>
          </cell>
          <cell r="F199">
            <v>197</v>
          </cell>
          <cell r="G199">
            <v>-0.1073451355730132</v>
          </cell>
        </row>
        <row r="200">
          <cell r="A200" t="str">
            <v>Youngstown State</v>
          </cell>
          <cell r="B200">
            <v>7.074926011375049</v>
          </cell>
          <cell r="C200">
            <v>-0.31247384735645822</v>
          </cell>
          <cell r="D200">
            <v>200</v>
          </cell>
          <cell r="E200">
            <v>-0.12778885088817038</v>
          </cell>
          <cell r="F200">
            <v>198</v>
          </cell>
          <cell r="G200">
            <v>-0.11146878219444642</v>
          </cell>
        </row>
        <row r="201">
          <cell r="A201" t="str">
            <v>Radford</v>
          </cell>
          <cell r="B201">
            <v>11.500175544773906</v>
          </cell>
          <cell r="C201">
            <v>-0.56696409631028832</v>
          </cell>
          <cell r="D201">
            <v>203</v>
          </cell>
          <cell r="E201">
            <v>-0.26528560528318323</v>
          </cell>
          <cell r="F201">
            <v>199</v>
          </cell>
          <cell r="G201">
            <v>-0.12621550546911089</v>
          </cell>
        </row>
        <row r="202">
          <cell r="A202" t="str">
            <v>Lamar</v>
          </cell>
          <cell r="B202">
            <v>3.7898435317739021</v>
          </cell>
          <cell r="C202">
            <v>-0.428898047589583</v>
          </cell>
          <cell r="D202">
            <v>201</v>
          </cell>
          <cell r="E202">
            <v>-0.32342950810549576</v>
          </cell>
          <cell r="F202">
            <v>200</v>
          </cell>
          <cell r="G202">
            <v>-0.13245152208493818</v>
          </cell>
        </row>
        <row r="203">
          <cell r="A203" t="str">
            <v>Buffalo</v>
          </cell>
          <cell r="B203">
            <v>-1.3203775832630009</v>
          </cell>
          <cell r="C203">
            <v>-0.29897678242048753</v>
          </cell>
          <cell r="D203">
            <v>198</v>
          </cell>
          <cell r="E203">
            <v>-0.32451180244155037</v>
          </cell>
          <cell r="F203">
            <v>201</v>
          </cell>
          <cell r="G203">
            <v>-0.13256759969815721</v>
          </cell>
        </row>
        <row r="204">
          <cell r="A204" t="str">
            <v>Pennsylvania</v>
          </cell>
          <cell r="B204">
            <v>5.1621152313096248</v>
          </cell>
          <cell r="C204">
            <v>-0.48829187985559058</v>
          </cell>
          <cell r="D204">
            <v>202</v>
          </cell>
          <cell r="E204">
            <v>-0.34703170207646006</v>
          </cell>
          <cell r="F204">
            <v>202</v>
          </cell>
          <cell r="G204">
            <v>-0.13498289109576475</v>
          </cell>
        </row>
        <row r="205">
          <cell r="A205" t="str">
            <v>Central Arkansas</v>
          </cell>
          <cell r="B205">
            <v>-2.8044829720709332</v>
          </cell>
          <cell r="C205">
            <v>-0.30650488027773848</v>
          </cell>
          <cell r="D205">
            <v>199</v>
          </cell>
          <cell r="E205">
            <v>-0.36895433257256843</v>
          </cell>
          <cell r="F205">
            <v>203</v>
          </cell>
          <cell r="G205">
            <v>-0.13733412452524674</v>
          </cell>
        </row>
        <row r="206">
          <cell r="A206" t="str">
            <v>Incarnate Word</v>
          </cell>
          <cell r="B206">
            <v>3.4851643994280979</v>
          </cell>
          <cell r="C206">
            <v>-0.58221746143845066</v>
          </cell>
          <cell r="D206">
            <v>204</v>
          </cell>
          <cell r="E206">
            <v>-0.48053291491678685</v>
          </cell>
          <cell r="F206">
            <v>204</v>
          </cell>
          <cell r="G206">
            <v>-0.14930108683246202</v>
          </cell>
        </row>
        <row r="207">
          <cell r="A207" t="str">
            <v>Charlotte</v>
          </cell>
          <cell r="B207">
            <v>5.1348821179057866</v>
          </cell>
          <cell r="C207">
            <v>-0.79596348199888112</v>
          </cell>
          <cell r="D207">
            <v>205</v>
          </cell>
          <cell r="E207">
            <v>-0.64769234200126435</v>
          </cell>
          <cell r="F207">
            <v>205</v>
          </cell>
          <cell r="G207">
            <v>-0.16722917411577651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-0.80827365313734612</v>
          </cell>
          <cell r="D208">
            <v>206</v>
          </cell>
          <cell r="E208">
            <v>-0.65237325331704965</v>
          </cell>
          <cell r="F208">
            <v>206</v>
          </cell>
          <cell r="G208">
            <v>-0.16773120853943146</v>
          </cell>
        </row>
        <row r="209">
          <cell r="A209" t="str">
            <v>Sacramento State</v>
          </cell>
          <cell r="B209">
            <v>3.894048967658652</v>
          </cell>
          <cell r="C209">
            <v>-0.81564496205483894</v>
          </cell>
          <cell r="D209">
            <v>207</v>
          </cell>
          <cell r="E209">
            <v>-0.69790261381200158</v>
          </cell>
          <cell r="F209">
            <v>207</v>
          </cell>
          <cell r="G209">
            <v>-0.17261429747520821</v>
          </cell>
        </row>
        <row r="210">
          <cell r="A210" t="str">
            <v>Detroit</v>
          </cell>
          <cell r="B210">
            <v>3.0738830602115068</v>
          </cell>
          <cell r="C210">
            <v>-0.82897425569765559</v>
          </cell>
          <cell r="D210">
            <v>208</v>
          </cell>
          <cell r="E210">
            <v>-0.73140282279992641</v>
          </cell>
          <cell r="F210">
            <v>208</v>
          </cell>
          <cell r="G210">
            <v>-0.17620724273244021</v>
          </cell>
        </row>
        <row r="211">
          <cell r="A211" t="str">
            <v>UNC Asheville</v>
          </cell>
          <cell r="B211">
            <v>4.2597310343300681</v>
          </cell>
          <cell r="C211">
            <v>-0.88989015526983317</v>
          </cell>
          <cell r="D211">
            <v>209</v>
          </cell>
          <cell r="E211">
            <v>-0.76114962552983556</v>
          </cell>
          <cell r="F211">
            <v>209</v>
          </cell>
          <cell r="G211">
            <v>-0.17939762980807808</v>
          </cell>
        </row>
        <row r="212">
          <cell r="A212" t="str">
            <v>Indiana State</v>
          </cell>
          <cell r="B212">
            <v>8.8774779405919997</v>
          </cell>
          <cell r="C212">
            <v>-1.0551936529182531</v>
          </cell>
          <cell r="D212">
            <v>210</v>
          </cell>
          <cell r="E212">
            <v>-0.80687686308049655</v>
          </cell>
          <cell r="F212">
            <v>210</v>
          </cell>
          <cell r="G212">
            <v>-0.18430194134067743</v>
          </cell>
        </row>
        <row r="213">
          <cell r="A213" t="str">
            <v>Charleston</v>
          </cell>
          <cell r="B213">
            <v>10.158178405440189</v>
          </cell>
          <cell r="C213">
            <v>-1.3092845732921576</v>
          </cell>
          <cell r="D213">
            <v>214</v>
          </cell>
          <cell r="E213">
            <v>-1.0225979988238487</v>
          </cell>
          <cell r="F213">
            <v>211</v>
          </cell>
          <cell r="G213">
            <v>-0.2074383412309932</v>
          </cell>
        </row>
        <row r="214">
          <cell r="A214" t="str">
            <v>Marshall</v>
          </cell>
          <cell r="B214">
            <v>2.7500123349197647</v>
          </cell>
          <cell r="C214">
            <v>-1.1448036382395415</v>
          </cell>
          <cell r="D214">
            <v>211</v>
          </cell>
          <cell r="E214">
            <v>-1.0474332389105587</v>
          </cell>
          <cell r="F214">
            <v>212</v>
          </cell>
          <cell r="G214">
            <v>-0.21010195619870659</v>
          </cell>
        </row>
        <row r="215">
          <cell r="A215" t="str">
            <v>Rice</v>
          </cell>
          <cell r="B215">
            <v>5.2635459972994534</v>
          </cell>
          <cell r="C215">
            <v>-1.2137483178876955</v>
          </cell>
          <cell r="D215">
            <v>212</v>
          </cell>
          <cell r="E215">
            <v>-1.0518159600080166</v>
          </cell>
          <cell r="F215">
            <v>213</v>
          </cell>
          <cell r="G215">
            <v>-0.210572009295586</v>
          </cell>
        </row>
        <row r="216">
          <cell r="A216" t="str">
            <v>Samford</v>
          </cell>
          <cell r="B216">
            <v>11.451234349297978</v>
          </cell>
          <cell r="C216">
            <v>-1.4763686899983941</v>
          </cell>
          <cell r="D216">
            <v>216</v>
          </cell>
          <cell r="E216">
            <v>-1.1531786140159845</v>
          </cell>
          <cell r="F216">
            <v>214</v>
          </cell>
          <cell r="G216">
            <v>-0.22144329869887447</v>
          </cell>
        </row>
        <row r="217">
          <cell r="A217" t="str">
            <v>Nicholls</v>
          </cell>
          <cell r="B217">
            <v>1.0226165627622905</v>
          </cell>
          <cell r="C217">
            <v>-1.2767457013346633</v>
          </cell>
          <cell r="D217">
            <v>213</v>
          </cell>
          <cell r="E217">
            <v>-1.2192616447322393</v>
          </cell>
          <cell r="F217">
            <v>215</v>
          </cell>
          <cell r="G217">
            <v>-0.22853079811958157</v>
          </cell>
        </row>
        <row r="218">
          <cell r="A218" t="str">
            <v>Purdue Fort Wayne</v>
          </cell>
          <cell r="B218">
            <v>7.7812777392935741</v>
          </cell>
          <cell r="C218">
            <v>-1.5334811811640381</v>
          </cell>
          <cell r="D218">
            <v>217</v>
          </cell>
          <cell r="E218">
            <v>-1.3006122081525975</v>
          </cell>
          <cell r="F218">
            <v>216</v>
          </cell>
          <cell r="G218">
            <v>-0.23725576222710951</v>
          </cell>
        </row>
        <row r="219">
          <cell r="A219" t="str">
            <v>Cal Poly</v>
          </cell>
          <cell r="B219">
            <v>7.8024418664198771</v>
          </cell>
          <cell r="C219">
            <v>-1.5970332594017198</v>
          </cell>
          <cell r="D219">
            <v>219</v>
          </cell>
          <cell r="E219">
            <v>-1.3620463812561796</v>
          </cell>
          <cell r="F219">
            <v>217</v>
          </cell>
          <cell r="G219">
            <v>-0.2438446650295979</v>
          </cell>
        </row>
        <row r="220">
          <cell r="A220" t="str">
            <v>New Orleans</v>
          </cell>
          <cell r="B220">
            <v>1.348849061961795</v>
          </cell>
          <cell r="C220">
            <v>-1.4461633097367232</v>
          </cell>
          <cell r="D220">
            <v>215</v>
          </cell>
          <cell r="E220">
            <v>-1.3762880004442601</v>
          </cell>
          <cell r="F220">
            <v>218</v>
          </cell>
          <cell r="G220">
            <v>-0.24537209902666823</v>
          </cell>
        </row>
        <row r="221">
          <cell r="A221" t="str">
            <v>Pepperdine</v>
          </cell>
          <cell r="B221">
            <v>4.5307464261683457</v>
          </cell>
          <cell r="C221">
            <v>-1.5577301512678337</v>
          </cell>
          <cell r="D221">
            <v>218</v>
          </cell>
          <cell r="E221">
            <v>-1.405518236831929</v>
          </cell>
          <cell r="F221">
            <v>219</v>
          </cell>
          <cell r="G221">
            <v>-0.24850708362436735</v>
          </cell>
        </row>
        <row r="222">
          <cell r="A222" t="str">
            <v>Lipscomb</v>
          </cell>
          <cell r="B222">
            <v>9.3932974825499684</v>
          </cell>
          <cell r="C222">
            <v>-1.696443465075572</v>
          </cell>
          <cell r="D222">
            <v>221</v>
          </cell>
          <cell r="E222">
            <v>-1.4191999413849332</v>
          </cell>
          <cell r="F222">
            <v>220</v>
          </cell>
          <cell r="G222">
            <v>-0.24997446597718445</v>
          </cell>
        </row>
        <row r="223">
          <cell r="A223" t="str">
            <v>Georgia Tech</v>
          </cell>
          <cell r="B223">
            <v>14.526399974517997</v>
          </cell>
          <cell r="C223">
            <v>-1.9111225288809137</v>
          </cell>
          <cell r="D223">
            <v>229</v>
          </cell>
          <cell r="E223">
            <v>-1.5001844662959407</v>
          </cell>
          <cell r="F223">
            <v>221</v>
          </cell>
          <cell r="G223">
            <v>-0.25866017193182711</v>
          </cell>
        </row>
        <row r="224">
          <cell r="A224" t="str">
            <v>Towson</v>
          </cell>
          <cell r="B224">
            <v>9.9522452346244599</v>
          </cell>
          <cell r="C224">
            <v>-1.8665921995789034</v>
          </cell>
          <cell r="D224">
            <v>228</v>
          </cell>
          <cell r="E224">
            <v>-1.571121263723819</v>
          </cell>
          <cell r="F224">
            <v>222</v>
          </cell>
          <cell r="G224">
            <v>-0.26626824476425603</v>
          </cell>
        </row>
        <row r="225">
          <cell r="A225" t="str">
            <v>Northern Arizona</v>
          </cell>
          <cell r="B225">
            <v>4.0594954007386894</v>
          </cell>
          <cell r="C225">
            <v>-1.7212479865166244</v>
          </cell>
          <cell r="D225">
            <v>222</v>
          </cell>
          <cell r="E225">
            <v>-1.5767294018352414</v>
          </cell>
          <cell r="F225">
            <v>223</v>
          </cell>
          <cell r="G225">
            <v>-0.26686972558596078</v>
          </cell>
        </row>
        <row r="226">
          <cell r="A226" t="str">
            <v>Elon</v>
          </cell>
          <cell r="B226">
            <v>6.6277636094692962</v>
          </cell>
          <cell r="C226">
            <v>-1.7933865739982771</v>
          </cell>
          <cell r="D226">
            <v>226</v>
          </cell>
          <cell r="E226">
            <v>-1.5828578194115877</v>
          </cell>
          <cell r="F226">
            <v>224</v>
          </cell>
          <cell r="G226">
            <v>-0.26752700712331501</v>
          </cell>
        </row>
        <row r="227">
          <cell r="A227" t="str">
            <v>North Dakota</v>
          </cell>
          <cell r="B227">
            <v>3.4690131796803656</v>
          </cell>
          <cell r="C227">
            <v>-1.7212657155205497</v>
          </cell>
          <cell r="D227">
            <v>223</v>
          </cell>
          <cell r="E227">
            <v>-1.5915087431405268</v>
          </cell>
          <cell r="F227">
            <v>225</v>
          </cell>
          <cell r="G227">
            <v>-0.26845483104804846</v>
          </cell>
        </row>
        <row r="228">
          <cell r="A228" t="str">
            <v>UT Martin</v>
          </cell>
          <cell r="B228">
            <v>1.4009433721796851</v>
          </cell>
          <cell r="C228">
            <v>-1.6718883883488782</v>
          </cell>
          <cell r="D228">
            <v>220</v>
          </cell>
          <cell r="E228">
            <v>-1.595067594335664</v>
          </cell>
          <cell r="F228">
            <v>226</v>
          </cell>
          <cell r="G228">
            <v>-0.26883652292129534</v>
          </cell>
        </row>
        <row r="229">
          <cell r="A229" t="str">
            <v>Eastern Michigan</v>
          </cell>
          <cell r="B229">
            <v>3.6803978199142771</v>
          </cell>
          <cell r="C229">
            <v>-1.7697074839116715</v>
          </cell>
          <cell r="D229">
            <v>225</v>
          </cell>
          <cell r="E229">
            <v>-1.6334548513160227</v>
          </cell>
          <cell r="F229">
            <v>227</v>
          </cell>
          <cell r="G229">
            <v>-0.27295361105514665</v>
          </cell>
        </row>
        <row r="230">
          <cell r="A230" t="str">
            <v>Denver</v>
          </cell>
          <cell r="B230">
            <v>0.36918564567312445</v>
          </cell>
          <cell r="C230">
            <v>-1.7557122498707152</v>
          </cell>
          <cell r="D230">
            <v>224</v>
          </cell>
          <cell r="E230">
            <v>-1.7025898024821191</v>
          </cell>
          <cell r="F230">
            <v>228</v>
          </cell>
          <cell r="G230">
            <v>-0.28036843330269529</v>
          </cell>
        </row>
        <row r="231">
          <cell r="A231" t="str">
            <v>Long Beach State</v>
          </cell>
          <cell r="B231">
            <v>1.2208684660189704</v>
          </cell>
          <cell r="C231">
            <v>-1.8115656855693225</v>
          </cell>
          <cell r="D231">
            <v>227</v>
          </cell>
          <cell r="E231">
            <v>-1.735754831779615</v>
          </cell>
          <cell r="F231">
            <v>229</v>
          </cell>
          <cell r="G231">
            <v>-0.28392543005944237</v>
          </cell>
        </row>
        <row r="232">
          <cell r="A232" t="str">
            <v>La Salle</v>
          </cell>
          <cell r="B232">
            <v>4.492068858636137</v>
          </cell>
          <cell r="C232">
            <v>-2.1587495569001547</v>
          </cell>
          <cell r="D232">
            <v>230</v>
          </cell>
          <cell r="E232">
            <v>-1.9924790965117474</v>
          </cell>
          <cell r="F232">
            <v>230</v>
          </cell>
          <cell r="G232">
            <v>-0.31145947409236668</v>
          </cell>
        </row>
        <row r="233">
          <cell r="A233" t="str">
            <v>Monmouth</v>
          </cell>
          <cell r="B233">
            <v>6.6832992405279015</v>
          </cell>
          <cell r="C233">
            <v>-2.3493348496364468</v>
          </cell>
          <cell r="D233">
            <v>231</v>
          </cell>
          <cell r="E233">
            <v>-2.1235189973823378</v>
          </cell>
          <cell r="F233">
            <v>231</v>
          </cell>
          <cell r="G233">
            <v>-0.32551369060519042</v>
          </cell>
        </row>
        <row r="234">
          <cell r="A234" t="str">
            <v>Queens University</v>
          </cell>
          <cell r="B234">
            <v>6.4572474756565583</v>
          </cell>
          <cell r="C234">
            <v>-2.6667983832278397</v>
          </cell>
          <cell r="D234">
            <v>233</v>
          </cell>
          <cell r="E234">
            <v>-2.4386972367557296</v>
          </cell>
          <cell r="F234">
            <v>232</v>
          </cell>
          <cell r="G234">
            <v>-0.3593170068993527</v>
          </cell>
        </row>
        <row r="235">
          <cell r="A235" t="str">
            <v>Evansville</v>
          </cell>
          <cell r="B235">
            <v>4.3691824347942907</v>
          </cell>
          <cell r="C235">
            <v>-2.6435662216445328</v>
          </cell>
          <cell r="D235">
            <v>232</v>
          </cell>
          <cell r="E235">
            <v>-2.4682475052335624</v>
          </cell>
          <cell r="F235">
            <v>233</v>
          </cell>
          <cell r="G235">
            <v>-0.3624863153957753</v>
          </cell>
        </row>
        <row r="236">
          <cell r="A236" t="str">
            <v>Wofford</v>
          </cell>
          <cell r="B236">
            <v>8.0631803230915775</v>
          </cell>
          <cell r="C236">
            <v>-2.8178066292595791</v>
          </cell>
          <cell r="D236">
            <v>235</v>
          </cell>
          <cell r="E236">
            <v>-2.5457819554507997</v>
          </cell>
          <cell r="F236">
            <v>234</v>
          </cell>
          <cell r="G236">
            <v>-0.37080199591229168</v>
          </cell>
        </row>
        <row r="237">
          <cell r="A237" t="str">
            <v>Green Bay</v>
          </cell>
          <cell r="B237">
            <v>2.6830598195711364</v>
          </cell>
          <cell r="C237">
            <v>-2.7336168367013847</v>
          </cell>
          <cell r="D237">
            <v>234</v>
          </cell>
          <cell r="E237">
            <v>-2.5981999202945714</v>
          </cell>
          <cell r="F237">
            <v>235</v>
          </cell>
          <cell r="G237">
            <v>-0.3764238975024301</v>
          </cell>
        </row>
        <row r="238">
          <cell r="A238" t="str">
            <v>Brown</v>
          </cell>
          <cell r="B238">
            <v>9.5482789765623082</v>
          </cell>
          <cell r="C238">
            <v>-2.96206576077397</v>
          </cell>
          <cell r="D238">
            <v>238</v>
          </cell>
          <cell r="E238">
            <v>-2.6493071423405627</v>
          </cell>
          <cell r="F238">
            <v>236</v>
          </cell>
          <cell r="G238">
            <v>-0.38190522005557104</v>
          </cell>
        </row>
        <row r="239">
          <cell r="A239" t="str">
            <v>Harvard</v>
          </cell>
          <cell r="B239">
            <v>5.4378845535956453</v>
          </cell>
          <cell r="C239">
            <v>-2.8827901439190819</v>
          </cell>
          <cell r="D239">
            <v>236</v>
          </cell>
          <cell r="E239">
            <v>-2.6747732764812135</v>
          </cell>
          <cell r="F239">
            <v>237</v>
          </cell>
          <cell r="G239">
            <v>-0.38463649931158006</v>
          </cell>
        </row>
        <row r="240">
          <cell r="A240" t="str">
            <v>Omaha</v>
          </cell>
          <cell r="B240">
            <v>9.0740641308806893</v>
          </cell>
          <cell r="C240">
            <v>-3.0143909341164248</v>
          </cell>
          <cell r="D240">
            <v>239</v>
          </cell>
          <cell r="E240">
            <v>-2.7121795574914964</v>
          </cell>
          <cell r="F240">
            <v>238</v>
          </cell>
          <cell r="G240">
            <v>-0.38864837637166127</v>
          </cell>
        </row>
        <row r="241">
          <cell r="A241" t="str">
            <v>Milwaukee</v>
          </cell>
          <cell r="B241">
            <v>6.5120857155422751</v>
          </cell>
          <cell r="C241">
            <v>-3.0965302185417065</v>
          </cell>
          <cell r="D241">
            <v>240</v>
          </cell>
          <cell r="E241">
            <v>-2.8563148201896067</v>
          </cell>
          <cell r="F241">
            <v>239</v>
          </cell>
          <cell r="G241">
            <v>-0.4041070891426094</v>
          </cell>
        </row>
        <row r="242">
          <cell r="A242" t="str">
            <v>Tulane</v>
          </cell>
          <cell r="B242">
            <v>9.7375892223179346</v>
          </cell>
          <cell r="C242">
            <v>-3.2079611122651128</v>
          </cell>
          <cell r="D242">
            <v>241</v>
          </cell>
          <cell r="E242">
            <v>-2.884322353900536</v>
          </cell>
          <cell r="F242">
            <v>240</v>
          </cell>
          <cell r="G242">
            <v>-0.40711093713202706</v>
          </cell>
        </row>
        <row r="243">
          <cell r="A243" t="str">
            <v>Lindenwood</v>
          </cell>
          <cell r="B243">
            <v>-1.2050091767509699</v>
          </cell>
          <cell r="C243">
            <v>-2.9426712703927587</v>
          </cell>
          <cell r="D243">
            <v>237</v>
          </cell>
          <cell r="E243">
            <v>-2.8992297180517137</v>
          </cell>
          <cell r="F243">
            <v>241</v>
          </cell>
          <cell r="G243">
            <v>-0.40870977322717233</v>
          </cell>
        </row>
        <row r="244">
          <cell r="A244" t="str">
            <v>Presbyterian</v>
          </cell>
          <cell r="B244">
            <v>6.7546360380526451</v>
          </cell>
          <cell r="C244">
            <v>-3.2567733652066453</v>
          </cell>
          <cell r="D244">
            <v>242</v>
          </cell>
          <cell r="E244">
            <v>-3.0064881301251627</v>
          </cell>
          <cell r="F244">
            <v>242</v>
          </cell>
          <cell r="G244">
            <v>-0.42021339110300238</v>
          </cell>
        </row>
        <row r="245">
          <cell r="A245" t="str">
            <v>Dartmouth</v>
          </cell>
          <cell r="B245">
            <v>8.6555887772307827</v>
          </cell>
          <cell r="C245">
            <v>-3.3594663114876724</v>
          </cell>
          <cell r="D245">
            <v>243</v>
          </cell>
          <cell r="E245">
            <v>-3.0590899342697111</v>
          </cell>
          <cell r="F245">
            <v>243</v>
          </cell>
          <cell r="G245">
            <v>-0.42585500972069895</v>
          </cell>
        </row>
        <row r="246">
          <cell r="A246" t="str">
            <v>Chattanooga</v>
          </cell>
          <cell r="B246">
            <v>11.016449731589821</v>
          </cell>
          <cell r="C246">
            <v>-3.4969558038219142</v>
          </cell>
          <cell r="D246">
            <v>245</v>
          </cell>
          <cell r="E246">
            <v>-3.1341206654366207</v>
          </cell>
          <cell r="F246">
            <v>244</v>
          </cell>
          <cell r="G246">
            <v>-0.43390216279338473</v>
          </cell>
        </row>
        <row r="247">
          <cell r="A247" t="str">
            <v>Georgia Southern</v>
          </cell>
          <cell r="B247">
            <v>6.2416733937474866</v>
          </cell>
          <cell r="C247">
            <v>-3.4934173969236419</v>
          </cell>
          <cell r="D247">
            <v>244</v>
          </cell>
          <cell r="E247">
            <v>-3.2500401271568635</v>
          </cell>
          <cell r="F247">
            <v>245</v>
          </cell>
          <cell r="G247">
            <v>-0.44633469061309949</v>
          </cell>
        </row>
        <row r="248">
          <cell r="A248" t="str">
            <v>Western Michigan</v>
          </cell>
          <cell r="B248">
            <v>2.3269731455630396</v>
          </cell>
          <cell r="C248">
            <v>-3.5666678458183001</v>
          </cell>
          <cell r="D248">
            <v>246</v>
          </cell>
          <cell r="E248">
            <v>-3.4193268210337662</v>
          </cell>
          <cell r="F248">
            <v>246</v>
          </cell>
          <cell r="G248">
            <v>-0.46449093029795469</v>
          </cell>
        </row>
        <row r="249">
          <cell r="A249" t="str">
            <v>Central Michigan</v>
          </cell>
          <cell r="B249">
            <v>2.7315809547352998</v>
          </cell>
          <cell r="C249">
            <v>-3.620409688625204</v>
          </cell>
          <cell r="D249">
            <v>247</v>
          </cell>
          <cell r="E249">
            <v>-3.4616099225411912</v>
          </cell>
          <cell r="F249">
            <v>247</v>
          </cell>
          <cell r="G249">
            <v>-0.46902585332117885</v>
          </cell>
        </row>
        <row r="250">
          <cell r="A250" t="str">
            <v>UC Riverside</v>
          </cell>
          <cell r="B250">
            <v>4.4307067015422144</v>
          </cell>
          <cell r="C250">
            <v>-3.6779026717843193</v>
          </cell>
          <cell r="D250">
            <v>249</v>
          </cell>
          <cell r="E250">
            <v>-3.4751874374511558</v>
          </cell>
          <cell r="F250">
            <v>248</v>
          </cell>
          <cell r="G250">
            <v>-0.47048206118598174</v>
          </cell>
        </row>
        <row r="251">
          <cell r="A251" t="str">
            <v>Stony Brook</v>
          </cell>
          <cell r="B251">
            <v>2.9610672296415865</v>
          </cell>
          <cell r="C251">
            <v>-3.6568762081326711</v>
          </cell>
          <cell r="D251">
            <v>248</v>
          </cell>
          <cell r="E251">
            <v>-3.4914276221883145</v>
          </cell>
          <cell r="F251">
            <v>249</v>
          </cell>
          <cell r="G251">
            <v>-0.47222384419243935</v>
          </cell>
        </row>
        <row r="252">
          <cell r="A252" t="str">
            <v>South Alabama</v>
          </cell>
          <cell r="B252">
            <v>6.7567986142480976</v>
          </cell>
          <cell r="C252">
            <v>-3.7859764257675304</v>
          </cell>
          <cell r="D252">
            <v>251</v>
          </cell>
          <cell r="E252">
            <v>-3.5224070497671391</v>
          </cell>
          <cell r="F252">
            <v>250</v>
          </cell>
          <cell r="G252">
            <v>-0.47554643204349484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-3.6996646148171046</v>
          </cell>
          <cell r="D253">
            <v>250</v>
          </cell>
          <cell r="E253">
            <v>-3.5876283734759173</v>
          </cell>
          <cell r="F253">
            <v>251</v>
          </cell>
          <cell r="G253">
            <v>-0.48254151215700442</v>
          </cell>
        </row>
        <row r="254">
          <cell r="A254" t="str">
            <v>Appalachian State</v>
          </cell>
          <cell r="B254">
            <v>4.5618817241180807</v>
          </cell>
          <cell r="C254">
            <v>-3.8153943623500686</v>
          </cell>
          <cell r="D254">
            <v>252</v>
          </cell>
          <cell r="E254">
            <v>-3.6059624601883646</v>
          </cell>
          <cell r="F254">
            <v>252</v>
          </cell>
          <cell r="G254">
            <v>-0.48450786914071492</v>
          </cell>
        </row>
        <row r="255">
          <cell r="A255" t="str">
            <v>Florida Gulf Coast</v>
          </cell>
          <cell r="B255">
            <v>9.6741628903046966</v>
          </cell>
          <cell r="C255">
            <v>-3.9529246167204115</v>
          </cell>
          <cell r="D255">
            <v>255</v>
          </cell>
          <cell r="E255">
            <v>-3.6122474290447832</v>
          </cell>
          <cell r="F255">
            <v>253</v>
          </cell>
          <cell r="G255">
            <v>-0.48518194102643541</v>
          </cell>
        </row>
        <row r="256">
          <cell r="A256" t="str">
            <v>Charleston Southern</v>
          </cell>
          <cell r="B256">
            <v>4.1236566887513826</v>
          </cell>
          <cell r="C256">
            <v>-3.896586246208114</v>
          </cell>
          <cell r="D256">
            <v>253</v>
          </cell>
          <cell r="E256">
            <v>-3.6960801728341268</v>
          </cell>
          <cell r="F256">
            <v>254</v>
          </cell>
          <cell r="G256">
            <v>-0.49417312252345941</v>
          </cell>
        </row>
        <row r="257">
          <cell r="A257" t="str">
            <v>Longwood</v>
          </cell>
          <cell r="B257">
            <v>5.3803672043579747</v>
          </cell>
          <cell r="C257">
            <v>-3.9908951960383199</v>
          </cell>
          <cell r="D257">
            <v>256</v>
          </cell>
          <cell r="E257">
            <v>-3.7566136360284124</v>
          </cell>
          <cell r="F257">
            <v>255</v>
          </cell>
          <cell r="G257">
            <v>-0.50066542290182825</v>
          </cell>
        </row>
        <row r="258">
          <cell r="A258" t="str">
            <v>Loyola Chicago</v>
          </cell>
          <cell r="B258">
            <v>15.024806730033681</v>
          </cell>
          <cell r="C258">
            <v>-4.3447321029925297</v>
          </cell>
          <cell r="D258">
            <v>260</v>
          </cell>
          <cell r="E258">
            <v>-3.8604936321668744</v>
          </cell>
          <cell r="F258">
            <v>256</v>
          </cell>
          <cell r="G258">
            <v>-0.51180670084375079</v>
          </cell>
        </row>
        <row r="259">
          <cell r="A259" t="str">
            <v>Oral Roberts</v>
          </cell>
          <cell r="B259">
            <v>-2.1033887741303108</v>
          </cell>
          <cell r="C259">
            <v>-3.9070085855560164</v>
          </cell>
          <cell r="D259">
            <v>254</v>
          </cell>
          <cell r="E259">
            <v>-3.8619180902703736</v>
          </cell>
          <cell r="F259">
            <v>257</v>
          </cell>
          <cell r="G259">
            <v>-0.51195947600968894</v>
          </cell>
        </row>
        <row r="260">
          <cell r="A260" t="str">
            <v>UNC Greensboro</v>
          </cell>
          <cell r="B260">
            <v>4.4980816898088696</v>
          </cell>
          <cell r="C260">
            <v>-4.2859892981864895</v>
          </cell>
          <cell r="D260">
            <v>259</v>
          </cell>
          <cell r="E260">
            <v>-4.0663875234866058</v>
          </cell>
          <cell r="F260">
            <v>258</v>
          </cell>
          <cell r="G260">
            <v>-0.53388911473486778</v>
          </cell>
        </row>
        <row r="261">
          <cell r="A261" t="str">
            <v>Southern Miss</v>
          </cell>
          <cell r="B261">
            <v>-4.4342206108279685</v>
          </cell>
          <cell r="C261">
            <v>-4.091183383429426</v>
          </cell>
          <cell r="D261">
            <v>257</v>
          </cell>
          <cell r="E261">
            <v>-4.0997593141143893</v>
          </cell>
          <cell r="F261">
            <v>259</v>
          </cell>
          <cell r="G261">
            <v>-0.53746828693957405</v>
          </cell>
        </row>
        <row r="262">
          <cell r="A262" t="str">
            <v>Morehead State</v>
          </cell>
          <cell r="B262">
            <v>-3.065989073727394</v>
          </cell>
          <cell r="C262">
            <v>-4.1713987804354486</v>
          </cell>
          <cell r="D262">
            <v>258</v>
          </cell>
          <cell r="E262">
            <v>-4.1437635377677466</v>
          </cell>
          <cell r="F262">
            <v>260</v>
          </cell>
          <cell r="G262">
            <v>-0.54218780277096768</v>
          </cell>
        </row>
        <row r="263">
          <cell r="A263" t="str">
            <v>SIU Edwardsville</v>
          </cell>
          <cell r="B263">
            <v>4.7016091695836062</v>
          </cell>
          <cell r="C263">
            <v>-4.3794286905290232</v>
          </cell>
          <cell r="D263">
            <v>261</v>
          </cell>
          <cell r="E263">
            <v>-4.1524027440262072</v>
          </cell>
          <cell r="F263">
            <v>261</v>
          </cell>
          <cell r="G263">
            <v>-0.54311436998025808</v>
          </cell>
        </row>
        <row r="264">
          <cell r="A264" t="str">
            <v>Ball State</v>
          </cell>
          <cell r="B264">
            <v>3.6347613551576479</v>
          </cell>
          <cell r="C264">
            <v>-4.5536495942740558</v>
          </cell>
          <cell r="D264">
            <v>262</v>
          </cell>
          <cell r="E264">
            <v>-4.3489393205382632</v>
          </cell>
          <cell r="F264">
            <v>262</v>
          </cell>
          <cell r="G264">
            <v>-0.56419319849461558</v>
          </cell>
        </row>
        <row r="265">
          <cell r="A265" t="str">
            <v>Princeton</v>
          </cell>
          <cell r="B265">
            <v>8.2694461687289547</v>
          </cell>
          <cell r="C265">
            <v>-4.6897201253130758</v>
          </cell>
          <cell r="D265">
            <v>263</v>
          </cell>
          <cell r="E265">
            <v>-4.3657409679620249</v>
          </cell>
          <cell r="F265">
            <v>263</v>
          </cell>
          <cell r="G265">
            <v>-0.56599519917606356</v>
          </cell>
        </row>
        <row r="266">
          <cell r="A266" t="str">
            <v>James Madison</v>
          </cell>
          <cell r="B266">
            <v>8.8451157148218069</v>
          </cell>
          <cell r="C266">
            <v>-4.8077538558455437</v>
          </cell>
          <cell r="D266">
            <v>264</v>
          </cell>
          <cell r="E266">
            <v>-4.4664321165788596</v>
          </cell>
          <cell r="F266">
            <v>264</v>
          </cell>
          <cell r="G266">
            <v>-0.57679446866714346</v>
          </cell>
        </row>
        <row r="267">
          <cell r="A267" t="str">
            <v>East Texas A&amp;M</v>
          </cell>
          <cell r="B267">
            <v>4.8856332906904045</v>
          </cell>
          <cell r="C267">
            <v>-4.810406328897721</v>
          </cell>
          <cell r="D267">
            <v>265</v>
          </cell>
          <cell r="E267">
            <v>-4.5680053384080175</v>
          </cell>
          <cell r="F267">
            <v>265</v>
          </cell>
          <cell r="G267">
            <v>-0.58768834176997675</v>
          </cell>
        </row>
        <row r="268">
          <cell r="A268" t="str">
            <v>Eastern Kentucky</v>
          </cell>
          <cell r="B268">
            <v>6.5461546417398955</v>
          </cell>
          <cell r="C268">
            <v>-4.956027974635548</v>
          </cell>
          <cell r="D268">
            <v>267</v>
          </cell>
          <cell r="E268">
            <v>-4.6684734092261619</v>
          </cell>
          <cell r="F268">
            <v>266</v>
          </cell>
          <cell r="G268">
            <v>-0.59846368584855891</v>
          </cell>
        </row>
        <row r="269">
          <cell r="A269" t="str">
            <v>East Carolina</v>
          </cell>
          <cell r="B269">
            <v>6.4240099894635714</v>
          </cell>
          <cell r="C269">
            <v>-4.9984024943155791</v>
          </cell>
          <cell r="D269">
            <v>269</v>
          </cell>
          <cell r="E269">
            <v>-4.7128421822211006</v>
          </cell>
          <cell r="F269">
            <v>267</v>
          </cell>
          <cell r="G269">
            <v>-0.6032223001174678</v>
          </cell>
        </row>
        <row r="270">
          <cell r="A270" t="str">
            <v>Hampton</v>
          </cell>
          <cell r="B270">
            <v>5.2323842532796263</v>
          </cell>
          <cell r="C270">
            <v>-4.9889093862371912</v>
          </cell>
          <cell r="D270">
            <v>268</v>
          </cell>
          <cell r="E270">
            <v>-4.7333770452492701</v>
          </cell>
          <cell r="F270">
            <v>268</v>
          </cell>
          <cell r="G270">
            <v>-0.60542469350407513</v>
          </cell>
        </row>
        <row r="271">
          <cell r="A271" t="str">
            <v>IU Indianapolis</v>
          </cell>
          <cell r="B271">
            <v>-0.74560873374708347</v>
          </cell>
          <cell r="C271">
            <v>-4.882742446618507</v>
          </cell>
          <cell r="D271">
            <v>266</v>
          </cell>
          <cell r="E271">
            <v>-4.7793141037967208</v>
          </cell>
          <cell r="F271">
            <v>269</v>
          </cell>
          <cell r="G271">
            <v>-0.61035150863823584</v>
          </cell>
        </row>
        <row r="272">
          <cell r="A272" t="str">
            <v>Drexel</v>
          </cell>
          <cell r="B272">
            <v>8.5961475241484617</v>
          </cell>
          <cell r="C272">
            <v>-5.2205657696400785</v>
          </cell>
          <cell r="D272">
            <v>271</v>
          </cell>
          <cell r="E272">
            <v>-4.875147937295365</v>
          </cell>
          <cell r="F272">
            <v>270</v>
          </cell>
          <cell r="G272">
            <v>-0.62062982414592194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-5.0364201438162057</v>
          </cell>
          <cell r="D273">
            <v>270</v>
          </cell>
          <cell r="E273">
            <v>-4.9311404024124919</v>
          </cell>
          <cell r="F273">
            <v>271</v>
          </cell>
          <cell r="G273">
            <v>-0.62663509599529532</v>
          </cell>
        </row>
        <row r="274">
          <cell r="A274" t="str">
            <v>South Dakota</v>
          </cell>
          <cell r="B274">
            <v>4.4454792532084602</v>
          </cell>
          <cell r="C274">
            <v>-5.2900389564385151</v>
          </cell>
          <cell r="D274">
            <v>273</v>
          </cell>
          <cell r="E274">
            <v>-5.0466510011973398</v>
          </cell>
          <cell r="F274">
            <v>272</v>
          </cell>
          <cell r="G274">
            <v>-0.63902377268127197</v>
          </cell>
        </row>
        <row r="275">
          <cell r="A275" t="str">
            <v>Bellarmine</v>
          </cell>
          <cell r="B275">
            <v>3.9185400106471415</v>
          </cell>
          <cell r="C275">
            <v>-5.2788435155245192</v>
          </cell>
          <cell r="D275">
            <v>272</v>
          </cell>
          <cell r="E275">
            <v>-5.0489089273702277</v>
          </cell>
          <cell r="F275">
            <v>273</v>
          </cell>
          <cell r="G275">
            <v>-0.63926593848796831</v>
          </cell>
        </row>
        <row r="276">
          <cell r="A276" t="str">
            <v>Texas State</v>
          </cell>
          <cell r="B276">
            <v>5.4098942948285957</v>
          </cell>
          <cell r="C276">
            <v>-5.3399228070427318</v>
          </cell>
          <cell r="D276">
            <v>274</v>
          </cell>
          <cell r="E276">
            <v>-5.071177379495948</v>
          </cell>
          <cell r="F276">
            <v>274</v>
          </cell>
          <cell r="G276">
            <v>-0.64165426178111085</v>
          </cell>
        </row>
        <row r="277">
          <cell r="A277" t="str">
            <v>Old Dominion</v>
          </cell>
          <cell r="B277">
            <v>1.8325836044662163</v>
          </cell>
          <cell r="C277">
            <v>-5.3757592869926345</v>
          </cell>
          <cell r="D277">
            <v>275</v>
          </cell>
          <cell r="E277">
            <v>-5.1955507147061626</v>
          </cell>
          <cell r="F277">
            <v>275</v>
          </cell>
          <cell r="G277">
            <v>-0.65499347960601284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-5.5388583830476925</v>
          </cell>
          <cell r="D278">
            <v>276</v>
          </cell>
          <cell r="E278">
            <v>-5.3079314642110162</v>
          </cell>
          <cell r="F278">
            <v>276</v>
          </cell>
          <cell r="G278">
            <v>-0.66704647548682006</v>
          </cell>
        </row>
        <row r="279">
          <cell r="A279" t="str">
            <v>Eastern Illinois</v>
          </cell>
          <cell r="B279">
            <v>-2.2167706150566584</v>
          </cell>
          <cell r="C279">
            <v>-5.5492235587087446</v>
          </cell>
          <cell r="D279">
            <v>277</v>
          </cell>
          <cell r="E279">
            <v>-5.4659122351174423</v>
          </cell>
          <cell r="F279">
            <v>277</v>
          </cell>
          <cell r="G279">
            <v>-0.68399013878655346</v>
          </cell>
        </row>
        <row r="280">
          <cell r="A280" t="str">
            <v>Navy</v>
          </cell>
          <cell r="B280">
            <v>7.3002255705591983</v>
          </cell>
          <cell r="C280">
            <v>-6.0155584211549593</v>
          </cell>
          <cell r="D280">
            <v>279</v>
          </cell>
          <cell r="E280">
            <v>-5.6826638213621052</v>
          </cell>
          <cell r="F280">
            <v>278</v>
          </cell>
          <cell r="G280">
            <v>-0.70723705596477127</v>
          </cell>
        </row>
        <row r="281">
          <cell r="A281" t="str">
            <v>Colgate</v>
          </cell>
          <cell r="B281">
            <v>8.5784130605395497</v>
          </cell>
          <cell r="C281">
            <v>-6.1345066901688003</v>
          </cell>
          <cell r="D281">
            <v>282</v>
          </cell>
          <cell r="E281">
            <v>-5.766683696401091</v>
          </cell>
          <cell r="F281">
            <v>279</v>
          </cell>
          <cell r="G281">
            <v>-0.71624830755557067</v>
          </cell>
        </row>
        <row r="282">
          <cell r="A282" t="str">
            <v>American University</v>
          </cell>
          <cell r="B282">
            <v>4.8701876704307425</v>
          </cell>
          <cell r="C282">
            <v>-6.044502475288299</v>
          </cell>
          <cell r="D282">
            <v>280</v>
          </cell>
          <cell r="E282">
            <v>-5.7716352216453224</v>
          </cell>
          <cell r="F282">
            <v>280</v>
          </cell>
          <cell r="G282">
            <v>-0.71677936570952838</v>
          </cell>
        </row>
        <row r="283">
          <cell r="A283" t="str">
            <v>Northern Illinois</v>
          </cell>
          <cell r="B283">
            <v>-3.0895367418586686</v>
          </cell>
          <cell r="C283">
            <v>-5.892842360214229</v>
          </cell>
          <cell r="D283">
            <v>278</v>
          </cell>
          <cell r="E283">
            <v>-5.8227597197553402</v>
          </cell>
          <cell r="F283">
            <v>281</v>
          </cell>
          <cell r="G283">
            <v>-0.72226254114520894</v>
          </cell>
        </row>
        <row r="284">
          <cell r="A284" t="str">
            <v>Houston Christian</v>
          </cell>
          <cell r="B284">
            <v>1.8325836044662163</v>
          </cell>
          <cell r="C284">
            <v>-6.0929588360127962</v>
          </cell>
          <cell r="D284">
            <v>281</v>
          </cell>
          <cell r="E284">
            <v>-5.8948202750008205</v>
          </cell>
          <cell r="F284">
            <v>282</v>
          </cell>
          <cell r="G284">
            <v>-0.72999113860846887</v>
          </cell>
        </row>
        <row r="285">
          <cell r="A285" t="str">
            <v>Coastal Carolina</v>
          </cell>
          <cell r="B285">
            <v>0.85877308709267797</v>
          </cell>
          <cell r="C285">
            <v>-6.1663553660720973</v>
          </cell>
          <cell r="D285">
            <v>283</v>
          </cell>
          <cell r="E285">
            <v>-5.9907271547429781</v>
          </cell>
          <cell r="F285">
            <v>283</v>
          </cell>
          <cell r="G285">
            <v>-0.74027728843009277</v>
          </cell>
        </row>
        <row r="286">
          <cell r="A286" t="str">
            <v>Delaware</v>
          </cell>
          <cell r="B286">
            <v>5.7926239410891469</v>
          </cell>
          <cell r="C286">
            <v>-6.3005410824707395</v>
          </cell>
          <cell r="D286">
            <v>285</v>
          </cell>
          <cell r="E286">
            <v>-5.9982119568817422</v>
          </cell>
          <cell r="F286">
            <v>284</v>
          </cell>
          <cell r="G286">
            <v>-0.74108004414888495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-6.1837991559069927</v>
          </cell>
          <cell r="D287">
            <v>284</v>
          </cell>
          <cell r="E287">
            <v>-6.0062647195937551</v>
          </cell>
          <cell r="F287">
            <v>285</v>
          </cell>
          <cell r="G287">
            <v>-0.74194371445029028</v>
          </cell>
        </row>
        <row r="288">
          <cell r="A288" t="str">
            <v>Little Rock</v>
          </cell>
          <cell r="B288">
            <v>3.6928467732351073</v>
          </cell>
          <cell r="C288">
            <v>-6.3844640107357469</v>
          </cell>
          <cell r="D288">
            <v>287</v>
          </cell>
          <cell r="E288">
            <v>-6.1325312411364754</v>
          </cell>
          <cell r="F288">
            <v>286</v>
          </cell>
          <cell r="G288">
            <v>-0.7554859792131049</v>
          </cell>
        </row>
        <row r="289">
          <cell r="A289" t="str">
            <v>Tennessee Tech</v>
          </cell>
          <cell r="B289">
            <v>0.86894268247047002</v>
          </cell>
          <cell r="C289">
            <v>-6.3337119837322664</v>
          </cell>
          <cell r="D289">
            <v>286</v>
          </cell>
          <cell r="E289">
            <v>-6.1536456170771983</v>
          </cell>
          <cell r="F289">
            <v>287</v>
          </cell>
          <cell r="G289">
            <v>-0.75775052618721417</v>
          </cell>
        </row>
        <row r="290">
          <cell r="A290" t="str">
            <v>Jacksonville</v>
          </cell>
          <cell r="B290">
            <v>5.9439659336500501</v>
          </cell>
          <cell r="C290">
            <v>-6.4694779173808659</v>
          </cell>
          <cell r="D290">
            <v>289</v>
          </cell>
          <cell r="E290">
            <v>-6.1591418211050932</v>
          </cell>
          <cell r="F290">
            <v>288</v>
          </cell>
          <cell r="G290">
            <v>-0.75834000191860207</v>
          </cell>
        </row>
        <row r="291">
          <cell r="A291" t="str">
            <v>Cleveland State</v>
          </cell>
          <cell r="B291">
            <v>3.552663213005014</v>
          </cell>
          <cell r="C291">
            <v>-6.4649208146005419</v>
          </cell>
          <cell r="D291">
            <v>288</v>
          </cell>
          <cell r="E291">
            <v>-6.2144812139104033</v>
          </cell>
          <cell r="F291">
            <v>289</v>
          </cell>
          <cell r="G291">
            <v>-0.76427523082984883</v>
          </cell>
        </row>
        <row r="292">
          <cell r="A292" t="str">
            <v>Northeastern</v>
          </cell>
          <cell r="B292">
            <v>6.431044722121281</v>
          </cell>
          <cell r="C292">
            <v>-6.7479094182361568</v>
          </cell>
          <cell r="D292">
            <v>290</v>
          </cell>
          <cell r="E292">
            <v>-6.4184355647272202</v>
          </cell>
          <cell r="F292">
            <v>290</v>
          </cell>
          <cell r="G292">
            <v>-0.78614962623207607</v>
          </cell>
        </row>
        <row r="293">
          <cell r="A293" t="str">
            <v>SE Louisiana</v>
          </cell>
          <cell r="B293">
            <v>4.51471306531253</v>
          </cell>
          <cell r="C293">
            <v>-7.0645716301208994</v>
          </cell>
          <cell r="D293">
            <v>291</v>
          </cell>
          <cell r="E293">
            <v>-6.7750895127350637</v>
          </cell>
          <cell r="F293">
            <v>291</v>
          </cell>
          <cell r="G293">
            <v>-0.82440127151075915</v>
          </cell>
        </row>
        <row r="294">
          <cell r="A294" t="str">
            <v>Howard</v>
          </cell>
          <cell r="B294">
            <v>1.29155653018701</v>
          </cell>
          <cell r="C294">
            <v>-7.4342085587322773</v>
          </cell>
          <cell r="D294">
            <v>292</v>
          </cell>
          <cell r="E294">
            <v>-7.2160644315092952</v>
          </cell>
          <cell r="F294">
            <v>292</v>
          </cell>
          <cell r="G294">
            <v>-0.87169646132701495</v>
          </cell>
        </row>
        <row r="295">
          <cell r="A295" t="str">
            <v>Southern</v>
          </cell>
          <cell r="B295">
            <v>6.1234177691279479</v>
          </cell>
          <cell r="C295">
            <v>-7.6014098388280926</v>
          </cell>
          <cell r="D295">
            <v>294</v>
          </cell>
          <cell r="E295">
            <v>-7.2582891486291912</v>
          </cell>
          <cell r="F295">
            <v>293</v>
          </cell>
          <cell r="G295">
            <v>-0.87622512254129514</v>
          </cell>
        </row>
        <row r="296">
          <cell r="A296" t="str">
            <v>CSU Bakersfield</v>
          </cell>
          <cell r="B296">
            <v>2.5410484218929725</v>
          </cell>
          <cell r="C296">
            <v>-7.563161106653614</v>
          </cell>
          <cell r="D296">
            <v>293</v>
          </cell>
          <cell r="E296">
            <v>-7.3105558684399492</v>
          </cell>
          <cell r="F296">
            <v>294</v>
          </cell>
          <cell r="G296">
            <v>-0.88183080288564242</v>
          </cell>
        </row>
        <row r="297">
          <cell r="A297" t="str">
            <v>The Citadel</v>
          </cell>
          <cell r="B297">
            <v>-4.3037084260011351</v>
          </cell>
          <cell r="C297">
            <v>-7.6118317084886797</v>
          </cell>
          <cell r="D297">
            <v>295</v>
          </cell>
          <cell r="E297">
            <v>-7.5291286264264903</v>
          </cell>
          <cell r="F297">
            <v>295</v>
          </cell>
          <cell r="G297">
            <v>-0.90527304333408054</v>
          </cell>
        </row>
        <row r="298">
          <cell r="A298" t="str">
            <v>UMBC</v>
          </cell>
          <cell r="B298">
            <v>3.041554422080345</v>
          </cell>
          <cell r="C298">
            <v>-8.9822237213089444</v>
          </cell>
          <cell r="D298">
            <v>301</v>
          </cell>
          <cell r="E298">
            <v>-7.6816292677242117</v>
          </cell>
          <cell r="F298">
            <v>296</v>
          </cell>
          <cell r="G298">
            <v>-0.92162895490684071</v>
          </cell>
        </row>
        <row r="299">
          <cell r="A299" t="str">
            <v>Vermont</v>
          </cell>
          <cell r="B299">
            <v>6.6626892702945142</v>
          </cell>
          <cell r="C299">
            <v>-8.6715044971427222</v>
          </cell>
          <cell r="D299">
            <v>299</v>
          </cell>
          <cell r="E299">
            <v>-8.2881496529567915</v>
          </cell>
          <cell r="F299">
            <v>297</v>
          </cell>
          <cell r="G299">
            <v>-0.98667913242428307</v>
          </cell>
        </row>
        <row r="300">
          <cell r="A300" t="str">
            <v>Air Force</v>
          </cell>
          <cell r="B300">
            <v>4.2467002733750787</v>
          </cell>
          <cell r="C300">
            <v>-8.6164189225390153</v>
          </cell>
          <cell r="D300">
            <v>298</v>
          </cell>
          <cell r="E300">
            <v>-8.294840942641164</v>
          </cell>
          <cell r="F300">
            <v>298</v>
          </cell>
          <cell r="G300">
            <v>-0.98739678279908805</v>
          </cell>
        </row>
        <row r="301">
          <cell r="A301" t="str">
            <v>Le Moyne</v>
          </cell>
          <cell r="B301">
            <v>2.9215894335795198</v>
          </cell>
          <cell r="C301">
            <v>-8.6096619085969373</v>
          </cell>
          <cell r="D301">
            <v>297</v>
          </cell>
          <cell r="E301">
            <v>-8.3213806250425257</v>
          </cell>
          <cell r="F301">
            <v>299</v>
          </cell>
          <cell r="G301">
            <v>-0.99024320163924484</v>
          </cell>
        </row>
        <row r="302">
          <cell r="A302" t="str">
            <v>West Georgia</v>
          </cell>
          <cell r="B302">
            <v>1.3899251097547758</v>
          </cell>
          <cell r="C302">
            <v>-8.5987119919664128</v>
          </cell>
          <cell r="D302">
            <v>296</v>
          </cell>
          <cell r="E302">
            <v>-8.3489960644233836</v>
          </cell>
          <cell r="F302">
            <v>300</v>
          </cell>
          <cell r="G302">
            <v>-0.99320499695179332</v>
          </cell>
        </row>
        <row r="303">
          <cell r="A303" t="str">
            <v>Albany</v>
          </cell>
          <cell r="B303">
            <v>4.3879801597093353</v>
          </cell>
          <cell r="C303">
            <v>-8.9203033101351128</v>
          </cell>
          <cell r="D303">
            <v>300</v>
          </cell>
          <cell r="E303">
            <v>-8.5875962233890011</v>
          </cell>
          <cell r="F303">
            <v>301</v>
          </cell>
          <cell r="G303">
            <v>-1.0187952047573423</v>
          </cell>
        </row>
        <row r="304">
          <cell r="A304" t="str">
            <v>Marist</v>
          </cell>
          <cell r="B304">
            <v>8.0528738547149157</v>
          </cell>
          <cell r="C304">
            <v>-9.1096288144822193</v>
          </cell>
          <cell r="D304">
            <v>302</v>
          </cell>
          <cell r="E304">
            <v>-8.6805662477522905</v>
          </cell>
          <cell r="F304">
            <v>302</v>
          </cell>
          <cell r="G304">
            <v>-1.0287663726453167</v>
          </cell>
        </row>
        <row r="305">
          <cell r="A305" t="str">
            <v>UTSA</v>
          </cell>
          <cell r="B305">
            <v>7.437046694316864</v>
          </cell>
          <cell r="C305">
            <v>-9.1976452631555468</v>
          </cell>
          <cell r="D305">
            <v>305</v>
          </cell>
          <cell r="E305">
            <v>-8.7817779642187368</v>
          </cell>
          <cell r="F305">
            <v>303</v>
          </cell>
          <cell r="G305">
            <v>-1.0396214737817158</v>
          </cell>
        </row>
        <row r="306">
          <cell r="A306" t="str">
            <v>Louisiana</v>
          </cell>
          <cell r="B306">
            <v>1.3462760774168561</v>
          </cell>
          <cell r="C306">
            <v>-9.1252706122710965</v>
          </cell>
          <cell r="D306">
            <v>303</v>
          </cell>
          <cell r="E306">
            <v>-8.863481945028898</v>
          </cell>
          <cell r="F306">
            <v>304</v>
          </cell>
          <cell r="G306">
            <v>-1.0483843424090324</v>
          </cell>
        </row>
        <row r="307">
          <cell r="A307" t="str">
            <v>Mercyhurst</v>
          </cell>
          <cell r="B307">
            <v>0.12893557395795002</v>
          </cell>
          <cell r="C307">
            <v>-9.1441524020689204</v>
          </cell>
          <cell r="D307">
            <v>304</v>
          </cell>
          <cell r="E307">
            <v>-8.9123252026682493</v>
          </cell>
          <cell r="F307">
            <v>305</v>
          </cell>
          <cell r="G307">
            <v>-1.0536228515462838</v>
          </cell>
        </row>
        <row r="308">
          <cell r="A308" t="str">
            <v>Georgia State</v>
          </cell>
          <cell r="B308">
            <v>4.2236427966317782</v>
          </cell>
          <cell r="C308">
            <v>-9.3137909214907264</v>
          </cell>
          <cell r="D308">
            <v>306</v>
          </cell>
          <cell r="E308">
            <v>-8.9753550785376639</v>
          </cell>
          <cell r="F308">
            <v>306</v>
          </cell>
          <cell r="G308">
            <v>-1.0603828957493084</v>
          </cell>
        </row>
        <row r="309">
          <cell r="A309" t="str">
            <v>Norfolk State</v>
          </cell>
          <cell r="B309">
            <v>5.436743031004343</v>
          </cell>
          <cell r="C309">
            <v>-9.7438372471462671</v>
          </cell>
          <cell r="D309">
            <v>307</v>
          </cell>
          <cell r="E309">
            <v>-9.3643227401925024</v>
          </cell>
          <cell r="F309">
            <v>307</v>
          </cell>
          <cell r="G309">
            <v>-1.102100232965417</v>
          </cell>
        </row>
        <row r="310">
          <cell r="A310" t="str">
            <v>Siena</v>
          </cell>
          <cell r="B310">
            <v>9.4070441913861114</v>
          </cell>
          <cell r="C310">
            <v>-9.9558356713254206</v>
          </cell>
          <cell r="D310">
            <v>309</v>
          </cell>
          <cell r="E310">
            <v>-9.4717636747576321</v>
          </cell>
          <cell r="F310">
            <v>308</v>
          </cell>
          <cell r="G310">
            <v>-1.1136234266391491</v>
          </cell>
        </row>
        <row r="311">
          <cell r="A311" t="str">
            <v>Saint Peter's</v>
          </cell>
          <cell r="B311">
            <v>4.0669347086210985</v>
          </cell>
          <cell r="C311">
            <v>-9.919236147101385</v>
          </cell>
          <cell r="D311">
            <v>308</v>
          </cell>
          <cell r="E311">
            <v>-9.5695818757083231</v>
          </cell>
          <cell r="F311">
            <v>309</v>
          </cell>
          <cell r="G311">
            <v>-1.1241145683900389</v>
          </cell>
        </row>
        <row r="312">
          <cell r="A312" t="str">
            <v>Quinnipiac</v>
          </cell>
          <cell r="B312">
            <v>5.6548105336735999</v>
          </cell>
          <cell r="C312">
            <v>-9.9620809505983825</v>
          </cell>
          <cell r="D312">
            <v>310</v>
          </cell>
          <cell r="E312">
            <v>-9.571658663491581</v>
          </cell>
          <cell r="F312">
            <v>310</v>
          </cell>
          <cell r="G312">
            <v>-1.1243373068457549</v>
          </cell>
        </row>
        <row r="313">
          <cell r="A313" t="str">
            <v>Merrimack</v>
          </cell>
          <cell r="B313">
            <v>7.051953563983175</v>
          </cell>
          <cell r="C313">
            <v>-10.121706867000922</v>
          </cell>
          <cell r="D313">
            <v>312</v>
          </cell>
          <cell r="E313">
            <v>-9.6923653562263183</v>
          </cell>
          <cell r="F313">
            <v>311</v>
          </cell>
          <cell r="G313">
            <v>-1.1372832720286514</v>
          </cell>
        </row>
        <row r="314">
          <cell r="A314" t="str">
            <v>Boston University</v>
          </cell>
          <cell r="B314">
            <v>7.3510399785875897</v>
          </cell>
          <cell r="C314">
            <v>-10.191759359707179</v>
          </cell>
          <cell r="D314">
            <v>313</v>
          </cell>
          <cell r="E314">
            <v>-9.753189376249809</v>
          </cell>
          <cell r="F314">
            <v>312</v>
          </cell>
          <cell r="G314">
            <v>-1.1438067350419108</v>
          </cell>
        </row>
        <row r="315">
          <cell r="A315" t="str">
            <v>North Florida</v>
          </cell>
          <cell r="B315">
            <v>2.865313312896669</v>
          </cell>
          <cell r="C315">
            <v>-10.119272776799315</v>
          </cell>
          <cell r="D315">
            <v>311</v>
          </cell>
          <cell r="E315">
            <v>-9.794658124556916</v>
          </cell>
          <cell r="F315">
            <v>313</v>
          </cell>
          <cell r="G315">
            <v>-1.1482543175213835</v>
          </cell>
        </row>
        <row r="316">
          <cell r="A316" t="str">
            <v>Lehigh Mountain</v>
          </cell>
          <cell r="B316">
            <v>3.6949409526490777</v>
          </cell>
          <cell r="C316">
            <v>-10.259181462133553</v>
          </cell>
          <cell r="D316">
            <v>314</v>
          </cell>
          <cell r="E316">
            <v>-9.9103284017639872</v>
          </cell>
          <cell r="F316">
            <v>314</v>
          </cell>
          <cell r="G316">
            <v>-1.1606601199461881</v>
          </cell>
        </row>
        <row r="317">
          <cell r="A317" t="str">
            <v>VMI</v>
          </cell>
          <cell r="B317">
            <v>2.3097739189960778</v>
          </cell>
          <cell r="C317">
            <v>-10.352734975458645</v>
          </cell>
          <cell r="D317">
            <v>316</v>
          </cell>
          <cell r="E317">
            <v>-10.036172253097277</v>
          </cell>
          <cell r="F317">
            <v>315</v>
          </cell>
          <cell r="G317">
            <v>-1.1741570527254055</v>
          </cell>
        </row>
        <row r="318">
          <cell r="A318" t="str">
            <v>Stetson</v>
          </cell>
          <cell r="B318">
            <v>-0.67774691316149105</v>
          </cell>
          <cell r="C318">
            <v>-10.290228691318859</v>
          </cell>
          <cell r="D318">
            <v>315</v>
          </cell>
          <cell r="E318">
            <v>-10.049916646864924</v>
          </cell>
          <cell r="F318">
            <v>316</v>
          </cell>
          <cell r="G318">
            <v>-1.1756311585860224</v>
          </cell>
        </row>
        <row r="319">
          <cell r="A319" t="str">
            <v>Southern Indiana</v>
          </cell>
          <cell r="B319">
            <v>3.1110757061181658</v>
          </cell>
          <cell r="C319">
            <v>-10.520601043643216</v>
          </cell>
          <cell r="D319">
            <v>317</v>
          </cell>
          <cell r="E319">
            <v>-10.179809124899181</v>
          </cell>
          <cell r="F319">
            <v>317</v>
          </cell>
          <cell r="G319">
            <v>-1.1895623123609591</v>
          </cell>
        </row>
        <row r="320">
          <cell r="A320" t="str">
            <v>Fairfield</v>
          </cell>
          <cell r="B320">
            <v>2.7841993056044969</v>
          </cell>
          <cell r="C320">
            <v>-10.666017456562498</v>
          </cell>
          <cell r="D320">
            <v>318</v>
          </cell>
          <cell r="E320">
            <v>-10.329762037508322</v>
          </cell>
          <cell r="F320">
            <v>318</v>
          </cell>
          <cell r="G320">
            <v>-1.2056449763933339</v>
          </cell>
        </row>
        <row r="321">
          <cell r="A321" t="str">
            <v>Kansas City</v>
          </cell>
          <cell r="B321">
            <v>0.25734278902593138</v>
          </cell>
          <cell r="C321">
            <v>-10.692149396296404</v>
          </cell>
          <cell r="D321">
            <v>319</v>
          </cell>
          <cell r="E321">
            <v>-10.418412091663347</v>
          </cell>
          <cell r="F321">
            <v>319</v>
          </cell>
          <cell r="G321">
            <v>-1.2151528213069125</v>
          </cell>
        </row>
        <row r="322">
          <cell r="A322" t="str">
            <v>Central Connecticut</v>
          </cell>
          <cell r="B322">
            <v>6.4606220782581207</v>
          </cell>
          <cell r="C322">
            <v>-11.059784241131229</v>
          </cell>
          <cell r="D322">
            <v>320</v>
          </cell>
          <cell r="E322">
            <v>-10.621774083146494</v>
          </cell>
          <cell r="F322">
            <v>320</v>
          </cell>
          <cell r="G322">
            <v>-1.2369636853246264</v>
          </cell>
        </row>
        <row r="323">
          <cell r="A323" t="str">
            <v>UMass Lowell</v>
          </cell>
          <cell r="B323">
            <v>2.5368504732789625</v>
          </cell>
          <cell r="C323">
            <v>-11.060213443972033</v>
          </cell>
          <cell r="D323">
            <v>321</v>
          </cell>
          <cell r="E323">
            <v>-10.720286846040757</v>
          </cell>
          <cell r="F323">
            <v>321</v>
          </cell>
          <cell r="G323">
            <v>-1.2475293198359021</v>
          </cell>
        </row>
        <row r="324">
          <cell r="A324" t="str">
            <v>Iona</v>
          </cell>
          <cell r="B324">
            <v>6.0918722633607372</v>
          </cell>
          <cell r="C324">
            <v>-11.163487759637459</v>
          </cell>
          <cell r="D324">
            <v>322</v>
          </cell>
          <cell r="E324">
            <v>-10.732103759062504</v>
          </cell>
          <cell r="F324">
            <v>322</v>
          </cell>
          <cell r="G324">
            <v>-1.2487967006337923</v>
          </cell>
        </row>
        <row r="325">
          <cell r="A325" t="str">
            <v>Wagner</v>
          </cell>
          <cell r="B325">
            <v>-3.2143612197228788</v>
          </cell>
          <cell r="C325">
            <v>-11.193684681179041</v>
          </cell>
          <cell r="D325">
            <v>323</v>
          </cell>
          <cell r="E325">
            <v>-10.994201594642638</v>
          </cell>
          <cell r="F325">
            <v>323</v>
          </cell>
          <cell r="G325">
            <v>-1.2769070678144225</v>
          </cell>
        </row>
        <row r="326">
          <cell r="A326" t="str">
            <v>Loyola (MD)</v>
          </cell>
          <cell r="B326">
            <v>4.7301769467469432</v>
          </cell>
          <cell r="C326">
            <v>-11.551015547812234</v>
          </cell>
          <cell r="D326">
            <v>324</v>
          </cell>
          <cell r="E326">
            <v>-11.143985735448254</v>
          </cell>
          <cell r="F326">
            <v>324</v>
          </cell>
          <cell r="G326">
            <v>-1.2929716308298382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-11.774656879862048</v>
          </cell>
          <cell r="D327">
            <v>325</v>
          </cell>
          <cell r="E327">
            <v>-11.471425536201773</v>
          </cell>
          <cell r="F327">
            <v>325</v>
          </cell>
          <cell r="G327">
            <v>-1.3280900170933509</v>
          </cell>
        </row>
        <row r="328">
          <cell r="A328" t="str">
            <v>North Alabama</v>
          </cell>
          <cell r="B328">
            <v>7.6133101191911416</v>
          </cell>
          <cell r="C328">
            <v>-12.088945369898122</v>
          </cell>
          <cell r="D328">
            <v>326</v>
          </cell>
          <cell r="E328">
            <v>-11.596388982670891</v>
          </cell>
          <cell r="F328">
            <v>326</v>
          </cell>
          <cell r="G328">
            <v>-1.341492525193537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-12.117927836426784</v>
          </cell>
          <cell r="D329">
            <v>327</v>
          </cell>
          <cell r="E329">
            <v>-11.804941541761107</v>
          </cell>
          <cell r="F329">
            <v>327</v>
          </cell>
          <cell r="G329">
            <v>-1.3638600850000109</v>
          </cell>
        </row>
        <row r="330">
          <cell r="A330" t="str">
            <v>Gardner-Webb</v>
          </cell>
          <cell r="B330">
            <v>3.34020568035772</v>
          </cell>
          <cell r="C330">
            <v>-12.218168844354617</v>
          </cell>
          <cell r="D330">
            <v>328</v>
          </cell>
          <cell r="E330">
            <v>-11.829209481236807</v>
          </cell>
          <cell r="F330">
            <v>328</v>
          </cell>
          <cell r="G330">
            <v>-1.366462856167004</v>
          </cell>
        </row>
        <row r="331">
          <cell r="A331" t="str">
            <v>Bethune-Cookman</v>
          </cell>
          <cell r="B331">
            <v>6.8601819199753917</v>
          </cell>
          <cell r="C331">
            <v>-12.552829963680356</v>
          </cell>
          <cell r="D331">
            <v>331</v>
          </cell>
          <cell r="E331">
            <v>-12.067504666588961</v>
          </cell>
          <cell r="F331">
            <v>329</v>
          </cell>
          <cell r="G331">
            <v>-1.3920203551169614</v>
          </cell>
        </row>
        <row r="332">
          <cell r="A332" t="str">
            <v>Western Illinois</v>
          </cell>
          <cell r="B332">
            <v>-2.5397040187127153</v>
          </cell>
          <cell r="C332">
            <v>-12.437979809080421</v>
          </cell>
          <cell r="D332">
            <v>329</v>
          </cell>
          <cell r="E332">
            <v>-12.190522914321228</v>
          </cell>
          <cell r="F332">
            <v>330</v>
          </cell>
          <cell r="G332">
            <v>-1.4052142378745871</v>
          </cell>
        </row>
        <row r="333">
          <cell r="A333" t="str">
            <v>Mount St. Mary's</v>
          </cell>
          <cell r="B333">
            <v>5.2742780940604961</v>
          </cell>
          <cell r="C333">
            <v>-12.68262145717077</v>
          </cell>
          <cell r="D333">
            <v>332</v>
          </cell>
          <cell r="E333">
            <v>-12.233698968389987</v>
          </cell>
          <cell r="F333">
            <v>331</v>
          </cell>
          <cell r="G333">
            <v>-1.4098449313352834</v>
          </cell>
        </row>
        <row r="334">
          <cell r="A334" t="str">
            <v>New Haven</v>
          </cell>
          <cell r="B334">
            <v>-5.2930000000000001</v>
          </cell>
          <cell r="C334">
            <v>-12.469326415573722</v>
          </cell>
          <cell r="D334">
            <v>330</v>
          </cell>
          <cell r="E334">
            <v>-12.289918255184379</v>
          </cell>
          <cell r="F334">
            <v>332</v>
          </cell>
          <cell r="G334">
            <v>-1.4158745301334783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-12.734962315333142</v>
          </cell>
          <cell r="D335">
            <v>333</v>
          </cell>
          <cell r="E335">
            <v>-12.344959659650815</v>
          </cell>
          <cell r="F335">
            <v>333</v>
          </cell>
          <cell r="G335">
            <v>-1.4217777993698093</v>
          </cell>
        </row>
        <row r="336">
          <cell r="A336" t="str">
            <v>Army</v>
          </cell>
          <cell r="B336">
            <v>0.66986875819249847</v>
          </cell>
          <cell r="C336">
            <v>-12.86488482965829</v>
          </cell>
          <cell r="D336">
            <v>335</v>
          </cell>
          <cell r="E336">
            <v>-12.526515989962022</v>
          </cell>
          <cell r="F336">
            <v>334</v>
          </cell>
          <cell r="G336">
            <v>-1.4412499750851078</v>
          </cell>
        </row>
        <row r="337">
          <cell r="A337" t="str">
            <v>Chicago State</v>
          </cell>
          <cell r="B337">
            <v>-0.49518354088141603</v>
          </cell>
          <cell r="C337">
            <v>-12.853375463104154</v>
          </cell>
          <cell r="D337">
            <v>334</v>
          </cell>
          <cell r="E337">
            <v>-12.544420665048586</v>
          </cell>
          <cell r="F337">
            <v>335</v>
          </cell>
          <cell r="G337">
            <v>-1.4431702770586787</v>
          </cell>
        </row>
        <row r="338">
          <cell r="A338" t="str">
            <v>NJIT</v>
          </cell>
          <cell r="B338">
            <v>-0.69529800022591692</v>
          </cell>
          <cell r="C338">
            <v>-13.016223051631201</v>
          </cell>
          <cell r="D338">
            <v>336</v>
          </cell>
          <cell r="E338">
            <v>-12.708199925346069</v>
          </cell>
          <cell r="F338">
            <v>336</v>
          </cell>
          <cell r="G338">
            <v>-1.4607358366267076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-13.021142412701693</v>
          </cell>
          <cell r="D339">
            <v>337</v>
          </cell>
          <cell r="E339">
            <v>-12.810703561644672</v>
          </cell>
          <cell r="F339">
            <v>337</v>
          </cell>
          <cell r="G339">
            <v>-1.471729498010159</v>
          </cell>
        </row>
        <row r="340">
          <cell r="A340" t="str">
            <v>Bucknell</v>
          </cell>
          <cell r="B340">
            <v>7.7294375300092817</v>
          </cell>
          <cell r="C340">
            <v>-13.491944716230217</v>
          </cell>
          <cell r="D340">
            <v>340</v>
          </cell>
          <cell r="E340">
            <v>-12.961410160074228</v>
          </cell>
          <cell r="F340">
            <v>338</v>
          </cell>
          <cell r="G340">
            <v>-1.4878929959231488</v>
          </cell>
        </row>
        <row r="341">
          <cell r="A341" t="str">
            <v>Lafayette</v>
          </cell>
          <cell r="B341">
            <v>4.7436684030150609</v>
          </cell>
          <cell r="C341">
            <v>-13.422161244275548</v>
          </cell>
          <cell r="D341">
            <v>339</v>
          </cell>
          <cell r="E341">
            <v>-12.968015503093282</v>
          </cell>
          <cell r="F341">
            <v>339</v>
          </cell>
          <cell r="G341">
            <v>-1.4886014283953537</v>
          </cell>
        </row>
        <row r="342">
          <cell r="A342" t="str">
            <v>Grambling</v>
          </cell>
          <cell r="B342">
            <v>1.3566321282868876</v>
          </cell>
          <cell r="C342">
            <v>-13.406380129554003</v>
          </cell>
          <cell r="D342">
            <v>338</v>
          </cell>
          <cell r="E342">
            <v>-13.037304823107981</v>
          </cell>
          <cell r="F342">
            <v>340</v>
          </cell>
          <cell r="G342">
            <v>-1.4960328069223765</v>
          </cell>
        </row>
        <row r="343">
          <cell r="A343" t="str">
            <v>St. Francis (PA)</v>
          </cell>
          <cell r="B343">
            <v>0.63558395070084839</v>
          </cell>
          <cell r="C343">
            <v>-13.500181153880002</v>
          </cell>
          <cell r="D343">
            <v>341</v>
          </cell>
          <cell r="E343">
            <v>-13.14678702626548</v>
          </cell>
          <cell r="F343">
            <v>341</v>
          </cell>
          <cell r="G343">
            <v>-1.5077749295678753</v>
          </cell>
        </row>
        <row r="344">
          <cell r="A344" t="str">
            <v>Alabama State</v>
          </cell>
          <cell r="B344">
            <v>3.1129567794137207</v>
          </cell>
          <cell r="C344">
            <v>-13.855365757196211</v>
          </cell>
          <cell r="D344">
            <v>343</v>
          </cell>
          <cell r="E344">
            <v>-13.431157693780962</v>
          </cell>
          <cell r="F344">
            <v>342</v>
          </cell>
          <cell r="G344">
            <v>-1.5382740897824856</v>
          </cell>
        </row>
        <row r="345">
          <cell r="A345" t="str">
            <v>Texas Southern</v>
          </cell>
          <cell r="B345">
            <v>1.0954485835368148</v>
          </cell>
          <cell r="C345">
            <v>-13.805517887160406</v>
          </cell>
          <cell r="D345">
            <v>342</v>
          </cell>
          <cell r="E345">
            <v>-13.432993725392976</v>
          </cell>
          <cell r="F345">
            <v>343</v>
          </cell>
          <cell r="G345">
            <v>-1.538471006795</v>
          </cell>
        </row>
        <row r="346">
          <cell r="A346" t="str">
            <v>Morgan State</v>
          </cell>
          <cell r="B346">
            <v>0.79234271298094627</v>
          </cell>
          <cell r="C346">
            <v>-13.8958097037907</v>
          </cell>
          <cell r="D346">
            <v>344</v>
          </cell>
          <cell r="E346">
            <v>-13.528605893371408</v>
          </cell>
          <cell r="F346">
            <v>344</v>
          </cell>
          <cell r="G346">
            <v>-1.5487255483590721</v>
          </cell>
        </row>
        <row r="347">
          <cell r="A347" t="str">
            <v>New Hampshire</v>
          </cell>
          <cell r="B347">
            <v>-2.3238898054954618</v>
          </cell>
          <cell r="C347">
            <v>-13.928624682236594</v>
          </cell>
          <cell r="D347">
            <v>345</v>
          </cell>
          <cell r="E347">
            <v>-13.638506310318064</v>
          </cell>
          <cell r="F347">
            <v>345</v>
          </cell>
          <cell r="G347">
            <v>-1.5605125250307292</v>
          </cell>
        </row>
        <row r="348">
          <cell r="A348" t="str">
            <v>Holy Cross</v>
          </cell>
          <cell r="B348">
            <v>3.9101987006149983</v>
          </cell>
          <cell r="C348">
            <v>-14.190787167665709</v>
          </cell>
          <cell r="D348">
            <v>347</v>
          </cell>
          <cell r="E348">
            <v>-13.738262520958692</v>
          </cell>
          <cell r="F348">
            <v>346</v>
          </cell>
          <cell r="G348">
            <v>-1.5712115210886306</v>
          </cell>
        </row>
        <row r="349">
          <cell r="A349" t="str">
            <v>Alabama A&amp;M</v>
          </cell>
          <cell r="B349">
            <v>-9.9882025662743068E-2</v>
          </cell>
          <cell r="C349">
            <v>-14.120790603004338</v>
          </cell>
          <cell r="D349">
            <v>346</v>
          </cell>
          <cell r="E349">
            <v>-13.770267888570798</v>
          </cell>
          <cell r="F349">
            <v>347</v>
          </cell>
          <cell r="G349">
            <v>-1.5746441424734505</v>
          </cell>
        </row>
        <row r="350">
          <cell r="A350" t="str">
            <v>Stonehill</v>
          </cell>
          <cell r="B350">
            <v>4.0222593156715423</v>
          </cell>
          <cell r="C350">
            <v>-14.84536714084536</v>
          </cell>
          <cell r="D350">
            <v>348</v>
          </cell>
          <cell r="E350">
            <v>-14.373676479432438</v>
          </cell>
          <cell r="F350">
            <v>348</v>
          </cell>
          <cell r="G350">
            <v>-1.6393605756005047</v>
          </cell>
        </row>
        <row r="351">
          <cell r="A351" t="str">
            <v>Sacred Heart</v>
          </cell>
          <cell r="B351">
            <v>9.1931430242842236</v>
          </cell>
          <cell r="C351">
            <v>-15.065805405030648</v>
          </cell>
          <cell r="D351">
            <v>350</v>
          </cell>
          <cell r="E351">
            <v>-14.459331694297775</v>
          </cell>
          <cell r="F351">
            <v>349</v>
          </cell>
          <cell r="G351">
            <v>-1.6485472197231885</v>
          </cell>
        </row>
        <row r="352">
          <cell r="A352" t="str">
            <v>Florida A&amp;M</v>
          </cell>
          <cell r="B352">
            <v>3.0005176972413556</v>
          </cell>
          <cell r="C352">
            <v>-14.996423992548719</v>
          </cell>
          <cell r="D352">
            <v>349</v>
          </cell>
          <cell r="E352">
            <v>-14.546500450303967</v>
          </cell>
          <cell r="F352">
            <v>350</v>
          </cell>
          <cell r="G352">
            <v>-1.6578961932947907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-15.209456925872791</v>
          </cell>
          <cell r="D353">
            <v>351</v>
          </cell>
          <cell r="E353">
            <v>-14.720325264799122</v>
          </cell>
          <cell r="F353">
            <v>351</v>
          </cell>
          <cell r="G353">
            <v>-1.6765391528970641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-15.421621174732085</v>
          </cell>
          <cell r="D354">
            <v>352</v>
          </cell>
          <cell r="E354">
            <v>-15.222618286535507</v>
          </cell>
          <cell r="F354">
            <v>352</v>
          </cell>
          <cell r="G354">
            <v>-1.7304107968273748</v>
          </cell>
        </row>
        <row r="355">
          <cell r="A355" t="str">
            <v>Bryant</v>
          </cell>
          <cell r="B355">
            <v>4.5913220131176402</v>
          </cell>
          <cell r="C355">
            <v>-15.808001830761757</v>
          </cell>
          <cell r="D355">
            <v>353</v>
          </cell>
          <cell r="E355">
            <v>-15.298018734664771</v>
          </cell>
          <cell r="F355">
            <v>353</v>
          </cell>
          <cell r="G355">
            <v>-1.738497602572284</v>
          </cell>
        </row>
        <row r="356">
          <cell r="A356" t="str">
            <v>Maine</v>
          </cell>
          <cell r="B356">
            <v>4.6720520639147853</v>
          </cell>
          <cell r="C356">
            <v>-16.087140834311853</v>
          </cell>
          <cell r="D356">
            <v>354</v>
          </cell>
          <cell r="E356">
            <v>-15.568161011856187</v>
          </cell>
          <cell r="F356">
            <v>354</v>
          </cell>
          <cell r="G356">
            <v>-1.7674707476043823</v>
          </cell>
        </row>
        <row r="357">
          <cell r="A357" t="str">
            <v>Manhatten</v>
          </cell>
          <cell r="B357">
            <v>7.2105478827849216</v>
          </cell>
          <cell r="C357">
            <v>-16.287460335866456</v>
          </cell>
          <cell r="D357">
            <v>356</v>
          </cell>
          <cell r="E357">
            <v>-15.700010130400171</v>
          </cell>
          <cell r="F357">
            <v>355</v>
          </cell>
          <cell r="G357">
            <v>-1.7816117538683609</v>
          </cell>
        </row>
        <row r="358">
          <cell r="A358" t="str">
            <v>UL Monroe</v>
          </cell>
          <cell r="B358">
            <v>-1.7780745876225708</v>
          </cell>
          <cell r="C358">
            <v>-16.278319851199743</v>
          </cell>
          <cell r="D358">
            <v>355</v>
          </cell>
          <cell r="E358">
            <v>-15.915813719610314</v>
          </cell>
          <cell r="F358">
            <v>356</v>
          </cell>
          <cell r="G358">
            <v>-1.8047569970107458</v>
          </cell>
        </row>
        <row r="359">
          <cell r="A359" t="str">
            <v>Canisius</v>
          </cell>
          <cell r="B359">
            <v>1.1369916175008097</v>
          </cell>
          <cell r="C359">
            <v>-17.087399687059659</v>
          </cell>
          <cell r="D359">
            <v>357</v>
          </cell>
          <cell r="E359">
            <v>-16.631789904445647</v>
          </cell>
          <cell r="F359">
            <v>357</v>
          </cell>
          <cell r="G359">
            <v>-1.8815464653547316</v>
          </cell>
        </row>
        <row r="360">
          <cell r="A360" t="str">
            <v>Niagara</v>
          </cell>
          <cell r="B360">
            <v>1.7378405053987651</v>
          </cell>
          <cell r="C360">
            <v>-17.246400094202411</v>
          </cell>
          <cell r="D360">
            <v>358</v>
          </cell>
          <cell r="E360">
            <v>-16.771794079212381</v>
          </cell>
          <cell r="F360">
            <v>358</v>
          </cell>
          <cell r="G360">
            <v>-1.8965621130452321</v>
          </cell>
        </row>
        <row r="361">
          <cell r="A361" t="str">
            <v>Rider</v>
          </cell>
          <cell r="B361">
            <v>3.9136887287158708</v>
          </cell>
          <cell r="C361">
            <v>-18.156331796934094</v>
          </cell>
          <cell r="D361">
            <v>359</v>
          </cell>
          <cell r="E361">
            <v>-17.604581283792847</v>
          </cell>
          <cell r="F361">
            <v>359</v>
          </cell>
          <cell r="G361">
            <v>-1.9858797300803799</v>
          </cell>
        </row>
        <row r="362">
          <cell r="A362" t="str">
            <v>Jackson State</v>
          </cell>
          <cell r="B362">
            <v>5.3578616105493566</v>
          </cell>
          <cell r="C362">
            <v>-18.479214865409268</v>
          </cell>
          <cell r="D362">
            <v>360</v>
          </cell>
          <cell r="E362">
            <v>-17.883287953510305</v>
          </cell>
          <cell r="F362">
            <v>360</v>
          </cell>
          <cell r="G362">
            <v>-2.0157714184421218</v>
          </cell>
        </row>
        <row r="363">
          <cell r="A363" t="str">
            <v>Delaware State</v>
          </cell>
          <cell r="B363">
            <v>1.6756310890303849</v>
          </cell>
          <cell r="C363">
            <v>-20.195297608359439</v>
          </cell>
          <cell r="D363">
            <v>361</v>
          </cell>
          <cell r="E363">
            <v>-19.648524390924692</v>
          </cell>
          <cell r="F363">
            <v>361</v>
          </cell>
          <cell r="G363">
            <v>-2.2050955473747877</v>
          </cell>
        </row>
        <row r="364">
          <cell r="A364" t="str">
            <v>Binghamton</v>
          </cell>
          <cell r="B364">
            <v>-0.20716602569142617</v>
          </cell>
          <cell r="C364">
            <v>-20.380160796648809</v>
          </cell>
          <cell r="D364">
            <v>362</v>
          </cell>
          <cell r="E364">
            <v>-19.875835927374872</v>
          </cell>
          <cell r="F364">
            <v>362</v>
          </cell>
          <cell r="G364">
            <v>-2.2294750342937255</v>
          </cell>
        </row>
        <row r="365">
          <cell r="A365" t="str">
            <v>Alcorn State</v>
          </cell>
          <cell r="B365">
            <v>0.85539572328334845</v>
          </cell>
          <cell r="C365">
            <v>-20.422359635403325</v>
          </cell>
          <cell r="D365">
            <v>364</v>
          </cell>
          <cell r="E365">
            <v>-19.890415751436159</v>
          </cell>
          <cell r="F365">
            <v>363</v>
          </cell>
          <cell r="G365">
            <v>-2.2310387412464543</v>
          </cell>
        </row>
        <row r="366">
          <cell r="A366" t="str">
            <v>Coppin State</v>
          </cell>
          <cell r="B366">
            <v>-3.5837178026593812</v>
          </cell>
          <cell r="C366">
            <v>-20.419047107508835</v>
          </cell>
          <cell r="D366">
            <v>363</v>
          </cell>
          <cell r="E366">
            <v>-19.998163874887599</v>
          </cell>
          <cell r="F366">
            <v>364</v>
          </cell>
          <cell r="G366">
            <v>-2.2425948813669545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-23.813634192219883</v>
          </cell>
          <cell r="D367">
            <v>365</v>
          </cell>
          <cell r="E367">
            <v>-23.573842906348382</v>
          </cell>
          <cell r="F367">
            <v>365</v>
          </cell>
          <cell r="G367">
            <v>-2.6260915640921798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L19"/>
  <sheetViews>
    <sheetView workbookViewId="0">
      <selection activeCell="I13" sqref="I13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2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  <c r="L1" s="1" t="s">
        <v>442</v>
      </c>
    </row>
    <row r="2" spans="1:12" x14ac:dyDescent="0.2">
      <c r="B2" s="6" t="e">
        <f>VLOOKUP(A2,[1]Games!$B$2:$K$398,2,FALSE)</f>
        <v>#N/A</v>
      </c>
      <c r="C2" s="6" t="e">
        <f>VLOOKUP(A2,[1]Games!$B$2:$K$398,3,FALSE)</f>
        <v>#N/A</v>
      </c>
      <c r="D2" s="6" t="e">
        <f>B2</f>
        <v>#N/A</v>
      </c>
      <c r="E2" s="5" t="e">
        <f>VLOOKUP(A2,[1]Games!$B$2:$K$398,4,FALSE)</f>
        <v>#N/A</v>
      </c>
      <c r="F2" s="5" t="e">
        <f>-VLOOKUP(A2,[2]Games!$A$2:$X$298,24,FALSE)</f>
        <v>#N/A</v>
      </c>
      <c r="G2" s="7" t="e">
        <f>VLOOKUP(A2,[1]Games!$B$2:$K$398,9,FALSE)</f>
        <v>#N/A</v>
      </c>
      <c r="H2" s="7" t="e">
        <f>VLOOKUP(A2,[1]Games!$B$2:$K$398,7,FALSE)</f>
        <v>#N/A</v>
      </c>
      <c r="I2" s="7" t="e">
        <f>VLOOKUP(A2,[1]Games!$B$2:$K$398,8,FALSE)/4</f>
        <v>#N/A</v>
      </c>
      <c r="J2" s="8"/>
      <c r="K2" s="9">
        <f>IF(J2="Yes",(H2*1500)/100,0)</f>
        <v>0</v>
      </c>
      <c r="L2" s="1" t="s">
        <v>443</v>
      </c>
    </row>
    <row r="3" spans="1:12" x14ac:dyDescent="0.2">
      <c r="E3" s="10"/>
      <c r="F3" s="10"/>
      <c r="G3" s="11"/>
      <c r="H3" s="11"/>
      <c r="I3" s="11"/>
      <c r="J3" s="11"/>
      <c r="K3" s="10"/>
    </row>
    <row r="4" spans="1:12" x14ac:dyDescent="0.2">
      <c r="E4" s="10"/>
      <c r="F4" s="10"/>
      <c r="G4" s="11"/>
      <c r="H4" s="11"/>
      <c r="I4" s="11"/>
      <c r="J4" s="11"/>
      <c r="K4" s="10"/>
    </row>
    <row r="5" spans="1:12" x14ac:dyDescent="0.2">
      <c r="E5" s="10"/>
      <c r="F5" s="10"/>
      <c r="G5" s="11"/>
      <c r="H5" s="11"/>
      <c r="I5" s="11"/>
      <c r="J5" s="11"/>
      <c r="K5" s="10"/>
    </row>
    <row r="6" spans="1:12" x14ac:dyDescent="0.2">
      <c r="E6" s="10"/>
      <c r="F6" s="10"/>
      <c r="G6" s="11"/>
      <c r="H6" s="11"/>
      <c r="I6" s="11"/>
      <c r="J6" s="11"/>
      <c r="K6" s="10"/>
    </row>
    <row r="7" spans="1:12" x14ac:dyDescent="0.2">
      <c r="E7" s="10"/>
      <c r="F7" s="10"/>
      <c r="G7" s="11"/>
      <c r="H7" s="11"/>
      <c r="I7" s="11"/>
      <c r="J7" s="11"/>
      <c r="K7" s="10"/>
    </row>
    <row r="8" spans="1:12" x14ac:dyDescent="0.2">
      <c r="E8" s="10"/>
      <c r="F8" s="10"/>
      <c r="G8" s="11"/>
      <c r="H8" s="11"/>
      <c r="I8" s="11"/>
      <c r="J8" s="11"/>
      <c r="K8" s="10"/>
    </row>
    <row r="9" spans="1:12" x14ac:dyDescent="0.2">
      <c r="E9" s="10"/>
      <c r="F9" s="10"/>
      <c r="G9" s="11"/>
      <c r="H9" s="11"/>
      <c r="I9" s="11"/>
      <c r="J9" s="11"/>
      <c r="K9" s="10"/>
    </row>
    <row r="10" spans="1:12" x14ac:dyDescent="0.2">
      <c r="E10" s="10"/>
      <c r="F10" s="10"/>
      <c r="G10" s="11"/>
      <c r="H10" s="11"/>
      <c r="I10" s="11"/>
      <c r="J10" s="11"/>
      <c r="K10" s="10"/>
    </row>
    <row r="11" spans="1:12" x14ac:dyDescent="0.2">
      <c r="E11" s="10"/>
      <c r="F11" s="10"/>
      <c r="G11" s="11"/>
      <c r="H11" s="11"/>
      <c r="I11" s="11"/>
      <c r="J11" s="11"/>
      <c r="K11" s="10"/>
    </row>
    <row r="12" spans="1:12" x14ac:dyDescent="0.2">
      <c r="E12" s="10"/>
      <c r="F12" s="10"/>
      <c r="G12" s="11"/>
      <c r="H12" s="11"/>
      <c r="I12" s="11"/>
      <c r="J12" s="11"/>
      <c r="K12" s="10"/>
    </row>
    <row r="13" spans="1:12" x14ac:dyDescent="0.2">
      <c r="E13" s="10"/>
      <c r="F13" s="10"/>
      <c r="G13" s="11"/>
      <c r="H13" s="11"/>
      <c r="I13" s="11"/>
      <c r="J13" s="11"/>
      <c r="K13" s="10"/>
    </row>
    <row r="14" spans="1:12" x14ac:dyDescent="0.2">
      <c r="E14" s="10"/>
      <c r="F14" s="10"/>
      <c r="G14" s="11"/>
      <c r="H14" s="11"/>
      <c r="I14" s="11"/>
      <c r="J14" s="11"/>
      <c r="K14" s="10"/>
    </row>
    <row r="15" spans="1:12" x14ac:dyDescent="0.2">
      <c r="E15" s="10"/>
      <c r="F15" s="10"/>
      <c r="G15" s="11"/>
      <c r="H15" s="11"/>
      <c r="I15" s="11"/>
      <c r="J15" s="11"/>
      <c r="K15" s="10"/>
    </row>
    <row r="16" spans="1:12" x14ac:dyDescent="0.2">
      <c r="E16" s="10"/>
      <c r="F16" s="10"/>
      <c r="G16" s="11"/>
      <c r="H16" s="11"/>
      <c r="I16" s="11"/>
      <c r="J16" s="11"/>
      <c r="K16" s="10"/>
    </row>
    <row r="17" spans="5:11" x14ac:dyDescent="0.2">
      <c r="E17" s="10"/>
      <c r="F17" s="10"/>
      <c r="G17" s="11"/>
      <c r="H17" s="11"/>
      <c r="I17" s="11"/>
      <c r="J17" s="11"/>
      <c r="K17" s="10"/>
    </row>
    <row r="18" spans="5:11" x14ac:dyDescent="0.2">
      <c r="E18" s="10"/>
      <c r="F18" s="10"/>
      <c r="G18" s="11"/>
      <c r="H18" s="11"/>
      <c r="I18" s="11"/>
      <c r="J18" s="11"/>
      <c r="K18" s="10"/>
    </row>
    <row r="19" spans="5:11" x14ac:dyDescent="0.2">
      <c r="E19" s="10"/>
      <c r="F19" s="10"/>
      <c r="G19" s="11"/>
      <c r="H19" s="11"/>
      <c r="I19" s="11"/>
      <c r="J19" s="11"/>
      <c r="K19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17" sqref="C17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4</v>
      </c>
      <c r="B2" s="1">
        <f>COUNTIF($C$6:$C$150,"L")</f>
        <v>7</v>
      </c>
      <c r="C2" s="13">
        <f>SUM(F6:F13)/SUM(E6:E13)</f>
        <v>-0.60164936878897035</v>
      </c>
      <c r="D2" s="14">
        <f>AVERAGE(H6:H150)</f>
        <v>2.4502342779500797E-2</v>
      </c>
      <c r="E2" s="1">
        <f ca="1">COUNTIF(OFFSET($C$6,COUNTA($C$6:$C$1500)-10,0,10,1),"W")</f>
        <v>4</v>
      </c>
      <c r="F2" s="1">
        <f ca="1">COUNTIF(OFFSET($C$6,COUNTA($C$6:$C$1500)-10,0,10,1),"L")</f>
        <v>6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5">
        <f t="shared" ref="F6:F12" si="0">IF(C6="P",0,IF(C6="L",-E6,IF(K6&lt;0,E6*(100/-K6),E6*(K6/100)))/1)</f>
        <v>-0.94499999999999995</v>
      </c>
      <c r="G6" s="15">
        <f>F6</f>
        <v>-0.94499999999999995</v>
      </c>
      <c r="H6" s="11">
        <f t="shared" ref="H6:H12" si="1">((M6-P6)*3.55%)+(O6-L6)</f>
        <v>-1.9985536081552357E-2</v>
      </c>
      <c r="I6" s="11">
        <f>H6</f>
        <v>-1.9985536081552357E-2</v>
      </c>
      <c r="J6" s="1" t="s">
        <v>415</v>
      </c>
      <c r="K6" s="1">
        <v>-112</v>
      </c>
      <c r="L6" s="13">
        <f t="shared" ref="L6:L16" si="2">IF(K6&lt;0,K6/(K6-100),100/(K6+100))</f>
        <v>0.52830188679245282</v>
      </c>
      <c r="M6" s="1">
        <v>-14.5</v>
      </c>
      <c r="N6" s="1">
        <v>-111</v>
      </c>
      <c r="O6" s="13">
        <f t="shared" ref="O6:O16" si="3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5">
        <f t="shared" si="0"/>
        <v>-0.68979999999999997</v>
      </c>
      <c r="G7" s="15">
        <f>F7+G6</f>
        <v>-1.6347999999999998</v>
      </c>
      <c r="H7" s="11">
        <f t="shared" si="1"/>
        <v>5.3772693633062259E-3</v>
      </c>
      <c r="I7" s="11">
        <f>AVERAGE($H$6:H7)</f>
        <v>-7.3041333591230655E-3</v>
      </c>
      <c r="J7" s="1" t="s">
        <v>415</v>
      </c>
      <c r="K7" s="1">
        <v>-103</v>
      </c>
      <c r="L7" s="13">
        <f t="shared" si="2"/>
        <v>0.5073891625615764</v>
      </c>
      <c r="M7" s="1">
        <v>3</v>
      </c>
      <c r="N7" s="1">
        <v>-113</v>
      </c>
      <c r="O7" s="13">
        <f t="shared" si="3"/>
        <v>0.53051643192488263</v>
      </c>
      <c r="P7" s="1">
        <v>3.5</v>
      </c>
    </row>
    <row r="8" spans="1:16" x14ac:dyDescent="0.2">
      <c r="A8" s="1" t="s">
        <v>425</v>
      </c>
      <c r="B8" s="1">
        <f t="shared" ref="B8:B16" si="4">B7+1</f>
        <v>3</v>
      </c>
      <c r="C8" s="1" t="s">
        <v>388</v>
      </c>
      <c r="D8" s="1" t="s">
        <v>434</v>
      </c>
      <c r="E8" s="1">
        <v>0.74019999999999997</v>
      </c>
      <c r="F8" s="15">
        <f t="shared" si="0"/>
        <v>0.6729090909090909</v>
      </c>
      <c r="G8" s="15">
        <f>F8+G7</f>
        <v>-0.96189090909090891</v>
      </c>
      <c r="H8" s="11">
        <f t="shared" si="1"/>
        <v>0.10782963875205255</v>
      </c>
      <c r="I8" s="11">
        <f>AVERAGE($H$6:H8)</f>
        <v>3.1073790677935476E-2</v>
      </c>
      <c r="J8" s="1" t="s">
        <v>415</v>
      </c>
      <c r="K8" s="1">
        <v>-110</v>
      </c>
      <c r="L8" s="13">
        <f t="shared" si="2"/>
        <v>0.52380952380952384</v>
      </c>
      <c r="M8" s="1">
        <v>2.5</v>
      </c>
      <c r="N8" s="1">
        <v>-103</v>
      </c>
      <c r="O8" s="13">
        <f t="shared" si="3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5">
        <f t="shared" si="0"/>
        <v>0.61727272727272731</v>
      </c>
      <c r="G9" s="15">
        <f>F9+G8</f>
        <v>-0.3446181818181816</v>
      </c>
      <c r="H9" s="11">
        <f t="shared" si="1"/>
        <v>8.5035829865926608E-3</v>
      </c>
      <c r="I9" s="11">
        <f>AVERAGE($H$6:H9)</f>
        <v>2.5431238755099773E-2</v>
      </c>
      <c r="J9" s="1" t="s">
        <v>415</v>
      </c>
      <c r="K9" s="1">
        <v>-110</v>
      </c>
      <c r="L9" s="13">
        <f t="shared" si="2"/>
        <v>0.52380952380952384</v>
      </c>
      <c r="M9" s="1">
        <v>4.5</v>
      </c>
      <c r="N9" s="1">
        <v>-106</v>
      </c>
      <c r="O9" s="13">
        <f t="shared" si="3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5">
        <f t="shared" si="0"/>
        <v>-1.2898000000000001</v>
      </c>
      <c r="G10" s="15">
        <f>F10+G9</f>
        <v>-1.6344181818181815</v>
      </c>
      <c r="H10" s="11">
        <f t="shared" si="1"/>
        <v>-3.9992362982928985E-2</v>
      </c>
      <c r="I10" s="11">
        <f>AVERAGE($H$6:H10)</f>
        <v>1.2346518407494022E-2</v>
      </c>
      <c r="J10" s="1" t="s">
        <v>415</v>
      </c>
      <c r="K10" s="1">
        <v>-112</v>
      </c>
      <c r="L10" s="13">
        <f t="shared" si="2"/>
        <v>0.52830188679245282</v>
      </c>
      <c r="M10" s="1">
        <v>-6.5</v>
      </c>
      <c r="N10" s="1">
        <v>-110</v>
      </c>
      <c r="O10" s="13">
        <f t="shared" si="3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5">
        <f t="shared" si="0"/>
        <v>-0.68820000000000003</v>
      </c>
      <c r="G11" s="15">
        <f t="shared" ref="G11:G12" si="5">F11+G10</f>
        <v>-2.3226181818181817</v>
      </c>
      <c r="H11" s="11">
        <f t="shared" si="1"/>
        <v>9.1028423331054986E-2</v>
      </c>
      <c r="I11" s="11">
        <f>AVERAGE($H$6:H11)</f>
        <v>2.5460169228087515E-2</v>
      </c>
      <c r="J11" s="1" t="s">
        <v>415</v>
      </c>
      <c r="K11" s="1">
        <v>-109</v>
      </c>
      <c r="L11" s="13">
        <f t="shared" si="2"/>
        <v>0.52153110047846885</v>
      </c>
      <c r="M11" s="1">
        <v>1.5</v>
      </c>
      <c r="N11" s="1">
        <v>-110</v>
      </c>
      <c r="O11" s="13">
        <f t="shared" si="3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5">
        <f t="shared" si="0"/>
        <v>-0.69510000000000005</v>
      </c>
      <c r="G12" s="15">
        <f t="shared" si="5"/>
        <v>-3.0177181818181817</v>
      </c>
      <c r="H12" s="11">
        <f t="shared" si="1"/>
        <v>0.13975593655856822</v>
      </c>
      <c r="I12" s="11">
        <f>AVERAGE($H$6:H12)</f>
        <v>4.1788135989584758E-2</v>
      </c>
      <c r="J12" s="1" t="s">
        <v>415</v>
      </c>
      <c r="K12" s="1">
        <v>-109</v>
      </c>
      <c r="L12" s="13">
        <f t="shared" si="2"/>
        <v>0.52153110047846885</v>
      </c>
      <c r="M12" s="1">
        <v>1.5</v>
      </c>
      <c r="N12" s="1">
        <v>-116</v>
      </c>
      <c r="O12" s="13">
        <f t="shared" si="3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5">
        <f t="shared" ref="F13:F16" si="6">IF(C13="P",0,IF(C13="L",-E13,IF(K13&lt;0,E13*(100/-K13),E13*(K13/100)))/1)</f>
        <v>-1.0744</v>
      </c>
      <c r="G13" s="15">
        <f t="shared" ref="G13:G16" si="7">F13+G12</f>
        <v>-4.092118181818182</v>
      </c>
      <c r="H13" s="11">
        <f t="shared" ref="H13:H16" si="8">((M13-P13)*3.55%)+(O13-L13)</f>
        <v>-1.7749999999999998E-2</v>
      </c>
      <c r="I13" s="11">
        <f>AVERAGE($H$6:H13)</f>
        <v>3.4345868990886666E-2</v>
      </c>
      <c r="J13" s="1" t="s">
        <v>415</v>
      </c>
      <c r="K13" s="1">
        <v>-107</v>
      </c>
      <c r="L13" s="13">
        <f t="shared" si="2"/>
        <v>0.51690821256038644</v>
      </c>
      <c r="M13" s="1">
        <v>2</v>
      </c>
      <c r="N13" s="1">
        <v>-107</v>
      </c>
      <c r="O13" s="13">
        <f t="shared" si="3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5">
        <f t="shared" si="6"/>
        <v>0.96663636363636352</v>
      </c>
      <c r="G14" s="15">
        <f t="shared" si="7"/>
        <v>-3.1254818181818185</v>
      </c>
      <c r="H14" s="11">
        <f>((M14-P14)*3.55%)+(O14-L14)</f>
        <v>2.6650756564307886E-2</v>
      </c>
      <c r="I14" s="11">
        <f>AVERAGE($H$6:H14)</f>
        <v>3.3490856499044576E-2</v>
      </c>
      <c r="J14" s="1" t="s">
        <v>415</v>
      </c>
      <c r="K14" s="1">
        <v>-110</v>
      </c>
      <c r="L14" s="13">
        <f t="shared" si="2"/>
        <v>0.52380952380952384</v>
      </c>
      <c r="M14" s="1">
        <v>-6</v>
      </c>
      <c r="N14" s="1">
        <v>-114</v>
      </c>
      <c r="O14" s="13">
        <f t="shared" si="3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5">
        <f t="shared" si="6"/>
        <v>-0.82620000000000005</v>
      </c>
      <c r="G15" s="15">
        <f t="shared" si="7"/>
        <v>-3.9516818181818185</v>
      </c>
      <c r="H15" s="11">
        <f t="shared" si="8"/>
        <v>-3.3221576668945006E-2</v>
      </c>
      <c r="I15" s="11">
        <f>AVERAGE($H$6:H15)</f>
        <v>2.681961318224562E-2</v>
      </c>
      <c r="J15" s="1" t="s">
        <v>415</v>
      </c>
      <c r="K15" s="1">
        <v>-109</v>
      </c>
      <c r="L15" s="13">
        <f t="shared" si="2"/>
        <v>0.52153110047846885</v>
      </c>
      <c r="M15" s="1">
        <v>-9.5</v>
      </c>
      <c r="N15" s="1">
        <v>-110</v>
      </c>
      <c r="O15" s="13">
        <f t="shared" si="3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5">
        <f t="shared" si="6"/>
        <v>0.65636363636363637</v>
      </c>
      <c r="G16" s="15">
        <f t="shared" si="7"/>
        <v>-3.2953181818181823</v>
      </c>
      <c r="H16" s="11">
        <f t="shared" si="8"/>
        <v>1.3296387520525636E-3</v>
      </c>
      <c r="I16" s="11">
        <f>AVERAGE($H$6:H16)</f>
        <v>2.4502342779500797E-2</v>
      </c>
      <c r="J16" s="1" t="s">
        <v>415</v>
      </c>
      <c r="K16" s="1">
        <v>-110</v>
      </c>
      <c r="L16" s="13">
        <f t="shared" si="2"/>
        <v>0.52380952380952384</v>
      </c>
      <c r="M16" s="1">
        <v>-1.5</v>
      </c>
      <c r="N16" s="1">
        <v>-103</v>
      </c>
      <c r="O16" s="13">
        <f t="shared" si="3"/>
        <v>0.5073891625615764</v>
      </c>
      <c r="P16" s="1">
        <v>-2</v>
      </c>
    </row>
    <row r="17" spans="6:16" x14ac:dyDescent="0.2">
      <c r="F17" s="15"/>
      <c r="G17" s="15"/>
      <c r="H17" s="11"/>
      <c r="I17" s="11"/>
      <c r="J17" s="1"/>
      <c r="K17" s="1"/>
      <c r="L17" s="13"/>
      <c r="M17" s="1"/>
      <c r="N17" s="1"/>
      <c r="O17" s="13"/>
      <c r="P17" s="1"/>
    </row>
    <row r="18" spans="6:16" x14ac:dyDescent="0.2">
      <c r="F18" s="15"/>
      <c r="G18" s="15"/>
      <c r="H18" s="11"/>
      <c r="I18" s="11"/>
      <c r="J18" s="1"/>
      <c r="K18" s="1"/>
      <c r="L18" s="13"/>
      <c r="M18" s="1"/>
      <c r="N18" s="1"/>
      <c r="O18" s="13"/>
      <c r="P18" s="1"/>
    </row>
    <row r="19" spans="6:16" x14ac:dyDescent="0.2">
      <c r="F19" s="15"/>
      <c r="G19" s="15"/>
      <c r="H19" s="11"/>
      <c r="I19" s="11"/>
      <c r="J19" s="1"/>
      <c r="K19" s="1"/>
      <c r="L19" s="13"/>
      <c r="M19" s="1"/>
      <c r="N19" s="1"/>
      <c r="O19" s="13"/>
      <c r="P19" s="1"/>
    </row>
    <row r="20" spans="6:16" x14ac:dyDescent="0.2">
      <c r="F20" s="15"/>
      <c r="G20" s="15"/>
      <c r="H20" s="11"/>
      <c r="I20" s="11"/>
      <c r="J20" s="1"/>
      <c r="K20" s="1"/>
      <c r="L20" s="13"/>
      <c r="M20" s="1"/>
      <c r="N20" s="1"/>
      <c r="O20" s="13"/>
      <c r="P20" s="1"/>
    </row>
    <row r="21" spans="6:16" x14ac:dyDescent="0.2">
      <c r="F21" s="15"/>
      <c r="G21" s="15"/>
      <c r="H21" s="11"/>
      <c r="I21" s="11"/>
      <c r="J21" s="1"/>
      <c r="K21" s="1"/>
      <c r="L21" s="13"/>
      <c r="M21" s="1"/>
      <c r="N21" s="1"/>
      <c r="O21" s="13"/>
      <c r="P21" s="1"/>
    </row>
    <row r="22" spans="6:16" x14ac:dyDescent="0.2">
      <c r="F22" s="15"/>
      <c r="G22" s="15"/>
      <c r="H22" s="11"/>
      <c r="I22" s="11"/>
      <c r="J22" s="1"/>
      <c r="K22" s="1"/>
      <c r="L22" s="13"/>
      <c r="M22" s="1"/>
      <c r="N22" s="1"/>
      <c r="O22" s="13"/>
      <c r="P22" s="1"/>
    </row>
    <row r="23" spans="6:16" x14ac:dyDescent="0.2">
      <c r="F23" s="15"/>
      <c r="G23" s="15"/>
      <c r="H23" s="11"/>
      <c r="I23" s="11"/>
      <c r="J23" s="1"/>
      <c r="K23" s="1"/>
      <c r="L23" s="13"/>
      <c r="M23" s="1"/>
      <c r="N23" s="1"/>
      <c r="O23" s="13"/>
      <c r="P23" s="1"/>
    </row>
    <row r="24" spans="6:16" x14ac:dyDescent="0.2">
      <c r="F24" s="15"/>
      <c r="G24" s="15"/>
      <c r="H24" s="11"/>
      <c r="I24" s="11"/>
      <c r="J24" s="1"/>
      <c r="K24" s="1"/>
      <c r="L24" s="13"/>
      <c r="M24" s="1"/>
      <c r="N24" s="1"/>
      <c r="O24" s="13"/>
      <c r="P24" s="1"/>
    </row>
    <row r="25" spans="6:16" x14ac:dyDescent="0.2">
      <c r="F25" s="15"/>
      <c r="G25" s="15"/>
      <c r="H25" s="11"/>
      <c r="I25" s="11"/>
      <c r="J25" s="1"/>
      <c r="K25" s="1"/>
      <c r="L25" s="13"/>
      <c r="M25" s="1"/>
      <c r="N25" s="1"/>
      <c r="O25" s="13"/>
      <c r="P25" s="1"/>
    </row>
    <row r="26" spans="6:16" x14ac:dyDescent="0.2">
      <c r="F26" s="15"/>
      <c r="G26" s="15"/>
      <c r="H26" s="11"/>
      <c r="I26" s="11"/>
      <c r="J26" s="1"/>
      <c r="K26" s="1"/>
      <c r="L26" s="13"/>
      <c r="M26" s="1"/>
      <c r="N26" s="1"/>
      <c r="O26" s="13"/>
      <c r="P26" s="1"/>
    </row>
    <row r="27" spans="6:16" x14ac:dyDescent="0.2">
      <c r="F27" s="15"/>
      <c r="G27" s="15"/>
      <c r="H27" s="11"/>
      <c r="I27" s="11"/>
      <c r="J27" s="1"/>
      <c r="K27" s="1"/>
      <c r="L27" s="13"/>
      <c r="M27" s="1"/>
      <c r="N27" s="1"/>
      <c r="O27" s="13"/>
      <c r="P27" s="1"/>
    </row>
    <row r="28" spans="6:16" x14ac:dyDescent="0.2">
      <c r="F28" s="15"/>
      <c r="G28" s="15"/>
      <c r="H28" s="11"/>
      <c r="I28" s="11"/>
      <c r="J28" s="1"/>
      <c r="K28" s="1"/>
      <c r="L28" s="13"/>
      <c r="M28" s="1"/>
      <c r="N28" s="1"/>
      <c r="O28" s="13"/>
      <c r="P28" s="1"/>
    </row>
    <row r="29" spans="6:16" x14ac:dyDescent="0.2">
      <c r="F29" s="15"/>
      <c r="G29" s="15"/>
      <c r="H29" s="11"/>
      <c r="I29" s="11"/>
      <c r="J29" s="1"/>
      <c r="K29" s="1"/>
      <c r="L29" s="13"/>
      <c r="M29" s="1"/>
      <c r="N29" s="1"/>
      <c r="O29" s="13"/>
      <c r="P29" s="1"/>
    </row>
    <row r="30" spans="6:16" x14ac:dyDescent="0.2">
      <c r="F30" s="15"/>
      <c r="G30" s="15"/>
      <c r="H30" s="11"/>
      <c r="I30" s="11"/>
      <c r="J30" s="1"/>
      <c r="K30" s="1"/>
      <c r="L30" s="13"/>
      <c r="M30" s="1"/>
      <c r="N30" s="1"/>
      <c r="O30" s="13"/>
      <c r="P30" s="1"/>
    </row>
    <row r="31" spans="6:16" x14ac:dyDescent="0.2">
      <c r="F31" s="15"/>
      <c r="G31" s="15"/>
      <c r="H31" s="11"/>
      <c r="I31" s="11"/>
      <c r="J31" s="1"/>
      <c r="K31" s="1"/>
      <c r="L31" s="13"/>
      <c r="M31" s="1"/>
      <c r="N31" s="1"/>
      <c r="O31" s="13"/>
      <c r="P31" s="1"/>
    </row>
    <row r="32" spans="6:16" x14ac:dyDescent="0.2">
      <c r="F32" s="15"/>
      <c r="G32" s="15"/>
      <c r="H32" s="11"/>
      <c r="I32" s="11"/>
      <c r="J32" s="1"/>
      <c r="K32" s="1"/>
      <c r="L32" s="13"/>
      <c r="M32" s="1"/>
      <c r="N32" s="1"/>
      <c r="O32" s="13"/>
      <c r="P32" s="1"/>
    </row>
    <row r="33" spans="6:16" x14ac:dyDescent="0.2">
      <c r="F33" s="15"/>
      <c r="G33" s="15"/>
      <c r="H33" s="11"/>
      <c r="I33" s="11"/>
      <c r="J33" s="1"/>
      <c r="K33" s="1"/>
      <c r="L33" s="13"/>
      <c r="M33" s="1"/>
      <c r="N33" s="1"/>
      <c r="O33" s="13"/>
      <c r="P33" s="1"/>
    </row>
    <row r="34" spans="6:16" x14ac:dyDescent="0.2">
      <c r="F34" s="15"/>
      <c r="G34" s="15"/>
      <c r="H34" s="11"/>
      <c r="I34" s="11"/>
      <c r="J34" s="1"/>
      <c r="K34" s="1"/>
      <c r="L34" s="13"/>
      <c r="M34" s="1"/>
      <c r="N34" s="1"/>
      <c r="O34" s="13"/>
      <c r="P34" s="1"/>
    </row>
    <row r="35" spans="6:16" x14ac:dyDescent="0.2">
      <c r="F35" s="15"/>
      <c r="G35" s="15"/>
      <c r="H35" s="11"/>
      <c r="I35" s="11"/>
      <c r="J35" s="1"/>
      <c r="K35" s="1"/>
      <c r="L35" s="13"/>
      <c r="M35" s="1"/>
      <c r="N35" s="1"/>
      <c r="O35" s="13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5"/>
  <sheetViews>
    <sheetView workbookViewId="0">
      <selection activeCell="I10" sqref="I10"/>
    </sheetView>
  </sheetViews>
  <sheetFormatPr baseColWidth="10" defaultRowHeight="16" x14ac:dyDescent="0.2"/>
  <cols>
    <col min="1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475</v>
      </c>
      <c r="G2" s="1" t="s">
        <v>413</v>
      </c>
      <c r="H2" s="12" t="s">
        <v>416</v>
      </c>
      <c r="K2" s="1">
        <f>IF(J2="W",(D2/100)*E2,IF(J2="",0,-E2))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6000</v>
      </c>
      <c r="G3" s="1" t="s">
        <v>413</v>
      </c>
      <c r="H3" s="12" t="s">
        <v>417</v>
      </c>
      <c r="K3" s="1">
        <f t="shared" ref="K3:K5" si="0">IF(J3="W",(D3/100)*E3,IF(J3="",0,-E3))</f>
        <v>0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1800</v>
      </c>
      <c r="G4" s="1" t="s">
        <v>413</v>
      </c>
      <c r="H4" s="12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413</v>
      </c>
      <c r="H5" s="12" t="s">
        <v>417</v>
      </c>
      <c r="K5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2.374906378088915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2.4427346831240313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2.3860634248226917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2.3315303175211648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2.1502111235486088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2.143906315010315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2.1473685043186266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2.0364411684484489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2.0453513501822935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2.109734681404317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1.7311282388766018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2.0122599105258288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1.9213889289746828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2.1160664557016808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1.9758460838277705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1.8456789156035616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1.8364651719629081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1.6859480545783385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1.7306420774264573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1.7050769906273366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1.6491275897688296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1.7211046845780766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1.6121899227318626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1.5996319583409651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1.4608200972565963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1.6341399417225639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1.5900934996824778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1.5662553314477887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1.4160075341596905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1.5243037871893734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1.5129611168726278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1.4363021834994452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1.4819884633977598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1.3739060089926272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1.4012349696170687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1.3271904281967373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1.3334797732057642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1.2848157261092557</v>
      </c>
      <c r="C39" s="1">
        <f t="shared" si="0"/>
        <v>40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1.2531437340851304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1.2856654984678415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1.231815771797933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1.2107277333827458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1.2729552720632695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1.1722001723402886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1.2430427757716034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1.2617940839971844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1.3157101233234196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1.1281823361073529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1.1734261836755968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1.1826713862994798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1.0406076058347336</v>
      </c>
      <c r="C52" s="1">
        <f t="shared" si="0"/>
        <v>56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1.0252710047261573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1.2148752308501618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1.0651910207751212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1.0417914151390366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1.0847433841960661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1.0136285340491191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1.0422108942579202</v>
      </c>
      <c r="C59" s="1">
        <f t="shared" si="0"/>
        <v>54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1.0214687451455049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0.95237908070768207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0.93822773575143892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1.0114037024556306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1.0048388576909064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0.88564806627631754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0.90729831470944655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0.88201731882297485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0.86714200264272934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0.85380718366745101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0.9366204677240596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0.80613622140145991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0.98101470389464662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0.87220376463309468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0.85205361775740229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0.78042675583321808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0.79641187860490525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0.80403485562824517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0.87230346496363032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0.73168772327759546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0.70280930213441972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0.737002279045324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0.72860567991905312</v>
      </c>
      <c r="C82" s="1">
        <f t="shared" si="1"/>
        <v>82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0.87691156766204681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0.62663251627289718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0.65932373566636249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0.63302326069571224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0.72879576052535677</v>
      </c>
      <c r="C87" s="1">
        <f t="shared" si="1"/>
        <v>81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0.62369906094353422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0.69590256788972915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0.6892718005471149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0.62046638237551222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0.71369188674522754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0.64835429002392242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0.57626324999565492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0.68367518106106262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0.50547478416385683</v>
      </c>
      <c r="C96" s="1">
        <f t="shared" si="1"/>
        <v>107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0.56511439669373531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0.5425869865828632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0.50647471659344501</v>
      </c>
      <c r="C99" s="1">
        <f t="shared" si="1"/>
        <v>106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0.53133726976560003</v>
      </c>
      <c r="C100" s="1">
        <f t="shared" si="1"/>
        <v>101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0.56786713761456542</v>
      </c>
      <c r="C101" s="1">
        <f t="shared" si="1"/>
        <v>96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0.56915073488348444</v>
      </c>
      <c r="C102" s="1">
        <f t="shared" si="1"/>
        <v>95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0.53002446512078849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0.53074848376948291</v>
      </c>
      <c r="C104" s="1">
        <f t="shared" si="1"/>
        <v>102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0.49080925621649601</v>
      </c>
      <c r="C105" s="1">
        <f t="shared" si="1"/>
        <v>109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0.53934256160609961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0.54910036846134902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0.45283440939364894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0.40684022980108558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0.46929750801309505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0.44898524669121082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0.49002951586968513</v>
      </c>
      <c r="C112" s="1">
        <f t="shared" si="1"/>
        <v>110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0.48296113300728111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0.48191416878682641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0.46317143686583623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0.5173970286413927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0.47945400603013344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0.52775212900917789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0.4427689460047648</v>
      </c>
      <c r="C119" s="1">
        <f t="shared" si="1"/>
        <v>121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0.36760048544728408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0.37582004442755573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0.42740005876184384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0.38228350284611173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0.48938997719207139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0.48993626464441487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0.49917043198807076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0.45176887551069733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0.29086242004464374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0.38334834730994394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0.25250184275488102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0.37126240280302319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0.24288733741611931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0.40472174709307729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0.29933568237699409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0.27093969223941161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0.31249105779065378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0.33258722819094994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0.41054810370768774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0.31579128312427018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0.32355390347504892</v>
      </c>
      <c r="C140" s="1">
        <f t="shared" si="2"/>
        <v>136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0.23686158269073607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0.33817632374283435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0.32971753711607216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0.44172766529408669</v>
      </c>
      <c r="C144" s="1">
        <f t="shared" si="2"/>
        <v>122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0.3018525360036311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0.14351488134921958</v>
      </c>
      <c r="C146" s="1">
        <f t="shared" si="2"/>
        <v>162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0.27170174494227578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0.24344637781743497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0.22149815695294234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0.22553367747483496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0.16820514931695554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0.18579123822034721</v>
      </c>
      <c r="C152" s="1">
        <f t="shared" si="2"/>
        <v>154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0.32543325998728018</v>
      </c>
      <c r="C153" s="1">
        <f t="shared" si="2"/>
        <v>135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0.3217379813555491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0.18059351991023373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0.15722779588802774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0.12435287555454966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0.14511305503528124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0.17435872075024483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0.18595743578465049</v>
      </c>
      <c r="C160" s="1">
        <f t="shared" si="2"/>
        <v>153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0.23265263956235716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0.14067618436135196</v>
      </c>
      <c r="C162" s="1">
        <f t="shared" si="2"/>
        <v>163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2.9403922024735296E-2</v>
      </c>
      <c r="C163" s="1">
        <f t="shared" si="2"/>
        <v>178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5.8838413220408142E-2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0.1726462468419924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9.8206471237118925E-2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0.17415821415794699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0.24358833196203306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7.624069490358687E-2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8.11551297706323E-2</v>
      </c>
      <c r="C170" s="1">
        <f t="shared" si="2"/>
        <v>170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8.2367602883300778E-2</v>
      </c>
      <c r="C171" s="1">
        <f t="shared" si="2"/>
        <v>169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0.11461231563857774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-7.5922194985251947E-4</v>
      </c>
      <c r="C173" s="1">
        <f t="shared" si="2"/>
        <v>184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6.2777555443150515E-2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-5.9407174639656342E-2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5.4255721110254763E-2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-8.9583090790043909E-3</v>
      </c>
      <c r="C177" s="1">
        <f t="shared" si="2"/>
        <v>187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5.4082207078276136E-2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8.65416166923349E-2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4.3158885947052181E-2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-8.5403827664969605E-3</v>
      </c>
      <c r="C181" s="1">
        <f t="shared" si="2"/>
        <v>186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7.206179131966432E-4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0.13128293392634055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-5.9972993456580935E-2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-1.1429335259895481E-2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-6.2199022529467393E-3</v>
      </c>
      <c r="C186" s="1">
        <f t="shared" si="2"/>
        <v>185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1.6345424675851396E-2</v>
      </c>
      <c r="C187" s="1">
        <f t="shared" si="2"/>
        <v>179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-4.4300217017066087E-2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7.0998641607832605E-2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-4.7263426499680343E-2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-7.3789703422436972E-2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-5.9339262961658173E-2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-4.9241764138505492E-2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5.937460167045305E-3</v>
      </c>
      <c r="C194" s="1">
        <f t="shared" si="2"/>
        <v>181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4.3795391246332274E-3</v>
      </c>
      <c r="C195" s="1">
        <f t="shared" ref="C195:C258" si="3">RANK(B195,$B$2:$B$366)</f>
        <v>182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-0.17261429747520821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1.1644207541372763E-2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-0.13733412452524674</v>
      </c>
      <c r="C198" s="1">
        <f t="shared" si="3"/>
        <v>203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-0.13245152208493818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-0.12621550546911089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-0.14930108683246202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-0.1073451355730132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-0.210572009295586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-0.11146878219444642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-0.24997446597718445</v>
      </c>
      <c r="C205" s="1">
        <f t="shared" si="3"/>
        <v>220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-0.16773120853943146</v>
      </c>
      <c r="C206" s="1">
        <f t="shared" si="3"/>
        <v>206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-7.7001202110282108E-2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-0.16722917411577651</v>
      </c>
      <c r="C208" s="1">
        <f t="shared" si="3"/>
        <v>205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-0.2074383412309932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-0.21010195619870659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-0.24850708362436735</v>
      </c>
      <c r="C211" s="1">
        <f t="shared" si="3"/>
        <v>219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-0.13256759969815721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-0.22144329869887447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-0.18430194134067743</v>
      </c>
      <c r="C214" s="1">
        <f t="shared" si="3"/>
        <v>210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-0.22853079811958157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-0.24537209902666823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-0.26686972558596078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-0.17939762980807808</v>
      </c>
      <c r="C218" s="1">
        <f t="shared" si="3"/>
        <v>209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-0.28036843330269529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-0.17620724273244021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-0.2438446650295979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-0.13498289109576475</v>
      </c>
      <c r="C222" s="1">
        <f t="shared" si="3"/>
        <v>202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-0.23725576222710951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-0.26752700712331501</v>
      </c>
      <c r="C224" s="1">
        <f t="shared" si="3"/>
        <v>224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-0.25866017193182711</v>
      </c>
      <c r="C225" s="1">
        <f t="shared" si="3"/>
        <v>221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-0.26883652292129534</v>
      </c>
      <c r="C226" s="1">
        <f t="shared" si="3"/>
        <v>226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-0.31145947409236668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-0.28392543005944237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-0.27295361105514665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-0.37080199591229168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-0.26845483104804846</v>
      </c>
      <c r="C231" s="1">
        <f t="shared" si="3"/>
        <v>225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-0.3764238975024301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-0.38864837637166127</v>
      </c>
      <c r="C233" s="1">
        <f t="shared" si="3"/>
        <v>238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-0.43390216279338473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-0.3624863153957753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-0.3593170068993527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-0.38190522005557104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-0.26626824476425603</v>
      </c>
      <c r="C238" s="1">
        <f t="shared" si="3"/>
        <v>222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-0.40711093713202706</v>
      </c>
      <c r="C239" s="1">
        <f t="shared" si="3"/>
        <v>240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-0.40870977322717233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-0.4041070891426094</v>
      </c>
      <c r="C241" s="1">
        <f t="shared" si="3"/>
        <v>239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-0.32551369060519042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-0.42585500972069895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-0.49417312252345941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-0.46902585332117885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-0.38463649931158006</v>
      </c>
      <c r="C246" s="1">
        <f t="shared" si="3"/>
        <v>237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-0.48450786914071492</v>
      </c>
      <c r="C247" s="1">
        <f t="shared" si="3"/>
        <v>252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-0.47554643204349484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-0.48254151215700442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-0.47222384419243935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-0.47048206118598174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-0.42021339110300238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-0.46449093029795469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-0.48518194102643541</v>
      </c>
      <c r="C254" s="1">
        <f t="shared" si="3"/>
        <v>253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-0.54218780277096768</v>
      </c>
      <c r="C255" s="1">
        <f t="shared" si="3"/>
        <v>260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-0.51195947600968894</v>
      </c>
      <c r="C256" s="1">
        <f t="shared" si="3"/>
        <v>257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-0.53388911473486778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-0.50066542290182825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-0.59846368584855891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-0.54311436998025808</v>
      </c>
      <c r="C260" s="1">
        <f t="shared" si="4"/>
        <v>261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-0.57679446866714346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-0.63926593848796831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-0.58768834176997675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-0.62663509599529532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-0.60542469350407513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-0.6032223001174678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-0.63902377268127197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-0.61035150863823584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-0.56599519917606356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-0.62062982414592194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-0.44633469061309949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-0.56419319849461558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-0.65499347960601284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-0.53746828693957405</v>
      </c>
      <c r="C274" s="1">
        <f t="shared" si="4"/>
        <v>259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-0.64165426178111085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-0.66704647548682006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-0.74194371445029028</v>
      </c>
      <c r="C277" s="1">
        <f t="shared" si="4"/>
        <v>285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-0.51180670084375079</v>
      </c>
      <c r="C278" s="1">
        <f t="shared" si="4"/>
        <v>256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-0.70723705596477127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-0.74108004414888495</v>
      </c>
      <c r="C280" s="1">
        <f t="shared" si="4"/>
        <v>284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-0.72999113860846887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-0.68399013878655346</v>
      </c>
      <c r="C282" s="1">
        <f t="shared" si="4"/>
        <v>277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-0.74027728843009277</v>
      </c>
      <c r="C283" s="1">
        <f t="shared" si="4"/>
        <v>283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-0.75834000191860207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-0.75775052618721417</v>
      </c>
      <c r="C285" s="1">
        <f t="shared" si="4"/>
        <v>287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-0.72226254114520894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-0.71624830755557067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-0.71677936570952838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-0.7554859792131049</v>
      </c>
      <c r="C289" s="1">
        <f t="shared" si="4"/>
        <v>286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-0.76427523082984883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-0.87622512254129514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-0.88183080288564242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-0.82440127151075915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-0.87169646132701495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-0.78614962623207607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-0.90527304333408054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-0.99320499695179332</v>
      </c>
      <c r="C297" s="1">
        <f t="shared" si="4"/>
        <v>300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-0.98739678279908805</v>
      </c>
      <c r="C298" s="1">
        <f t="shared" si="4"/>
        <v>298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-1.0396214737817158</v>
      </c>
      <c r="C299" s="1">
        <f t="shared" si="4"/>
        <v>303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-0.99024320163924484</v>
      </c>
      <c r="C300" s="1">
        <f t="shared" si="4"/>
        <v>299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-0.98667913242428307</v>
      </c>
      <c r="C301" s="1">
        <f t="shared" si="4"/>
        <v>297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-1.0187952047573423</v>
      </c>
      <c r="C302" s="1">
        <f t="shared" si="4"/>
        <v>301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-1.102100232965417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-1.0603828957493084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-1.0536228515462838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-0.92162895490684071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-1.0483843424090324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-1.1482543175213835</v>
      </c>
      <c r="C308" s="1">
        <f t="shared" si="4"/>
        <v>313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-1.0287663726453167</v>
      </c>
      <c r="C309" s="1">
        <f t="shared" si="4"/>
        <v>302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-1.1741570527254055</v>
      </c>
      <c r="C310" s="1">
        <f t="shared" si="4"/>
        <v>315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-1.1438067350419108</v>
      </c>
      <c r="C311" s="1">
        <f t="shared" si="4"/>
        <v>312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-1.1756311585860224</v>
      </c>
      <c r="C312" s="1">
        <f t="shared" si="4"/>
        <v>316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-1.1241145683900389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-1.2151528213069125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-1.1895623123609591</v>
      </c>
      <c r="C315" s="1">
        <f t="shared" si="4"/>
        <v>317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-1.2475293198359021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-1.1136234266391491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-1.1243373068457549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-1.1606601199461881</v>
      </c>
      <c r="C319" s="1">
        <f t="shared" si="4"/>
        <v>314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-1.3280900170933509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-1.2369636853246264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-1.1372832720286514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-1.4217777993698093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-1.341492525193537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-1.2769070678144225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-1.2487967006337923</v>
      </c>
      <c r="C326" s="1">
        <f t="shared" si="5"/>
        <v>322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-1.2929716308298382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-1.3920203551169614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-1.2056449763933339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-1.3638600850000109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-1.4960328069223765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-1.366462856167004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-1.538471006795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-1.4052142378745871</v>
      </c>
      <c r="C334" s="1">
        <f t="shared" si="5"/>
        <v>330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-1.4158745301334783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-1.5487255483590721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-1.5382740897824856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-1.4431702770586787</v>
      </c>
      <c r="C338" s="1">
        <f t="shared" si="5"/>
        <v>335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-1.4607358366267076</v>
      </c>
      <c r="C339" s="1">
        <f t="shared" si="5"/>
        <v>336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-1.5746441424734505</v>
      </c>
      <c r="C340" s="1">
        <f t="shared" si="5"/>
        <v>347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-1.471729498010159</v>
      </c>
      <c r="C341" s="1">
        <f t="shared" si="5"/>
        <v>337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-1.4098449313352834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-1.4412499750851078</v>
      </c>
      <c r="C343" s="1">
        <f t="shared" si="5"/>
        <v>334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-1.4886014283953537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-1.5077749295678753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-1.5605125250307292</v>
      </c>
      <c r="C346" s="1">
        <f t="shared" si="5"/>
        <v>345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-1.4878929959231488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-1.5712115210886306</v>
      </c>
      <c r="C348" s="1">
        <f t="shared" si="5"/>
        <v>346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-1.6393605756005047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-1.6578961932947907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-1.7304107968273748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-1.738497602572284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-1.6765391528970641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-1.6485472197231885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-1.7674707476043823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-1.8047569970107458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-2.0157714184421218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-1.8815464653547316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-1.8965621130452321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-1.7816117538683609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-1.9858797300803799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-2.2310387412464543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-2.2050955473747877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-2.2425948813669545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-2.2294750342937255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-2.6260915640921798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tabSelected="1" workbookViewId="0">
      <selection sqref="A1:XFD104857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0.97965000000000002</v>
      </c>
      <c r="C2">
        <v>0.73294999999999999</v>
      </c>
      <c r="D2">
        <v>0.53174999999999994</v>
      </c>
      <c r="E2">
        <v>0.35149999999999998</v>
      </c>
      <c r="F2">
        <v>0.20615</v>
      </c>
      <c r="G2">
        <v>0.11799999999999999</v>
      </c>
      <c r="H2" t="s">
        <v>384</v>
      </c>
      <c r="I2">
        <v>1</v>
      </c>
      <c r="J2">
        <v>23.054887624413109</v>
      </c>
    </row>
    <row r="3" spans="1:10" x14ac:dyDescent="0.2">
      <c r="A3" t="s">
        <v>2</v>
      </c>
      <c r="B3">
        <v>0.96950000000000003</v>
      </c>
      <c r="C3">
        <v>0.72609999999999997</v>
      </c>
      <c r="D3">
        <v>0.48430000000000001</v>
      </c>
      <c r="E3">
        <v>0.30525000000000002</v>
      </c>
      <c r="F3">
        <v>0.18095</v>
      </c>
      <c r="G3">
        <v>0.111</v>
      </c>
      <c r="H3" t="s">
        <v>383</v>
      </c>
      <c r="I3">
        <v>1</v>
      </c>
      <c r="J3">
        <v>23.687310951598349</v>
      </c>
    </row>
    <row r="4" spans="1:10" x14ac:dyDescent="0.2">
      <c r="A4" t="s">
        <v>3</v>
      </c>
      <c r="B4">
        <v>0.97319999999999995</v>
      </c>
      <c r="C4">
        <v>0.74180000000000001</v>
      </c>
      <c r="D4">
        <v>0.48864999999999997</v>
      </c>
      <c r="E4">
        <v>0.31175000000000003</v>
      </c>
      <c r="F4">
        <v>0.18149999999999999</v>
      </c>
      <c r="G4">
        <v>0.10804999999999999</v>
      </c>
      <c r="H4" t="s">
        <v>382</v>
      </c>
      <c r="I4">
        <v>1</v>
      </c>
      <c r="J4">
        <v>23.158914646956031</v>
      </c>
    </row>
    <row r="5" spans="1:10" x14ac:dyDescent="0.2">
      <c r="A5" t="s">
        <v>4</v>
      </c>
      <c r="B5">
        <v>0.97924999999999995</v>
      </c>
      <c r="C5">
        <v>0.72660000000000002</v>
      </c>
      <c r="D5">
        <v>0.47815000000000002</v>
      </c>
      <c r="E5">
        <v>0.30170000000000002</v>
      </c>
      <c r="F5">
        <v>0.18215000000000001</v>
      </c>
      <c r="G5">
        <v>0.10145</v>
      </c>
      <c r="H5" t="s">
        <v>385</v>
      </c>
      <c r="I5">
        <v>1</v>
      </c>
      <c r="J5">
        <v>22.650454216704581</v>
      </c>
    </row>
    <row r="6" spans="1:10" x14ac:dyDescent="0.2">
      <c r="A6" t="s">
        <v>7</v>
      </c>
      <c r="B6">
        <v>0.94194999999999995</v>
      </c>
      <c r="C6">
        <v>0.70325000000000004</v>
      </c>
      <c r="D6">
        <v>0.40229999999999999</v>
      </c>
      <c r="E6">
        <v>0.20569999999999999</v>
      </c>
      <c r="F6">
        <v>0.10775</v>
      </c>
      <c r="G6">
        <v>5.8799999999999998E-2</v>
      </c>
      <c r="H6" t="s">
        <v>383</v>
      </c>
      <c r="I6">
        <v>2</v>
      </c>
      <c r="J6">
        <v>20.933350618351088</v>
      </c>
    </row>
    <row r="7" spans="1:10" x14ac:dyDescent="0.2">
      <c r="A7" t="s">
        <v>6</v>
      </c>
      <c r="B7">
        <v>0.88885000000000003</v>
      </c>
      <c r="C7">
        <v>0.61045000000000005</v>
      </c>
      <c r="D7">
        <v>0.38074999999999998</v>
      </c>
      <c r="E7">
        <v>0.20815</v>
      </c>
      <c r="F7">
        <v>0.11310000000000001</v>
      </c>
      <c r="G7">
        <v>5.4050000000000001E-2</v>
      </c>
      <c r="H7" t="s">
        <v>385</v>
      </c>
      <c r="I7">
        <v>2</v>
      </c>
      <c r="J7">
        <v>20.901069562815731</v>
      </c>
    </row>
    <row r="8" spans="1:10" x14ac:dyDescent="0.2">
      <c r="A8" t="s">
        <v>14</v>
      </c>
      <c r="B8">
        <v>0.91510000000000002</v>
      </c>
      <c r="C8">
        <v>0.54984999999999995</v>
      </c>
      <c r="D8">
        <v>0.33934999999999998</v>
      </c>
      <c r="E8">
        <v>0.17069999999999999</v>
      </c>
      <c r="F8">
        <v>8.6650000000000005E-2</v>
      </c>
      <c r="G8">
        <v>4.58E-2</v>
      </c>
      <c r="H8" t="s">
        <v>382</v>
      </c>
      <c r="I8">
        <v>2</v>
      </c>
      <c r="J8">
        <v>20.64149391157072</v>
      </c>
    </row>
    <row r="9" spans="1:10" x14ac:dyDescent="0.2">
      <c r="A9" t="s">
        <v>9</v>
      </c>
      <c r="B9">
        <v>0.87909999999999999</v>
      </c>
      <c r="C9">
        <v>0.57599999999999996</v>
      </c>
      <c r="D9">
        <v>0.34960000000000002</v>
      </c>
      <c r="E9">
        <v>0.17685000000000001</v>
      </c>
      <c r="F9">
        <v>8.8099999999999998E-2</v>
      </c>
      <c r="G9">
        <v>4.2700000000000002E-2</v>
      </c>
      <c r="H9" t="s">
        <v>384</v>
      </c>
      <c r="I9">
        <v>3</v>
      </c>
      <c r="J9">
        <v>19.982154388171558</v>
      </c>
    </row>
    <row r="10" spans="1:10" x14ac:dyDescent="0.2">
      <c r="A10" t="s">
        <v>5</v>
      </c>
      <c r="B10">
        <v>0.8528</v>
      </c>
      <c r="C10">
        <v>0.54659999999999997</v>
      </c>
      <c r="D10">
        <v>0.31230000000000002</v>
      </c>
      <c r="E10">
        <v>0.15775</v>
      </c>
      <c r="F10">
        <v>8.2299999999999998E-2</v>
      </c>
      <c r="G10">
        <v>4.265E-2</v>
      </c>
      <c r="H10" t="s">
        <v>383</v>
      </c>
      <c r="I10">
        <v>3</v>
      </c>
      <c r="J10">
        <v>20.95985487362351</v>
      </c>
    </row>
    <row r="11" spans="1:10" x14ac:dyDescent="0.2">
      <c r="A11" t="s">
        <v>8</v>
      </c>
      <c r="B11">
        <v>0.87770000000000004</v>
      </c>
      <c r="C11">
        <v>0.58179999999999998</v>
      </c>
      <c r="D11">
        <v>0.26805000000000001</v>
      </c>
      <c r="E11">
        <v>0.13930000000000001</v>
      </c>
      <c r="F11">
        <v>7.0099999999999996E-2</v>
      </c>
      <c r="G11">
        <v>3.61E-2</v>
      </c>
      <c r="H11" t="s">
        <v>383</v>
      </c>
      <c r="I11">
        <v>4</v>
      </c>
      <c r="J11">
        <v>19.899076876872609</v>
      </c>
    </row>
    <row r="12" spans="1:10" x14ac:dyDescent="0.2">
      <c r="A12" t="s">
        <v>10</v>
      </c>
      <c r="B12">
        <v>0.6623</v>
      </c>
      <c r="C12">
        <v>0.49764999999999998</v>
      </c>
      <c r="D12">
        <v>0.26869999999999999</v>
      </c>
      <c r="E12">
        <v>0.13519999999999999</v>
      </c>
      <c r="F12">
        <v>6.6900000000000001E-2</v>
      </c>
      <c r="G12">
        <v>3.4599999999999999E-2</v>
      </c>
      <c r="H12" t="s">
        <v>382</v>
      </c>
      <c r="I12">
        <v>6</v>
      </c>
      <c r="J12">
        <v>20.582457175121959</v>
      </c>
    </row>
    <row r="13" spans="1:10" x14ac:dyDescent="0.2">
      <c r="A13" t="s">
        <v>13</v>
      </c>
      <c r="B13">
        <v>0.91044999999999998</v>
      </c>
      <c r="C13">
        <v>0.61580000000000001</v>
      </c>
      <c r="D13">
        <v>0.32455000000000001</v>
      </c>
      <c r="E13">
        <v>0.15279999999999999</v>
      </c>
      <c r="F13">
        <v>7.535E-2</v>
      </c>
      <c r="G13">
        <v>3.2649999999999998E-2</v>
      </c>
      <c r="H13" t="s">
        <v>385</v>
      </c>
      <c r="I13">
        <v>3</v>
      </c>
      <c r="J13">
        <v>18.826343007871429</v>
      </c>
    </row>
    <row r="14" spans="1:10" x14ac:dyDescent="0.2">
      <c r="A14" t="s">
        <v>12</v>
      </c>
      <c r="B14">
        <v>0.88349999999999995</v>
      </c>
      <c r="C14">
        <v>0.56130000000000002</v>
      </c>
      <c r="D14">
        <v>0.2626</v>
      </c>
      <c r="E14">
        <v>0.1416</v>
      </c>
      <c r="F14">
        <v>6.6850000000000007E-2</v>
      </c>
      <c r="G14">
        <v>3.2599999999999997E-2</v>
      </c>
      <c r="H14" t="s">
        <v>382</v>
      </c>
      <c r="I14">
        <v>4</v>
      </c>
      <c r="J14">
        <v>19.673613604820769</v>
      </c>
    </row>
    <row r="15" spans="1:10" x14ac:dyDescent="0.2">
      <c r="A15" t="s">
        <v>15</v>
      </c>
      <c r="B15">
        <v>0.77244999999999997</v>
      </c>
      <c r="C15">
        <v>0.50295000000000001</v>
      </c>
      <c r="D15">
        <v>0.23805000000000001</v>
      </c>
      <c r="E15">
        <v>0.12790000000000001</v>
      </c>
      <c r="F15">
        <v>6.3049999999999995E-2</v>
      </c>
      <c r="G15">
        <v>2.8150000000000001E-2</v>
      </c>
      <c r="H15" t="s">
        <v>385</v>
      </c>
      <c r="I15">
        <v>5</v>
      </c>
      <c r="J15">
        <v>19.33409526621552</v>
      </c>
    </row>
    <row r="16" spans="1:10" x14ac:dyDescent="0.2">
      <c r="A16" t="s">
        <v>386</v>
      </c>
      <c r="B16">
        <v>0.89954999999999996</v>
      </c>
      <c r="C16">
        <v>0.54515000000000002</v>
      </c>
      <c r="D16">
        <v>0.27479999999999999</v>
      </c>
      <c r="E16">
        <v>0.12690000000000001</v>
      </c>
      <c r="F16">
        <v>5.67E-2</v>
      </c>
      <c r="G16">
        <v>2.2249999999999999E-2</v>
      </c>
      <c r="H16" t="s">
        <v>384</v>
      </c>
      <c r="I16">
        <v>2</v>
      </c>
      <c r="J16">
        <v>18.120431537245491</v>
      </c>
    </row>
    <row r="17" spans="1:10" x14ac:dyDescent="0.2">
      <c r="A17" t="s">
        <v>20</v>
      </c>
      <c r="B17">
        <v>0.80369999999999997</v>
      </c>
      <c r="C17">
        <v>0.48494999999999999</v>
      </c>
      <c r="D17">
        <v>0.19334999999999999</v>
      </c>
      <c r="E17">
        <v>9.3299999999999994E-2</v>
      </c>
      <c r="F17">
        <v>3.9350000000000003E-2</v>
      </c>
      <c r="G17">
        <v>1.44E-2</v>
      </c>
      <c r="H17" t="s">
        <v>384</v>
      </c>
      <c r="I17">
        <v>4</v>
      </c>
      <c r="J17">
        <v>16.809475334579389</v>
      </c>
    </row>
    <row r="18" spans="1:10" x14ac:dyDescent="0.2">
      <c r="A18" t="s">
        <v>17</v>
      </c>
      <c r="B18">
        <v>0.59984999999999999</v>
      </c>
      <c r="C18">
        <v>0.27415</v>
      </c>
      <c r="D18">
        <v>0.14574999999999999</v>
      </c>
      <c r="E18">
        <v>6.2300000000000001E-2</v>
      </c>
      <c r="F18">
        <v>2.5499999999999998E-2</v>
      </c>
      <c r="G18">
        <v>1.125E-2</v>
      </c>
      <c r="H18" t="s">
        <v>382</v>
      </c>
      <c r="I18">
        <v>7</v>
      </c>
      <c r="J18">
        <v>18.034523649586539</v>
      </c>
    </row>
    <row r="19" spans="1:10" x14ac:dyDescent="0.2">
      <c r="A19" t="s">
        <v>18</v>
      </c>
      <c r="B19">
        <v>0.64690000000000003</v>
      </c>
      <c r="C19">
        <v>0.29425000000000001</v>
      </c>
      <c r="D19">
        <v>0.14965000000000001</v>
      </c>
      <c r="E19">
        <v>6.3149999999999998E-2</v>
      </c>
      <c r="F19">
        <v>2.725E-2</v>
      </c>
      <c r="G19">
        <v>1.04E-2</v>
      </c>
      <c r="H19" t="s">
        <v>384</v>
      </c>
      <c r="I19">
        <v>6</v>
      </c>
      <c r="J19">
        <v>16.631119331501349</v>
      </c>
    </row>
    <row r="20" spans="1:10" x14ac:dyDescent="0.2">
      <c r="A20" t="s">
        <v>11</v>
      </c>
      <c r="B20">
        <v>0.66844999999999999</v>
      </c>
      <c r="C20">
        <v>0.314</v>
      </c>
      <c r="D20">
        <v>0.1217</v>
      </c>
      <c r="E20">
        <v>5.595E-2</v>
      </c>
      <c r="F20">
        <v>2.3300000000000001E-2</v>
      </c>
      <c r="G20">
        <v>8.9999999999999993E-3</v>
      </c>
      <c r="H20" t="s">
        <v>382</v>
      </c>
      <c r="I20">
        <v>5</v>
      </c>
      <c r="J20">
        <v>17.052374181699321</v>
      </c>
    </row>
    <row r="21" spans="1:10" x14ac:dyDescent="0.2">
      <c r="A21" t="s">
        <v>24</v>
      </c>
      <c r="B21">
        <v>0.83965000000000001</v>
      </c>
      <c r="C21">
        <v>0.39400000000000002</v>
      </c>
      <c r="D21">
        <v>0.14860000000000001</v>
      </c>
      <c r="E21">
        <v>6.3200000000000006E-2</v>
      </c>
      <c r="F21">
        <v>2.6349999999999998E-2</v>
      </c>
      <c r="G21">
        <v>8.6E-3</v>
      </c>
      <c r="H21" t="s">
        <v>385</v>
      </c>
      <c r="I21">
        <v>4</v>
      </c>
      <c r="J21">
        <v>15.82631796216417</v>
      </c>
    </row>
    <row r="22" spans="1:10" x14ac:dyDescent="0.2">
      <c r="A22" t="s">
        <v>26</v>
      </c>
      <c r="B22">
        <v>0.67384999999999995</v>
      </c>
      <c r="C22">
        <v>0.2964</v>
      </c>
      <c r="D22">
        <v>0.107</v>
      </c>
      <c r="E22">
        <v>4.4999999999999998E-2</v>
      </c>
      <c r="F22">
        <v>1.7649999999999999E-2</v>
      </c>
      <c r="G22">
        <v>7.6E-3</v>
      </c>
      <c r="H22" t="s">
        <v>383</v>
      </c>
      <c r="I22">
        <v>5</v>
      </c>
      <c r="J22">
        <v>16.148066436541431</v>
      </c>
    </row>
    <row r="23" spans="1:10" x14ac:dyDescent="0.2">
      <c r="A23" t="s">
        <v>30</v>
      </c>
      <c r="B23">
        <v>0.66554999999999997</v>
      </c>
      <c r="C23">
        <v>0.34670000000000001</v>
      </c>
      <c r="D23">
        <v>0.1181</v>
      </c>
      <c r="E23">
        <v>5.0650000000000001E-2</v>
      </c>
      <c r="F23">
        <v>1.9099999999999999E-2</v>
      </c>
      <c r="G23">
        <v>6.9499999999999996E-3</v>
      </c>
      <c r="H23" t="s">
        <v>384</v>
      </c>
      <c r="I23">
        <v>5</v>
      </c>
      <c r="J23">
        <v>15.123966744544839</v>
      </c>
    </row>
    <row r="24" spans="1:10" x14ac:dyDescent="0.2">
      <c r="A24" t="s">
        <v>22</v>
      </c>
      <c r="B24">
        <v>0.57520000000000004</v>
      </c>
      <c r="C24">
        <v>0.25314999999999999</v>
      </c>
      <c r="D24">
        <v>0.11705</v>
      </c>
      <c r="E24">
        <v>4.8800000000000003E-2</v>
      </c>
      <c r="F24">
        <v>2.12E-2</v>
      </c>
      <c r="G24">
        <v>6.9499999999999996E-3</v>
      </c>
      <c r="H24" t="s">
        <v>383</v>
      </c>
      <c r="I24">
        <v>6</v>
      </c>
      <c r="J24">
        <v>16.95891571245977</v>
      </c>
    </row>
    <row r="25" spans="1:10" x14ac:dyDescent="0.2">
      <c r="A25" t="s">
        <v>23</v>
      </c>
      <c r="B25">
        <v>0.61055000000000004</v>
      </c>
      <c r="C25">
        <v>0.28784999999999999</v>
      </c>
      <c r="D25">
        <v>0.12795000000000001</v>
      </c>
      <c r="E25">
        <v>5.0450000000000002E-2</v>
      </c>
      <c r="F25">
        <v>2.0299999999999999E-2</v>
      </c>
      <c r="G25">
        <v>6.8999999999999999E-3</v>
      </c>
      <c r="H25" t="s">
        <v>384</v>
      </c>
      <c r="I25">
        <v>7</v>
      </c>
      <c r="J25">
        <v>15.943406980069801</v>
      </c>
    </row>
    <row r="26" spans="1:10" x14ac:dyDescent="0.2">
      <c r="A26" t="s">
        <v>21</v>
      </c>
      <c r="B26">
        <v>0.58825000000000005</v>
      </c>
      <c r="C26">
        <v>0.18395</v>
      </c>
      <c r="D26">
        <v>8.5599999999999996E-2</v>
      </c>
      <c r="E26">
        <v>3.5349999999999999E-2</v>
      </c>
      <c r="F26">
        <v>1.3299999999999999E-2</v>
      </c>
      <c r="G26">
        <v>5.7499999999999999E-3</v>
      </c>
      <c r="H26" t="s">
        <v>383</v>
      </c>
      <c r="I26">
        <v>9</v>
      </c>
      <c r="J26">
        <v>16.287809545840609</v>
      </c>
    </row>
    <row r="27" spans="1:10" x14ac:dyDescent="0.2">
      <c r="A27" t="s">
        <v>31</v>
      </c>
      <c r="B27">
        <v>0.59235000000000004</v>
      </c>
      <c r="C27">
        <v>0.22120000000000001</v>
      </c>
      <c r="D27">
        <v>0.1008</v>
      </c>
      <c r="E27">
        <v>3.6949999999999997E-2</v>
      </c>
      <c r="F27">
        <v>1.41E-2</v>
      </c>
      <c r="G27">
        <v>4.5999999999999999E-3</v>
      </c>
      <c r="H27" t="s">
        <v>385</v>
      </c>
      <c r="I27">
        <v>7</v>
      </c>
      <c r="J27">
        <v>15.01820898903012</v>
      </c>
    </row>
    <row r="28" spans="1:10" x14ac:dyDescent="0.2">
      <c r="A28" t="s">
        <v>28</v>
      </c>
      <c r="B28">
        <v>0.58489999999999998</v>
      </c>
      <c r="C28">
        <v>0.18265000000000001</v>
      </c>
      <c r="D28">
        <v>8.7150000000000005E-2</v>
      </c>
      <c r="E28">
        <v>3.6049999999999999E-2</v>
      </c>
      <c r="F28">
        <v>1.4149999999999999E-2</v>
      </c>
      <c r="G28">
        <v>4.5500000000000002E-3</v>
      </c>
      <c r="H28" t="s">
        <v>385</v>
      </c>
      <c r="I28">
        <v>9</v>
      </c>
      <c r="J28">
        <v>15.51511812576733</v>
      </c>
    </row>
    <row r="29" spans="1:10" x14ac:dyDescent="0.2">
      <c r="A29" t="s">
        <v>33</v>
      </c>
      <c r="B29">
        <v>0.53739999999999999</v>
      </c>
      <c r="C29">
        <v>0.15379999999999999</v>
      </c>
      <c r="D29">
        <v>7.6350000000000001E-2</v>
      </c>
      <c r="E29">
        <v>3.3000000000000002E-2</v>
      </c>
      <c r="F29">
        <v>1.235E-2</v>
      </c>
      <c r="G29">
        <v>4.1999999999999997E-3</v>
      </c>
      <c r="H29" t="s">
        <v>384</v>
      </c>
      <c r="I29">
        <v>8</v>
      </c>
      <c r="J29">
        <v>14.72942352472889</v>
      </c>
    </row>
    <row r="30" spans="1:10" x14ac:dyDescent="0.2">
      <c r="A30" t="s">
        <v>27</v>
      </c>
      <c r="B30">
        <v>0.40015000000000001</v>
      </c>
      <c r="C30">
        <v>0.1651</v>
      </c>
      <c r="D30">
        <v>7.9200000000000007E-2</v>
      </c>
      <c r="E30">
        <v>2.9600000000000001E-2</v>
      </c>
      <c r="F30">
        <v>1.06E-2</v>
      </c>
      <c r="G30">
        <v>4.1000000000000003E-3</v>
      </c>
      <c r="H30" t="s">
        <v>382</v>
      </c>
      <c r="I30">
        <v>10</v>
      </c>
      <c r="J30">
        <v>15.7373824689671</v>
      </c>
    </row>
    <row r="31" spans="1:10" x14ac:dyDescent="0.2">
      <c r="A31" t="s">
        <v>35</v>
      </c>
      <c r="B31">
        <v>0.5968</v>
      </c>
      <c r="C31">
        <v>0.2397</v>
      </c>
      <c r="D31">
        <v>9.0200000000000002E-2</v>
      </c>
      <c r="E31">
        <v>3.1199999999999999E-2</v>
      </c>
      <c r="F31">
        <v>1.2500000000000001E-2</v>
      </c>
      <c r="G31">
        <v>3.4499999999999999E-3</v>
      </c>
      <c r="H31" t="s">
        <v>385</v>
      </c>
      <c r="I31">
        <v>6</v>
      </c>
      <c r="J31">
        <v>13.976487221924669</v>
      </c>
    </row>
    <row r="32" spans="1:10" x14ac:dyDescent="0.2">
      <c r="A32" t="s">
        <v>34</v>
      </c>
      <c r="B32">
        <v>0.3377</v>
      </c>
      <c r="C32">
        <v>0.19495000000000001</v>
      </c>
      <c r="D32">
        <v>6.8400000000000002E-2</v>
      </c>
      <c r="E32">
        <v>2.18E-2</v>
      </c>
      <c r="F32">
        <v>7.0499999999999998E-3</v>
      </c>
      <c r="G32">
        <v>2.65E-3</v>
      </c>
      <c r="H32" t="s">
        <v>382</v>
      </c>
      <c r="I32">
        <v>11</v>
      </c>
      <c r="J32">
        <v>13.72167513134278</v>
      </c>
    </row>
    <row r="33" spans="1:10" x14ac:dyDescent="0.2">
      <c r="A33" t="s">
        <v>40</v>
      </c>
      <c r="B33">
        <v>0.79444999999999999</v>
      </c>
      <c r="C33">
        <v>0.28039999999999998</v>
      </c>
      <c r="D33">
        <v>9.3950000000000006E-2</v>
      </c>
      <c r="E33">
        <v>2.6849999999999999E-2</v>
      </c>
      <c r="F33">
        <v>7.6E-3</v>
      </c>
      <c r="G33">
        <v>2.5999999999999999E-3</v>
      </c>
      <c r="H33" t="s">
        <v>382</v>
      </c>
      <c r="I33">
        <v>3</v>
      </c>
      <c r="J33">
        <v>12.89893074417701</v>
      </c>
    </row>
    <row r="34" spans="1:10" x14ac:dyDescent="0.2">
      <c r="A34" t="s">
        <v>25</v>
      </c>
      <c r="B34">
        <v>0.42480000000000001</v>
      </c>
      <c r="C34">
        <v>0.16189999999999999</v>
      </c>
      <c r="D34">
        <v>6.565E-2</v>
      </c>
      <c r="E34">
        <v>2.1600000000000001E-2</v>
      </c>
      <c r="F34">
        <v>7.0000000000000001E-3</v>
      </c>
      <c r="G34">
        <v>2.4499999999999999E-3</v>
      </c>
      <c r="H34" t="s">
        <v>383</v>
      </c>
      <c r="I34">
        <v>11</v>
      </c>
      <c r="J34">
        <v>14.53205210966642</v>
      </c>
    </row>
    <row r="35" spans="1:10" x14ac:dyDescent="0.2">
      <c r="A35" t="s">
        <v>29</v>
      </c>
      <c r="B35">
        <v>0.51885000000000003</v>
      </c>
      <c r="C35">
        <v>0.14044999999999999</v>
      </c>
      <c r="D35">
        <v>5.7799999999999997E-2</v>
      </c>
      <c r="E35">
        <v>2.0799999999999999E-2</v>
      </c>
      <c r="F35">
        <v>6.5500000000000003E-3</v>
      </c>
      <c r="G35">
        <v>2.3500000000000001E-3</v>
      </c>
      <c r="H35" t="s">
        <v>382</v>
      </c>
      <c r="I35">
        <v>8</v>
      </c>
      <c r="J35">
        <v>14.114224917334671</v>
      </c>
    </row>
    <row r="36" spans="1:10" x14ac:dyDescent="0.2">
      <c r="A36" t="s">
        <v>37</v>
      </c>
      <c r="B36">
        <v>0.40765000000000001</v>
      </c>
      <c r="C36">
        <v>0.14269999999999999</v>
      </c>
      <c r="D36">
        <v>5.9200000000000003E-2</v>
      </c>
      <c r="E36">
        <v>1.9949999999999999E-2</v>
      </c>
      <c r="F36">
        <v>6.9499999999999996E-3</v>
      </c>
      <c r="G36">
        <v>1.9499999999999999E-3</v>
      </c>
      <c r="H36" t="s">
        <v>385</v>
      </c>
      <c r="I36">
        <v>10</v>
      </c>
      <c r="J36">
        <v>13.344745551152521</v>
      </c>
    </row>
    <row r="37" spans="1:10" x14ac:dyDescent="0.2">
      <c r="A37" t="s">
        <v>46</v>
      </c>
      <c r="B37">
        <v>0.46260000000000001</v>
      </c>
      <c r="C37">
        <v>0.11219999999999999</v>
      </c>
      <c r="D37">
        <v>4.8250000000000001E-2</v>
      </c>
      <c r="E37">
        <v>1.8350000000000002E-2</v>
      </c>
      <c r="F37">
        <v>6.3499999999999997E-3</v>
      </c>
      <c r="G37">
        <v>1.75E-3</v>
      </c>
      <c r="H37" t="s">
        <v>384</v>
      </c>
      <c r="I37">
        <v>9</v>
      </c>
      <c r="J37">
        <v>12.67635641689086</v>
      </c>
    </row>
    <row r="38" spans="1:10" x14ac:dyDescent="0.2">
      <c r="A38" t="s">
        <v>43</v>
      </c>
      <c r="B38">
        <v>0.38945000000000002</v>
      </c>
      <c r="C38">
        <v>0.15110000000000001</v>
      </c>
      <c r="D38">
        <v>5.5550000000000002E-2</v>
      </c>
      <c r="E38">
        <v>1.8100000000000002E-2</v>
      </c>
      <c r="F38">
        <v>6.1500000000000001E-3</v>
      </c>
      <c r="G38">
        <v>1.4E-3</v>
      </c>
      <c r="H38" t="s">
        <v>384</v>
      </c>
      <c r="I38">
        <v>10</v>
      </c>
      <c r="J38">
        <v>12.78042205274066</v>
      </c>
    </row>
    <row r="39" spans="1:10" x14ac:dyDescent="0.2">
      <c r="A39" t="s">
        <v>53</v>
      </c>
      <c r="B39">
        <v>0.57204999999999995</v>
      </c>
      <c r="C39">
        <v>0.16614999999999999</v>
      </c>
      <c r="D39">
        <v>5.3800000000000001E-2</v>
      </c>
      <c r="E39">
        <v>1.3650000000000001E-2</v>
      </c>
      <c r="F39">
        <v>4.15E-3</v>
      </c>
      <c r="G39">
        <v>1.25E-3</v>
      </c>
      <c r="H39" t="s">
        <v>383</v>
      </c>
      <c r="I39">
        <v>7</v>
      </c>
      <c r="J39">
        <v>12.2388904180045</v>
      </c>
    </row>
    <row r="40" spans="1:10" x14ac:dyDescent="0.2">
      <c r="A40" t="s">
        <v>38</v>
      </c>
      <c r="B40">
        <v>0.48115000000000002</v>
      </c>
      <c r="C40">
        <v>0.1158</v>
      </c>
      <c r="D40">
        <v>4.1700000000000001E-2</v>
      </c>
      <c r="E40">
        <v>1.47E-2</v>
      </c>
      <c r="F40">
        <v>4.0499999999999998E-3</v>
      </c>
      <c r="G40">
        <v>1.15E-3</v>
      </c>
      <c r="H40" t="s">
        <v>382</v>
      </c>
      <c r="I40">
        <v>9</v>
      </c>
      <c r="J40">
        <v>12.8910075642879</v>
      </c>
    </row>
    <row r="41" spans="1:10" x14ac:dyDescent="0.2">
      <c r="A41" t="s">
        <v>44</v>
      </c>
      <c r="B41">
        <v>0.41175</v>
      </c>
      <c r="C41">
        <v>8.77E-2</v>
      </c>
      <c r="D41">
        <v>2.9850000000000002E-2</v>
      </c>
      <c r="E41">
        <v>9.1000000000000004E-3</v>
      </c>
      <c r="F41">
        <v>2.3500000000000001E-3</v>
      </c>
      <c r="G41">
        <v>8.9999999999999998E-4</v>
      </c>
      <c r="H41" t="s">
        <v>383</v>
      </c>
      <c r="I41">
        <v>8</v>
      </c>
      <c r="J41">
        <v>11.840993072985089</v>
      </c>
    </row>
    <row r="42" spans="1:10" x14ac:dyDescent="0.2">
      <c r="A42" t="s">
        <v>63</v>
      </c>
      <c r="B42">
        <v>0.4032</v>
      </c>
      <c r="C42">
        <v>0.12989999999999999</v>
      </c>
      <c r="D42">
        <v>3.73E-2</v>
      </c>
      <c r="E42">
        <v>9.7000000000000003E-3</v>
      </c>
      <c r="F42">
        <v>2.7000000000000001E-3</v>
      </c>
      <c r="G42">
        <v>8.0000000000000004E-4</v>
      </c>
      <c r="H42" t="s">
        <v>385</v>
      </c>
      <c r="I42">
        <v>11</v>
      </c>
      <c r="J42">
        <v>10.280535393881051</v>
      </c>
    </row>
    <row r="43" spans="1:10" x14ac:dyDescent="0.2">
      <c r="A43" t="s">
        <v>50</v>
      </c>
      <c r="B43">
        <v>0.42795</v>
      </c>
      <c r="C43">
        <v>0.1208</v>
      </c>
      <c r="D43">
        <v>0.04</v>
      </c>
      <c r="E43">
        <v>1.0699999999999999E-2</v>
      </c>
      <c r="F43">
        <v>3.0999999999999999E-3</v>
      </c>
      <c r="G43">
        <v>7.5000000000000002E-4</v>
      </c>
      <c r="H43" t="s">
        <v>383</v>
      </c>
      <c r="I43">
        <v>10</v>
      </c>
      <c r="J43">
        <v>11.938625469494371</v>
      </c>
    </row>
    <row r="44" spans="1:10" x14ac:dyDescent="0.2">
      <c r="A44" t="s">
        <v>56</v>
      </c>
      <c r="B44">
        <v>0.41510000000000002</v>
      </c>
      <c r="C44">
        <v>8.9550000000000005E-2</v>
      </c>
      <c r="D44">
        <v>0.03</v>
      </c>
      <c r="E44">
        <v>8.6499999999999997E-3</v>
      </c>
      <c r="F44">
        <v>2.7499999999999998E-3</v>
      </c>
      <c r="G44">
        <v>7.5000000000000002E-4</v>
      </c>
      <c r="H44" t="s">
        <v>385</v>
      </c>
      <c r="I44">
        <v>8</v>
      </c>
      <c r="J44">
        <v>11.02555602329811</v>
      </c>
    </row>
    <row r="45" spans="1:10" x14ac:dyDescent="0.2">
      <c r="A45" t="s">
        <v>55</v>
      </c>
      <c r="B45">
        <v>0.35310000000000002</v>
      </c>
      <c r="C45">
        <v>0.1032</v>
      </c>
      <c r="D45">
        <v>3.6049999999999999E-2</v>
      </c>
      <c r="E45">
        <v>9.4000000000000004E-3</v>
      </c>
      <c r="F45">
        <v>2.5500000000000002E-3</v>
      </c>
      <c r="G45">
        <v>5.9999999999999995E-4</v>
      </c>
      <c r="H45" t="s">
        <v>384</v>
      </c>
      <c r="I45">
        <v>11</v>
      </c>
      <c r="J45">
        <v>10.62507679613563</v>
      </c>
    </row>
    <row r="46" spans="1:10" x14ac:dyDescent="0.2">
      <c r="A46" t="s">
        <v>60</v>
      </c>
      <c r="B46">
        <v>0.32615</v>
      </c>
      <c r="C46">
        <v>9.64E-2</v>
      </c>
      <c r="D46">
        <v>2.1700000000000001E-2</v>
      </c>
      <c r="E46">
        <v>6.3E-3</v>
      </c>
      <c r="F46">
        <v>1.5499999999999999E-3</v>
      </c>
      <c r="G46">
        <v>3.5E-4</v>
      </c>
      <c r="H46" t="s">
        <v>383</v>
      </c>
      <c r="I46">
        <v>12</v>
      </c>
      <c r="J46">
        <v>9.7914064574296606</v>
      </c>
    </row>
    <row r="47" spans="1:10" x14ac:dyDescent="0.2">
      <c r="A47" t="s">
        <v>77</v>
      </c>
      <c r="B47">
        <v>0.33445000000000003</v>
      </c>
      <c r="C47">
        <v>0.11695</v>
      </c>
      <c r="D47">
        <v>2.545E-2</v>
      </c>
      <c r="E47">
        <v>6.5500000000000003E-3</v>
      </c>
      <c r="F47">
        <v>1.3500000000000001E-3</v>
      </c>
      <c r="G47">
        <v>2.5000000000000001E-4</v>
      </c>
      <c r="H47" t="s">
        <v>384</v>
      </c>
      <c r="I47">
        <v>12</v>
      </c>
      <c r="J47">
        <v>9.044790611595948</v>
      </c>
    </row>
    <row r="48" spans="1:10" x14ac:dyDescent="0.2">
      <c r="A48" t="s">
        <v>58</v>
      </c>
      <c r="B48">
        <v>0.33155000000000001</v>
      </c>
      <c r="C48">
        <v>0.10115</v>
      </c>
      <c r="D48">
        <v>2.5149999999999999E-2</v>
      </c>
      <c r="E48">
        <v>7.6499999999999997E-3</v>
      </c>
      <c r="F48">
        <v>1.6000000000000001E-3</v>
      </c>
      <c r="G48">
        <v>1.4999999999999999E-4</v>
      </c>
      <c r="H48" t="s">
        <v>382</v>
      </c>
      <c r="I48">
        <v>12</v>
      </c>
      <c r="J48">
        <v>10.62898797126984</v>
      </c>
    </row>
    <row r="49" spans="1:10" x14ac:dyDescent="0.2">
      <c r="A49" t="s">
        <v>139</v>
      </c>
      <c r="B49">
        <v>0.11115</v>
      </c>
      <c r="C49">
        <v>2.5649999999999999E-2</v>
      </c>
      <c r="D49">
        <v>5.5999999999999999E-3</v>
      </c>
      <c r="E49">
        <v>8.4999999999999995E-4</v>
      </c>
      <c r="F49">
        <v>2.9999999999999997E-4</v>
      </c>
      <c r="G49">
        <v>1.4999999999999999E-4</v>
      </c>
      <c r="H49" t="s">
        <v>385</v>
      </c>
      <c r="I49">
        <v>15</v>
      </c>
      <c r="J49">
        <v>3.928312715113337</v>
      </c>
    </row>
    <row r="50" spans="1:10" x14ac:dyDescent="0.2">
      <c r="A50" t="s">
        <v>89</v>
      </c>
      <c r="B50">
        <v>0.22755</v>
      </c>
      <c r="C50">
        <v>7.6499999999999999E-2</v>
      </c>
      <c r="D50">
        <v>1.4500000000000001E-2</v>
      </c>
      <c r="E50">
        <v>2.3500000000000001E-3</v>
      </c>
      <c r="F50">
        <v>4.4999999999999999E-4</v>
      </c>
      <c r="G50">
        <v>1E-4</v>
      </c>
      <c r="H50" t="s">
        <v>385</v>
      </c>
      <c r="I50">
        <v>12</v>
      </c>
      <c r="J50">
        <v>7.3382243907443794</v>
      </c>
    </row>
    <row r="51" spans="1:10" x14ac:dyDescent="0.2">
      <c r="A51" t="s">
        <v>92</v>
      </c>
      <c r="B51">
        <v>0.1472</v>
      </c>
      <c r="C51">
        <v>3.8350000000000002E-2</v>
      </c>
      <c r="D51">
        <v>8.0000000000000002E-3</v>
      </c>
      <c r="E51">
        <v>1.15E-3</v>
      </c>
      <c r="F51">
        <v>3.5E-4</v>
      </c>
      <c r="G51">
        <v>1E-4</v>
      </c>
      <c r="H51" t="s">
        <v>383</v>
      </c>
      <c r="I51">
        <v>14</v>
      </c>
      <c r="J51">
        <v>6.9567142213273874</v>
      </c>
    </row>
    <row r="52" spans="1:10" x14ac:dyDescent="0.2">
      <c r="A52" t="s">
        <v>132</v>
      </c>
      <c r="B52">
        <v>0.1963</v>
      </c>
      <c r="C52">
        <v>5.1400000000000001E-2</v>
      </c>
      <c r="D52">
        <v>6.7000000000000002E-3</v>
      </c>
      <c r="E52">
        <v>1.0499999999999999E-3</v>
      </c>
      <c r="F52">
        <v>1.4999999999999999E-4</v>
      </c>
      <c r="G52">
        <v>0</v>
      </c>
      <c r="H52" t="s">
        <v>384</v>
      </c>
      <c r="I52">
        <v>13</v>
      </c>
      <c r="J52">
        <v>4.6851123682196496</v>
      </c>
    </row>
    <row r="53" spans="1:10" x14ac:dyDescent="0.2">
      <c r="A53" t="s">
        <v>138</v>
      </c>
      <c r="B53">
        <v>0.12089999999999999</v>
      </c>
      <c r="C53">
        <v>2.6550000000000001E-2</v>
      </c>
      <c r="D53">
        <v>4.5999999999999999E-3</v>
      </c>
      <c r="E53">
        <v>5.9999999999999995E-4</v>
      </c>
      <c r="F53">
        <v>2.0000000000000001E-4</v>
      </c>
      <c r="G53">
        <v>0</v>
      </c>
      <c r="H53" t="s">
        <v>384</v>
      </c>
      <c r="I53">
        <v>14</v>
      </c>
      <c r="J53">
        <v>3.8559349343715992</v>
      </c>
    </row>
    <row r="54" spans="1:10" x14ac:dyDescent="0.2">
      <c r="A54" t="s">
        <v>182</v>
      </c>
      <c r="B54">
        <v>0.11650000000000001</v>
      </c>
      <c r="C54">
        <v>2.3550000000000001E-2</v>
      </c>
      <c r="D54">
        <v>2.3E-3</v>
      </c>
      <c r="E54">
        <v>4.4999999999999999E-4</v>
      </c>
      <c r="F54">
        <v>0</v>
      </c>
      <c r="G54">
        <v>0</v>
      </c>
      <c r="H54" t="s">
        <v>382</v>
      </c>
      <c r="I54">
        <v>13</v>
      </c>
      <c r="J54">
        <v>2.1356002741910172</v>
      </c>
    </row>
    <row r="55" spans="1:10" x14ac:dyDescent="0.2">
      <c r="A55" t="s">
        <v>160</v>
      </c>
      <c r="B55">
        <v>0.20555000000000001</v>
      </c>
      <c r="C55">
        <v>2.7E-2</v>
      </c>
      <c r="D55">
        <v>3.0999999999999999E-3</v>
      </c>
      <c r="E55">
        <v>4.4999999999999999E-4</v>
      </c>
      <c r="F55">
        <v>1E-4</v>
      </c>
      <c r="G55">
        <v>0</v>
      </c>
      <c r="H55" t="s">
        <v>382</v>
      </c>
      <c r="I55">
        <v>14</v>
      </c>
      <c r="J55">
        <v>3.0807597689023769</v>
      </c>
    </row>
    <row r="56" spans="1:10" x14ac:dyDescent="0.2">
      <c r="A56" t="s">
        <v>154</v>
      </c>
      <c r="B56">
        <v>0.12230000000000001</v>
      </c>
      <c r="C56">
        <v>2.5399999999999999E-2</v>
      </c>
      <c r="D56">
        <v>3.3500000000000001E-3</v>
      </c>
      <c r="E56">
        <v>3.5E-4</v>
      </c>
      <c r="F56">
        <v>0</v>
      </c>
      <c r="G56">
        <v>0</v>
      </c>
      <c r="H56" t="s">
        <v>383</v>
      </c>
      <c r="I56">
        <v>13</v>
      </c>
      <c r="J56">
        <v>2.5953665153972891</v>
      </c>
    </row>
    <row r="57" spans="1:10" x14ac:dyDescent="0.2">
      <c r="A57" t="s">
        <v>179</v>
      </c>
      <c r="B57">
        <v>0.16034999999999999</v>
      </c>
      <c r="C57">
        <v>2.6550000000000001E-2</v>
      </c>
      <c r="D57">
        <v>3.5000000000000001E-3</v>
      </c>
      <c r="E57">
        <v>3.5E-4</v>
      </c>
      <c r="F57">
        <v>5.0000000000000002E-5</v>
      </c>
      <c r="G57">
        <v>0</v>
      </c>
      <c r="H57" t="s">
        <v>385</v>
      </c>
      <c r="I57">
        <v>13</v>
      </c>
      <c r="J57">
        <v>1.3139417704256631</v>
      </c>
    </row>
    <row r="58" spans="1:10" x14ac:dyDescent="0.2">
      <c r="A58" t="s">
        <v>186</v>
      </c>
      <c r="B58">
        <v>8.4900000000000003E-2</v>
      </c>
      <c r="C58">
        <v>1.09E-2</v>
      </c>
      <c r="D58">
        <v>1.5499999999999999E-3</v>
      </c>
      <c r="E58">
        <v>2.0000000000000001E-4</v>
      </c>
      <c r="F58">
        <v>0</v>
      </c>
      <c r="G58">
        <v>0</v>
      </c>
      <c r="H58" t="s">
        <v>382</v>
      </c>
      <c r="I58">
        <v>15</v>
      </c>
      <c r="J58">
        <v>1.063936136616795</v>
      </c>
    </row>
    <row r="59" spans="1:10" x14ac:dyDescent="0.2">
      <c r="A59" t="s">
        <v>206</v>
      </c>
      <c r="B59">
        <v>0.10045</v>
      </c>
      <c r="C59">
        <v>1.5900000000000001E-2</v>
      </c>
      <c r="D59">
        <v>1.8E-3</v>
      </c>
      <c r="E59">
        <v>1.4999999999999999E-4</v>
      </c>
      <c r="F59">
        <v>0</v>
      </c>
      <c r="G59">
        <v>0</v>
      </c>
      <c r="H59" t="s">
        <v>384</v>
      </c>
      <c r="I59">
        <v>15</v>
      </c>
      <c r="J59">
        <v>0.1935829077834591</v>
      </c>
    </row>
    <row r="60" spans="1:10" x14ac:dyDescent="0.2">
      <c r="A60" t="s">
        <v>221</v>
      </c>
      <c r="B60">
        <v>8.9550000000000005E-2</v>
      </c>
      <c r="C60">
        <v>1.46E-2</v>
      </c>
      <c r="D60">
        <v>1.6000000000000001E-3</v>
      </c>
      <c r="E60">
        <v>1.4999999999999999E-4</v>
      </c>
      <c r="F60">
        <v>0</v>
      </c>
      <c r="G60">
        <v>0</v>
      </c>
      <c r="H60" t="s">
        <v>385</v>
      </c>
      <c r="I60">
        <v>14</v>
      </c>
      <c r="J60">
        <v>-0.34703170207646011</v>
      </c>
    </row>
    <row r="61" spans="1:10" x14ac:dyDescent="0.2">
      <c r="A61" t="s">
        <v>318</v>
      </c>
      <c r="B61">
        <v>2.0750000000000001E-2</v>
      </c>
      <c r="C61">
        <v>1.1999999999999999E-3</v>
      </c>
      <c r="D61">
        <v>5.0000000000000002E-5</v>
      </c>
      <c r="E61">
        <v>5.0000000000000002E-5</v>
      </c>
      <c r="F61">
        <v>0</v>
      </c>
      <c r="G61">
        <v>0</v>
      </c>
      <c r="H61" t="s">
        <v>385</v>
      </c>
      <c r="I61">
        <v>16</v>
      </c>
      <c r="J61">
        <v>-9.9103284017639872</v>
      </c>
    </row>
    <row r="62" spans="1:10" x14ac:dyDescent="0.2">
      <c r="A62" t="s">
        <v>293</v>
      </c>
      <c r="B62">
        <v>2.6800000000000001E-2</v>
      </c>
      <c r="C62">
        <v>1.9499999999999999E-3</v>
      </c>
      <c r="D62">
        <v>1E-4</v>
      </c>
      <c r="E62">
        <v>0</v>
      </c>
      <c r="F62">
        <v>0</v>
      </c>
      <c r="G62">
        <v>0</v>
      </c>
      <c r="H62" t="s">
        <v>382</v>
      </c>
      <c r="I62">
        <v>16</v>
      </c>
      <c r="J62">
        <v>-7.2160644315092952</v>
      </c>
    </row>
    <row r="63" spans="1:10" x14ac:dyDescent="0.2">
      <c r="A63" t="s">
        <v>275</v>
      </c>
      <c r="B63">
        <v>3.0499999999999999E-2</v>
      </c>
      <c r="C63">
        <v>2.2499999999999998E-3</v>
      </c>
      <c r="D63">
        <v>1.4999999999999999E-4</v>
      </c>
      <c r="E63">
        <v>0</v>
      </c>
      <c r="F63">
        <v>0</v>
      </c>
      <c r="G63">
        <v>0</v>
      </c>
      <c r="H63" t="s">
        <v>383</v>
      </c>
      <c r="I63">
        <v>16</v>
      </c>
      <c r="J63">
        <v>-5.3079314642110162</v>
      </c>
    </row>
    <row r="64" spans="1:10" x14ac:dyDescent="0.2">
      <c r="A64" t="s">
        <v>235</v>
      </c>
      <c r="B64">
        <v>5.8049999999999997E-2</v>
      </c>
      <c r="C64">
        <v>9.7999999999999997E-3</v>
      </c>
      <c r="D64">
        <v>8.9999999999999998E-4</v>
      </c>
      <c r="E64">
        <v>0</v>
      </c>
      <c r="F64">
        <v>0</v>
      </c>
      <c r="G64">
        <v>0</v>
      </c>
      <c r="H64" t="s">
        <v>383</v>
      </c>
      <c r="I64">
        <v>15</v>
      </c>
      <c r="J64">
        <v>-2.43869723675573</v>
      </c>
    </row>
    <row r="65" spans="1:10" x14ac:dyDescent="0.2">
      <c r="A65" t="s">
        <v>316</v>
      </c>
      <c r="B65">
        <v>2.035E-2</v>
      </c>
      <c r="C65">
        <v>1.0499999999999999E-3</v>
      </c>
      <c r="D65">
        <v>5.0000000000000002E-5</v>
      </c>
      <c r="E65">
        <v>0</v>
      </c>
      <c r="F65">
        <v>0</v>
      </c>
      <c r="G65">
        <v>0</v>
      </c>
      <c r="H65" t="s">
        <v>384</v>
      </c>
      <c r="I65">
        <v>16</v>
      </c>
      <c r="J65">
        <v>-9.4717636747576321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2026-03-15T22:40:03Z</dcterms:modified>
</cp:coreProperties>
</file>