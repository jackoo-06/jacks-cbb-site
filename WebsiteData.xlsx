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0FD3A534-6868-B547-B02E-1C2ED23CB815}" xr6:coauthVersionLast="47" xr6:coauthVersionMax="47" xr10:uidLastSave="{00000000-0000-0000-0000-000000000000}"/>
  <bookViews>
    <workbookView xWindow="14760" yWindow="780" windowWidth="19440" windowHeight="1996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C2" i="4"/>
  <c r="O28" i="4" l="1"/>
  <c r="L28" i="4"/>
  <c r="F28" i="4"/>
  <c r="B28" i="4"/>
  <c r="O27" i="4"/>
  <c r="L27" i="4"/>
  <c r="F27" i="4"/>
  <c r="G27" i="4" s="1"/>
  <c r="B27" i="4"/>
  <c r="F3" i="1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B3" i="1" l="1"/>
  <c r="D3" i="1" s="1"/>
  <c r="C3" i="1"/>
  <c r="L3" i="1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3" i="1" l="1"/>
  <c r="E2" i="1" l="1"/>
  <c r="H3" i="1"/>
  <c r="I3" i="1"/>
  <c r="G3" i="1"/>
  <c r="H2" i="1" l="1"/>
  <c r="L2" i="1" s="1"/>
  <c r="I2" i="1"/>
  <c r="G2" i="1"/>
</calcChain>
</file>

<file path=xl/sharedStrings.xml><?xml version="1.0" encoding="utf-8"?>
<sst xmlns="http://schemas.openxmlformats.org/spreadsheetml/2006/main" count="723" uniqueCount="469">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</sst>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Arizona</v>
          </cell>
          <cell r="D2" t="str">
            <v>Michigan</v>
          </cell>
          <cell r="E2">
            <v>2.5323126427002611</v>
          </cell>
          <cell r="F2" t="b">
            <v>0</v>
          </cell>
          <cell r="G2">
            <v>0.59948701984905162</v>
          </cell>
          <cell r="H2">
            <v>0</v>
          </cell>
          <cell r="I2">
            <v>0.14447521971182589</v>
          </cell>
          <cell r="J2">
            <v>0.31889491956720589</v>
          </cell>
          <cell r="K2">
            <v>0</v>
          </cell>
        </row>
        <row r="3">
          <cell r="B3">
            <v>2</v>
          </cell>
          <cell r="C3" t="str">
            <v>Illinois</v>
          </cell>
          <cell r="D3" t="str">
            <v>Uconn</v>
          </cell>
          <cell r="E3">
            <v>5.0061585122755732</v>
          </cell>
          <cell r="F3" t="b">
            <v>0</v>
          </cell>
          <cell r="G3">
            <v>0.57451656275521645</v>
          </cell>
          <cell r="H3">
            <v>0</v>
          </cell>
          <cell r="I3">
            <v>9.6804347078140562E-2</v>
          </cell>
          <cell r="J3">
            <v>0.33651920949923098</v>
          </cell>
          <cell r="K3">
            <v>0</v>
          </cell>
        </row>
        <row r="4">
          <cell r="B4">
            <v>3</v>
          </cell>
          <cell r="C4" t="str">
            <v>Michigan</v>
          </cell>
          <cell r="D4" t="str">
            <v>Arizona</v>
          </cell>
          <cell r="E4">
            <v>3.536366816330053</v>
          </cell>
          <cell r="F4" t="b">
            <v>0</v>
          </cell>
          <cell r="G4">
            <v>0.55063780603544465</v>
          </cell>
          <cell r="H4">
            <v>0</v>
          </cell>
          <cell r="I4">
            <v>5.1217629704030758E-2</v>
          </cell>
          <cell r="J4">
            <v>0.23404852877633711</v>
          </cell>
          <cell r="K4">
            <v>0</v>
          </cell>
        </row>
        <row r="5">
          <cell r="B5">
            <v>4</v>
          </cell>
          <cell r="C5" t="str">
            <v>Uconn</v>
          </cell>
          <cell r="D5" t="str">
            <v>Illinois</v>
          </cell>
          <cell r="E5">
            <v>1.025470928311111</v>
          </cell>
          <cell r="F5" t="b">
            <v>0</v>
          </cell>
          <cell r="G5">
            <v>0.57498961802434767</v>
          </cell>
          <cell r="H5">
            <v>0</v>
          </cell>
          <cell r="I5">
            <v>9.7707452591936472E-2</v>
          </cell>
          <cell r="J5">
            <v>0.21268681563647879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Arizona</v>
          </cell>
          <cell r="C2" t="str">
            <v>Michigan</v>
          </cell>
          <cell r="D2">
            <v>23.698276332727119</v>
          </cell>
          <cell r="E2">
            <v>101.76807841686704</v>
          </cell>
          <cell r="F2">
            <v>98.508521311778111</v>
          </cell>
          <cell r="G2">
            <v>0.55109126984126988</v>
          </cell>
          <cell r="H2">
            <v>70.587878787878793</v>
          </cell>
          <cell r="I2">
            <v>61.090909090909093</v>
          </cell>
          <cell r="J2">
            <v>26.060606060606062</v>
          </cell>
          <cell r="K2">
            <v>12.878787878787879</v>
          </cell>
          <cell r="L2">
            <v>10.909090909090908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1.5</v>
          </cell>
        </row>
        <row r="3">
          <cell r="A3">
            <v>2</v>
          </cell>
          <cell r="B3" t="str">
            <v>Illinois</v>
          </cell>
          <cell r="C3" t="str">
            <v>Uconn</v>
          </cell>
          <cell r="D3">
            <v>18.836157720404749</v>
          </cell>
          <cell r="E3">
            <v>105.08780903665816</v>
          </cell>
          <cell r="F3">
            <v>108.93352999987511</v>
          </cell>
          <cell r="G3">
            <v>0.5511688311688312</v>
          </cell>
          <cell r="H3">
            <v>66.809032258064519</v>
          </cell>
          <cell r="I3">
            <v>62.096774193548384</v>
          </cell>
          <cell r="J3">
            <v>20.387096774193548</v>
          </cell>
          <cell r="K3">
            <v>13.258064516129032</v>
          </cell>
          <cell r="L3">
            <v>9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-2</v>
          </cell>
        </row>
        <row r="4">
          <cell r="A4">
            <v>3</v>
          </cell>
          <cell r="B4" t="str">
            <v>Michigan</v>
          </cell>
          <cell r="C4" t="str">
            <v>Arizona</v>
          </cell>
          <cell r="D4">
            <v>23.168628302235671</v>
          </cell>
          <cell r="E4">
            <v>98.200984374253366</v>
          </cell>
          <cell r="F4">
            <v>96.398308125131024</v>
          </cell>
          <cell r="G4">
            <v>0.58467532467532468</v>
          </cell>
          <cell r="H4">
            <v>71.510000000000005</v>
          </cell>
          <cell r="I4">
            <v>60.15625</v>
          </cell>
          <cell r="J4">
            <v>23.53125</v>
          </cell>
          <cell r="K4">
            <v>11.0625</v>
          </cell>
          <cell r="L4">
            <v>12.0625</v>
          </cell>
          <cell r="M4">
            <v>0</v>
          </cell>
          <cell r="N4">
            <v>23.698276332727119</v>
          </cell>
          <cell r="O4">
            <v>101.76807841686704</v>
          </cell>
          <cell r="P4">
            <v>98.508521311778111</v>
          </cell>
          <cell r="Q4">
            <v>0.55109126984126988</v>
          </cell>
          <cell r="R4">
            <v>70.587878787878793</v>
          </cell>
          <cell r="S4">
            <v>61.090909090909093</v>
          </cell>
          <cell r="T4">
            <v>26.060606060606062</v>
          </cell>
          <cell r="U4">
            <v>12.878787878787879</v>
          </cell>
          <cell r="V4">
            <v>10.909090909090908</v>
          </cell>
          <cell r="W4">
            <v>0</v>
          </cell>
          <cell r="X4">
            <v>-1.5</v>
          </cell>
        </row>
        <row r="5">
          <cell r="A5">
            <v>4</v>
          </cell>
          <cell r="B5" t="str">
            <v>Uconn</v>
          </cell>
          <cell r="C5" t="str">
            <v>Illinois</v>
          </cell>
          <cell r="D5">
            <v>18.116591097400342</v>
          </cell>
          <cell r="E5">
            <v>100.0952772073922</v>
          </cell>
          <cell r="F5">
            <v>94.276311107817818</v>
          </cell>
          <cell r="G5">
            <v>0.55882352941176472</v>
          </cell>
          <cell r="H5">
            <v>66.089696969696973</v>
          </cell>
          <cell r="I5">
            <v>58.727272727272727</v>
          </cell>
          <cell r="J5">
            <v>17.696969696969695</v>
          </cell>
          <cell r="K5">
            <v>11.454545454545455</v>
          </cell>
          <cell r="L5">
            <v>11.030303030303031</v>
          </cell>
          <cell r="M5">
            <v>0</v>
          </cell>
          <cell r="N5">
            <v>18.836157720404749</v>
          </cell>
          <cell r="O5">
            <v>105.08780903665816</v>
          </cell>
          <cell r="P5">
            <v>108.93352999987511</v>
          </cell>
          <cell r="Q5">
            <v>0.5511688311688312</v>
          </cell>
          <cell r="R5">
            <v>66.809032258064519</v>
          </cell>
          <cell r="S5">
            <v>62.096774193548384</v>
          </cell>
          <cell r="T5">
            <v>20.387096774193548</v>
          </cell>
          <cell r="U5">
            <v>13.258064516129032</v>
          </cell>
          <cell r="V5">
            <v>9</v>
          </cell>
          <cell r="W5">
            <v>0</v>
          </cell>
          <cell r="X5">
            <v>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E2" sqref="E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441</v>
      </c>
    </row>
    <row r="2" spans="1:13" x14ac:dyDescent="0.2">
      <c r="A2" s="1">
        <v>1</v>
      </c>
      <c r="B2" s="6" t="str">
        <f>VLOOKUP(A2,[1]Games!$B$2:$K$398,2,FALSE)</f>
        <v>Arizona</v>
      </c>
      <c r="C2" s="6" t="str">
        <f>VLOOKUP(A2,[1]Games!$B$2:$K$398,3,FALSE)</f>
        <v>Michigan</v>
      </c>
      <c r="D2" s="6" t="str">
        <f>B2</f>
        <v>Arizona</v>
      </c>
      <c r="E2" s="5">
        <f>VLOOKUP(A2,[1]Games!$B$2:$K$398,4,FALSE)</f>
        <v>2.5323126427002611</v>
      </c>
      <c r="F2" s="5">
        <f>-VLOOKUP(A2,[2]Games!$A$2:$X$284,24,FALSE)</f>
        <v>-1.5</v>
      </c>
      <c r="G2" s="7">
        <f>VLOOKUP(A2,[1]Games!$B$2:$K$398,9,FALSE)</f>
        <v>0.31889491956720589</v>
      </c>
      <c r="H2" s="7">
        <f>VLOOKUP(A2,[1]Games!$B$2:$K$398,7,FALSE)</f>
        <v>0</v>
      </c>
      <c r="I2" s="7">
        <f>VLOOKUP(A2,[1]Games!$B$2:$K$398,8,FALSE)/4</f>
        <v>3.6118804927956473E-2</v>
      </c>
      <c r="J2" s="8" t="s">
        <v>442</v>
      </c>
      <c r="K2" s="5"/>
      <c r="L2" s="9">
        <f>IF(J2="Yes",(H2*1500)/100,0)</f>
        <v>0</v>
      </c>
      <c r="M2" s="1" t="s">
        <v>443</v>
      </c>
    </row>
    <row r="3" spans="1:13" x14ac:dyDescent="0.2">
      <c r="A3" s="1">
        <v>2</v>
      </c>
      <c r="B3" s="6" t="str">
        <f>VLOOKUP(A3,[1]Games!$B$2:$K$398,2,FALSE)</f>
        <v>Illinois</v>
      </c>
      <c r="C3" s="6" t="str">
        <f>VLOOKUP(A3,[1]Games!$B$2:$K$398,3,FALSE)</f>
        <v>Uconn</v>
      </c>
      <c r="D3" s="6" t="str">
        <f t="shared" ref="D3" si="0">B3</f>
        <v>Illinois</v>
      </c>
      <c r="E3" s="5">
        <f>VLOOKUP(A3,[1]Games!$B$2:$K$398,4,FALSE)</f>
        <v>5.0061585122755732</v>
      </c>
      <c r="F3" s="5">
        <f>-VLOOKUP(A3,[2]Games!$A$2:$X$284,24,FALSE)</f>
        <v>2</v>
      </c>
      <c r="G3" s="7">
        <f>VLOOKUP(A3,[1]Games!$B$2:$K$398,9,FALSE)</f>
        <v>0.33651920949923098</v>
      </c>
      <c r="H3" s="7">
        <f>VLOOKUP(A3,[1]Games!$B$2:$K$398,7,FALSE)</f>
        <v>0</v>
      </c>
      <c r="I3" s="7">
        <f>VLOOKUP(A3,[1]Games!$B$2:$K$398,8,FALSE)/4</f>
        <v>2.4201086769535141E-2</v>
      </c>
      <c r="J3" s="8" t="s">
        <v>442</v>
      </c>
      <c r="K3" s="5"/>
      <c r="L3" s="9">
        <f t="shared" ref="L3" si="1">IF(J3="Yes",(H3*1500)/100,0)</f>
        <v>0</v>
      </c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428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413</v>
      </c>
      <c r="K5" s="1" t="s">
        <v>421</v>
      </c>
      <c r="L5" s="1" t="s">
        <v>419</v>
      </c>
      <c r="M5" s="1" t="s">
        <v>420</v>
      </c>
      <c r="N5" s="1" t="s">
        <v>417</v>
      </c>
      <c r="O5" s="1" t="s">
        <v>419</v>
      </c>
      <c r="P5" s="1" t="s">
        <v>418</v>
      </c>
    </row>
    <row r="6" spans="1:16" x14ac:dyDescent="0.2">
      <c r="A6" s="1" t="s">
        <v>422</v>
      </c>
      <c r="B6" s="1">
        <v>1</v>
      </c>
      <c r="C6" s="1" t="s">
        <v>389</v>
      </c>
      <c r="D6" s="1" t="s">
        <v>435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414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423</v>
      </c>
      <c r="B7" s="1">
        <f>B6+1</f>
        <v>2</v>
      </c>
      <c r="C7" s="1" t="s">
        <v>389</v>
      </c>
      <c r="D7" s="1" t="s">
        <v>434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414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424</v>
      </c>
      <c r="B8" s="1">
        <f t="shared" ref="B8:B28" si="4">B7+1</f>
        <v>3</v>
      </c>
      <c r="C8" s="1" t="s">
        <v>388</v>
      </c>
      <c r="D8" s="1" t="s">
        <v>433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414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425</v>
      </c>
      <c r="B9" s="1">
        <f t="shared" si="4"/>
        <v>4</v>
      </c>
      <c r="C9" s="1" t="s">
        <v>388</v>
      </c>
      <c r="D9" s="1" t="s">
        <v>432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414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426</v>
      </c>
      <c r="B10" s="1">
        <f t="shared" si="4"/>
        <v>5</v>
      </c>
      <c r="C10" s="1" t="s">
        <v>389</v>
      </c>
      <c r="D10" s="1" t="s">
        <v>431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414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427</v>
      </c>
      <c r="B11" s="1">
        <f t="shared" si="4"/>
        <v>6</v>
      </c>
      <c r="C11" s="1" t="s">
        <v>389</v>
      </c>
      <c r="D11" s="1" t="s">
        <v>429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414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427</v>
      </c>
      <c r="B12" s="1">
        <f t="shared" si="4"/>
        <v>7</v>
      </c>
      <c r="C12" s="1" t="s">
        <v>389</v>
      </c>
      <c r="D12" s="1" t="s">
        <v>430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414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427</v>
      </c>
      <c r="B13" s="1">
        <f t="shared" si="4"/>
        <v>8</v>
      </c>
      <c r="C13" s="1" t="s">
        <v>389</v>
      </c>
      <c r="D13" s="1" t="s">
        <v>436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414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437</v>
      </c>
      <c r="B14" s="1">
        <f t="shared" si="4"/>
        <v>9</v>
      </c>
      <c r="C14" s="1" t="s">
        <v>388</v>
      </c>
      <c r="D14" s="1" t="s">
        <v>438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414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437</v>
      </c>
      <c r="B15" s="1">
        <f t="shared" si="4"/>
        <v>10</v>
      </c>
      <c r="C15" s="1" t="s">
        <v>389</v>
      </c>
      <c r="D15" s="1" t="s">
        <v>439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414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437</v>
      </c>
      <c r="B16" s="1">
        <f t="shared" si="4"/>
        <v>11</v>
      </c>
      <c r="C16" s="1" t="s">
        <v>388</v>
      </c>
      <c r="D16" s="1" t="s">
        <v>440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414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451</v>
      </c>
      <c r="B17" s="1">
        <f t="shared" si="4"/>
        <v>12</v>
      </c>
      <c r="C17" s="1" t="s">
        <v>388</v>
      </c>
      <c r="D17" s="1" t="s">
        <v>452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414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453</v>
      </c>
      <c r="B18" s="1">
        <f t="shared" si="4"/>
        <v>13</v>
      </c>
      <c r="C18" s="1" t="s">
        <v>388</v>
      </c>
      <c r="D18" s="1" t="s">
        <v>456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414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453</v>
      </c>
      <c r="B19" s="1">
        <f t="shared" si="4"/>
        <v>14</v>
      </c>
      <c r="C19" s="1" t="s">
        <v>389</v>
      </c>
      <c r="D19" s="1" t="s">
        <v>457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414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453</v>
      </c>
      <c r="B20" s="1">
        <f t="shared" si="4"/>
        <v>15</v>
      </c>
      <c r="C20" s="1" t="s">
        <v>388</v>
      </c>
      <c r="D20" s="1" t="s">
        <v>455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414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453</v>
      </c>
      <c r="B21" s="1">
        <f t="shared" si="4"/>
        <v>16</v>
      </c>
      <c r="C21" s="1" t="s">
        <v>388</v>
      </c>
      <c r="D21" s="1" t="s">
        <v>454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414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458</v>
      </c>
      <c r="B22" s="1">
        <f t="shared" si="4"/>
        <v>17</v>
      </c>
      <c r="C22" s="1" t="s">
        <v>388</v>
      </c>
      <c r="D22" s="1" t="s">
        <v>459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414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458</v>
      </c>
      <c r="B23" s="1">
        <f t="shared" si="4"/>
        <v>18</v>
      </c>
      <c r="C23" s="1" t="s">
        <v>388</v>
      </c>
      <c r="D23" s="1" t="s">
        <v>459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414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458</v>
      </c>
      <c r="B24" s="1">
        <f t="shared" si="4"/>
        <v>19</v>
      </c>
      <c r="C24" s="1" t="s">
        <v>388</v>
      </c>
      <c r="D24" s="1" t="s">
        <v>460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414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461</v>
      </c>
      <c r="B25" s="1">
        <f t="shared" si="4"/>
        <v>20</v>
      </c>
      <c r="C25" s="1" t="s">
        <v>388</v>
      </c>
      <c r="D25" s="1" t="s">
        <v>462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414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461</v>
      </c>
      <c r="B26" s="1">
        <f t="shared" si="4"/>
        <v>21</v>
      </c>
      <c r="C26" s="1" t="s">
        <v>388</v>
      </c>
      <c r="D26" s="1" t="s">
        <v>463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414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464</v>
      </c>
      <c r="B27" s="1">
        <f t="shared" si="4"/>
        <v>22</v>
      </c>
      <c r="C27" s="1" t="s">
        <v>389</v>
      </c>
      <c r="D27" s="1" t="s">
        <v>465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414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464</v>
      </c>
      <c r="B28" s="1">
        <f t="shared" si="4"/>
        <v>23</v>
      </c>
      <c r="C28" s="1" t="s">
        <v>388</v>
      </c>
      <c r="D28" s="1" t="s">
        <v>466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414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3"/>
  <sheetViews>
    <sheetView tabSelected="1" workbookViewId="0">
      <selection activeCell="J5" sqref="J5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413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414</v>
      </c>
      <c r="B2" s="1" t="s">
        <v>412</v>
      </c>
      <c r="C2" s="1" t="s">
        <v>2</v>
      </c>
      <c r="D2" s="1">
        <v>2800</v>
      </c>
      <c r="E2" s="1">
        <v>1.111</v>
      </c>
      <c r="F2" s="1">
        <v>171</v>
      </c>
      <c r="G2" s="1" t="s">
        <v>446</v>
      </c>
      <c r="H2" s="11" t="s">
        <v>415</v>
      </c>
      <c r="I2" s="1" t="s">
        <v>468</v>
      </c>
      <c r="J2" s="1" t="s">
        <v>388</v>
      </c>
      <c r="K2" s="1">
        <v>7.5</v>
      </c>
    </row>
    <row r="3" spans="1:11" x14ac:dyDescent="0.2">
      <c r="A3" s="1" t="s">
        <v>414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446</v>
      </c>
      <c r="H3" s="11" t="s">
        <v>416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414</v>
      </c>
      <c r="B4" s="1" t="s">
        <v>412</v>
      </c>
      <c r="C4" s="1" t="s">
        <v>13</v>
      </c>
      <c r="D4" s="1">
        <v>7000</v>
      </c>
      <c r="E4" s="1">
        <v>0.45</v>
      </c>
      <c r="F4" s="1">
        <v>403</v>
      </c>
      <c r="G4" s="1" t="s">
        <v>446</v>
      </c>
      <c r="H4" s="11" t="s">
        <v>416</v>
      </c>
      <c r="I4" s="1" t="s">
        <v>468</v>
      </c>
      <c r="J4" s="1" t="s">
        <v>388</v>
      </c>
      <c r="K4" s="1">
        <v>7.5</v>
      </c>
    </row>
    <row r="5" spans="1:11" x14ac:dyDescent="0.2">
      <c r="A5" s="1" t="s">
        <v>414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446</v>
      </c>
      <c r="H5" s="11" t="s">
        <v>416</v>
      </c>
      <c r="J5" s="1" t="s">
        <v>389</v>
      </c>
      <c r="K5" s="1">
        <f t="shared" si="0"/>
        <v>-0.15</v>
      </c>
    </row>
    <row r="6" spans="1:11" x14ac:dyDescent="0.2">
      <c r="A6" s="1" t="s">
        <v>414</v>
      </c>
      <c r="B6" s="1" t="s">
        <v>444</v>
      </c>
      <c r="C6" s="1" t="s">
        <v>9</v>
      </c>
      <c r="D6" s="1">
        <v>816</v>
      </c>
      <c r="E6" s="1">
        <v>0.85</v>
      </c>
      <c r="F6" s="1">
        <v>468</v>
      </c>
      <c r="G6" s="1" t="s">
        <v>446</v>
      </c>
      <c r="H6" s="1" t="s">
        <v>447</v>
      </c>
      <c r="J6" s="1" t="s">
        <v>389</v>
      </c>
      <c r="K6" s="1">
        <f t="shared" si="0"/>
        <v>-0.85</v>
      </c>
    </row>
    <row r="7" spans="1:11" x14ac:dyDescent="0.2">
      <c r="A7" s="1" t="s">
        <v>414</v>
      </c>
      <c r="B7" s="1" t="s">
        <v>445</v>
      </c>
      <c r="C7" s="1" t="s">
        <v>10</v>
      </c>
      <c r="D7" s="1">
        <v>1725</v>
      </c>
      <c r="E7" s="1">
        <v>0.45</v>
      </c>
      <c r="F7" s="1">
        <v>265</v>
      </c>
      <c r="G7" s="1" t="s">
        <v>446</v>
      </c>
      <c r="H7" s="1" t="s">
        <v>447</v>
      </c>
      <c r="J7" s="1" t="s">
        <v>389</v>
      </c>
      <c r="K7" s="1">
        <f t="shared" si="0"/>
        <v>-0.45</v>
      </c>
    </row>
    <row r="8" spans="1:11" x14ac:dyDescent="0.2">
      <c r="A8" s="1" t="s">
        <v>414</v>
      </c>
      <c r="B8" s="1" t="s">
        <v>448</v>
      </c>
      <c r="C8" s="1" t="s">
        <v>23</v>
      </c>
      <c r="D8" s="1">
        <v>281</v>
      </c>
      <c r="E8" s="1">
        <v>0.65</v>
      </c>
      <c r="F8" s="1">
        <v>281</v>
      </c>
      <c r="G8" s="1" t="s">
        <v>446</v>
      </c>
      <c r="H8" s="1" t="s">
        <v>450</v>
      </c>
      <c r="J8" s="1" t="s">
        <v>389</v>
      </c>
      <c r="K8" s="1">
        <f t="shared" si="0"/>
        <v>-0.65</v>
      </c>
    </row>
    <row r="9" spans="1:11" x14ac:dyDescent="0.2">
      <c r="A9" s="1" t="s">
        <v>414</v>
      </c>
      <c r="B9" s="1" t="s">
        <v>448</v>
      </c>
      <c r="C9" s="1" t="s">
        <v>10</v>
      </c>
      <c r="D9" s="1">
        <v>155</v>
      </c>
      <c r="E9" s="1">
        <v>1</v>
      </c>
      <c r="F9" s="1">
        <v>155</v>
      </c>
      <c r="G9" s="1" t="s">
        <v>446</v>
      </c>
      <c r="H9" s="1" t="s">
        <v>450</v>
      </c>
      <c r="J9" s="1" t="s">
        <v>388</v>
      </c>
      <c r="K9" s="1">
        <f t="shared" si="0"/>
        <v>1.55</v>
      </c>
    </row>
    <row r="10" spans="1:11" x14ac:dyDescent="0.2">
      <c r="A10" s="1" t="s">
        <v>414</v>
      </c>
      <c r="B10" s="1" t="s">
        <v>449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446</v>
      </c>
      <c r="H10" s="1" t="s">
        <v>450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414</v>
      </c>
      <c r="B11" s="1" t="s">
        <v>448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446</v>
      </c>
      <c r="H11" s="1" t="s">
        <v>450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414</v>
      </c>
      <c r="B12" s="1" t="s">
        <v>449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446</v>
      </c>
      <c r="H12" s="1" t="s">
        <v>450</v>
      </c>
      <c r="J12" s="1" t="s">
        <v>389</v>
      </c>
      <c r="K12" s="1">
        <f t="shared" si="0"/>
        <v>-1.0649999999999999</v>
      </c>
    </row>
    <row r="13" spans="1:11" x14ac:dyDescent="0.2">
      <c r="A13" s="1" t="s">
        <v>414</v>
      </c>
      <c r="B13" s="1" t="s">
        <v>445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446</v>
      </c>
      <c r="H13" s="1" t="s">
        <v>447</v>
      </c>
      <c r="I13" s="1" t="s">
        <v>467</v>
      </c>
      <c r="J13" s="1" t="s">
        <v>388</v>
      </c>
      <c r="K13" s="1">
        <f t="shared" ref="K13" si="1">IF(J13=0,0,IF(J13="P",0,IF(J13="L",-E13,IF(D13&lt;0,E13*(100/-D13),E13*(D13/100)))/1))</f>
        <v>1.9369135802469135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C2" sqref="C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383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382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385</v>
      </c>
      <c r="I4">
        <v>3</v>
      </c>
      <c r="J4">
        <v>18.836157720404749</v>
      </c>
    </row>
    <row r="5" spans="1:10" x14ac:dyDescent="0.2">
      <c r="A5" t="s">
        <v>386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384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382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382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383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383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384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385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384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385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382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383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383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383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382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385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382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384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382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384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383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382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384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385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384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385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383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383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382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382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384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2026-04-03T21:40:04Z</dcterms:modified>
</cp:coreProperties>
</file>