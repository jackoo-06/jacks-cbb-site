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E8CD2440-6142-A342-AB7C-1D86FB4870B9}" xr6:coauthVersionLast="47" xr6:coauthVersionMax="47" xr10:uidLastSave="{00000000-0000-0000-0000-000000000000}"/>
  <bookViews>
    <workbookView xWindow="0" yWindow="780" windowWidth="34200" windowHeight="20060" activeTab="1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B2" i="4"/>
  <c r="A2" i="4"/>
  <c r="E6" i="4" l="1"/>
  <c r="G6" i="4"/>
  <c r="M6" i="4"/>
  <c r="J6" i="4"/>
  <c r="K3" i="5"/>
  <c r="K4" i="5"/>
  <c r="K5" i="5"/>
  <c r="K2" i="5"/>
  <c r="F3" i="1" l="1"/>
  <c r="F2" i="1"/>
  <c r="B3" i="1" l="1"/>
  <c r="D3" i="1" s="1"/>
  <c r="C3" i="1"/>
  <c r="C2" i="4"/>
  <c r="H8" i="4"/>
  <c r="H7" i="4"/>
  <c r="H6" i="4"/>
  <c r="F6" i="4"/>
  <c r="F7" i="4" s="1"/>
  <c r="F8" i="4" s="1"/>
  <c r="C2" i="1"/>
  <c r="B2" i="1"/>
  <c r="D2" i="1" s="1"/>
  <c r="E2" i="1" l="1"/>
  <c r="E3" i="1"/>
  <c r="I2" i="1" l="1"/>
  <c r="G2" i="1"/>
  <c r="I3" i="1"/>
  <c r="G3" i="1"/>
  <c r="K3" i="1" l="1"/>
  <c r="H2" i="1"/>
  <c r="K2" i="1" s="1"/>
  <c r="B2" i="2" l="1"/>
  <c r="B85" i="2"/>
  <c r="B123" i="2"/>
  <c r="B273" i="2"/>
  <c r="B234" i="2"/>
  <c r="B79" i="2"/>
  <c r="B74" i="2"/>
  <c r="B218" i="2"/>
  <c r="B283" i="2"/>
  <c r="B335" i="2"/>
  <c r="B169" i="2"/>
  <c r="B305" i="2"/>
  <c r="B262" i="2"/>
  <c r="B219" i="2"/>
  <c r="B132" i="2"/>
  <c r="B80" i="2"/>
  <c r="B73" i="2"/>
  <c r="B107" i="2"/>
  <c r="B316" i="2"/>
  <c r="B315" i="2"/>
  <c r="B91" i="2"/>
  <c r="B26" i="2"/>
  <c r="B203" i="2"/>
  <c r="B236" i="2"/>
  <c r="B76" i="2"/>
  <c r="B130" i="2"/>
  <c r="B119" i="2"/>
  <c r="B268" i="2"/>
  <c r="B284" i="2"/>
  <c r="B249" i="2"/>
  <c r="B59" i="2"/>
  <c r="B35" i="2"/>
  <c r="B97" i="2"/>
  <c r="B191" i="2"/>
  <c r="B328" i="2"/>
  <c r="B64" i="2"/>
  <c r="B320" i="2"/>
  <c r="B145" i="2"/>
  <c r="B148" i="2"/>
  <c r="B326" i="2"/>
  <c r="B92" i="2"/>
  <c r="B115" i="2"/>
  <c r="B296" i="2"/>
  <c r="B172" i="2"/>
  <c r="B89" i="2"/>
  <c r="B344" i="2"/>
  <c r="B19" i="2"/>
  <c r="B235" i="2"/>
  <c r="B359" i="2"/>
  <c r="B242" i="2"/>
  <c r="B259" i="2"/>
  <c r="B40" i="2"/>
  <c r="B167" i="2"/>
  <c r="B28" i="2"/>
  <c r="B105" i="2"/>
  <c r="B245" i="2"/>
  <c r="B227" i="2"/>
  <c r="B214" i="2"/>
  <c r="B205" i="2"/>
  <c r="B180" i="2"/>
  <c r="B129" i="2"/>
  <c r="B83" i="2"/>
  <c r="B46" i="2"/>
  <c r="B254" i="2"/>
  <c r="B312" i="2"/>
  <c r="B258" i="2"/>
  <c r="B310" i="2"/>
  <c r="B230" i="2"/>
  <c r="B274" i="2"/>
  <c r="B16" i="2"/>
  <c r="B164" i="2"/>
  <c r="B136" i="2"/>
  <c r="B120" i="2"/>
  <c r="B252" i="2"/>
  <c r="B77" i="2"/>
  <c r="B141" i="2"/>
  <c r="B7" i="2"/>
  <c r="B220" i="2"/>
  <c r="B110" i="2"/>
  <c r="B272" i="2"/>
  <c r="B21" i="2"/>
  <c r="B188" i="2"/>
  <c r="B348" i="2"/>
  <c r="B201" i="2"/>
  <c r="B20" i="2"/>
  <c r="B10" i="2"/>
  <c r="B248" i="2"/>
  <c r="B217" i="2"/>
  <c r="B184" i="2"/>
  <c r="B307" i="2"/>
  <c r="B124" i="2"/>
  <c r="B127" i="2"/>
  <c r="B86" i="2"/>
  <c r="B99" i="2"/>
  <c r="B24" i="2"/>
  <c r="B192" i="2"/>
  <c r="B199" i="2"/>
  <c r="B329" i="2"/>
  <c r="B263" i="2"/>
  <c r="B206" i="2"/>
  <c r="B55" i="2"/>
  <c r="B194" i="2"/>
  <c r="B277" i="2"/>
  <c r="B84" i="2"/>
  <c r="B5" i="2"/>
  <c r="B33" i="2"/>
  <c r="B289" i="2"/>
  <c r="B48" i="2"/>
  <c r="B165" i="2"/>
  <c r="B345" i="2"/>
  <c r="B12" i="2"/>
  <c r="B280" i="2"/>
  <c r="B147" i="2"/>
  <c r="B330" i="2"/>
  <c r="B365" i="2"/>
  <c r="B204" i="2"/>
  <c r="B72" i="2"/>
  <c r="B364" i="2"/>
  <c r="B221" i="2"/>
  <c r="B183" i="2"/>
  <c r="B340" i="2"/>
  <c r="B351" i="2"/>
  <c r="B126" i="2"/>
  <c r="B65" i="2"/>
  <c r="B243" i="2"/>
  <c r="B198" i="2"/>
  <c r="B159" i="2"/>
  <c r="B82" i="2"/>
  <c r="B238" i="2"/>
  <c r="B324" i="2"/>
  <c r="B189" i="2"/>
  <c r="B166" i="2"/>
  <c r="B298" i="2"/>
  <c r="B47" i="2"/>
  <c r="B244" i="2"/>
  <c r="B90" i="2"/>
  <c r="B325" i="2"/>
  <c r="B177" i="2"/>
  <c r="B49" i="2"/>
  <c r="B336" i="2"/>
  <c r="B294" i="2"/>
  <c r="B332" i="2"/>
  <c r="B223" i="2"/>
  <c r="B334" i="2"/>
  <c r="B139" i="2"/>
  <c r="B51" i="2"/>
  <c r="B4" i="2"/>
  <c r="B111" i="2"/>
  <c r="B361" i="2"/>
  <c r="B44" i="2"/>
  <c r="B255" i="2"/>
  <c r="B131" i="2"/>
  <c r="B200" i="2"/>
  <c r="B253" i="2"/>
  <c r="B38" i="2"/>
  <c r="B27" i="2"/>
  <c r="B34" i="2"/>
  <c r="B331" i="2"/>
  <c r="B343" i="2"/>
  <c r="B13" i="2"/>
  <c r="B17" i="2"/>
  <c r="B6" i="2"/>
  <c r="B112" i="2"/>
  <c r="B366" i="2"/>
  <c r="B22" i="2"/>
  <c r="B108" i="2"/>
  <c r="B37" i="2"/>
  <c r="B240" i="2"/>
  <c r="B285" i="2"/>
  <c r="B271" i="2"/>
  <c r="B101" i="2"/>
  <c r="B68" i="2"/>
  <c r="B338" i="2"/>
  <c r="B54" i="2"/>
  <c r="B323" i="2"/>
  <c r="B333" i="2"/>
  <c r="B342" i="2"/>
  <c r="B261" i="2"/>
  <c r="B95" i="2"/>
  <c r="B43" i="2"/>
  <c r="B56" i="2"/>
  <c r="B278" i="2"/>
  <c r="B306" i="2"/>
  <c r="B233" i="2"/>
  <c r="B173" i="2"/>
  <c r="B151" i="2"/>
  <c r="B93" i="2"/>
  <c r="B153" i="2"/>
  <c r="B347" i="2"/>
  <c r="B128" i="2"/>
  <c r="B302" i="2"/>
  <c r="B207" i="2"/>
  <c r="B30" i="2"/>
  <c r="B293" i="2"/>
  <c r="B117" i="2"/>
  <c r="B360" i="2"/>
  <c r="B70" i="2"/>
  <c r="B346" i="2"/>
  <c r="B341" i="2"/>
  <c r="B232" i="2"/>
  <c r="B106" i="2"/>
  <c r="B212" i="2"/>
  <c r="B114" i="2"/>
  <c r="B140" i="2"/>
  <c r="B168" i="2"/>
  <c r="B185" i="2"/>
  <c r="B226" i="2"/>
  <c r="B178" i="2"/>
  <c r="B146" i="2"/>
  <c r="B352" i="2"/>
  <c r="B301" i="2"/>
  <c r="B144" i="2"/>
  <c r="B134" i="2"/>
  <c r="B96" i="2"/>
  <c r="B42" i="2"/>
  <c r="B357" i="2"/>
  <c r="B31" i="2"/>
  <c r="B25" i="2"/>
  <c r="B45" i="2"/>
  <c r="B275" i="2"/>
  <c r="B143" i="2"/>
  <c r="B195" i="2"/>
  <c r="B231" i="2"/>
  <c r="B32" i="2"/>
  <c r="B23" i="2"/>
  <c r="B113" i="2"/>
  <c r="B142" i="2"/>
  <c r="B239" i="2"/>
  <c r="B69" i="2"/>
  <c r="B121" i="2"/>
  <c r="B150" i="2"/>
  <c r="B122" i="2"/>
  <c r="B11" i="2"/>
  <c r="B309" i="2"/>
  <c r="B295" i="2"/>
  <c r="B222" i="2"/>
  <c r="B175" i="2"/>
  <c r="B125" i="2"/>
  <c r="B265" i="2"/>
  <c r="B322" i="2"/>
  <c r="B291" i="2"/>
  <c r="B94" i="2"/>
  <c r="B161" i="2"/>
  <c r="B241" i="2"/>
  <c r="B363" i="2"/>
  <c r="B157" i="2"/>
  <c r="B98" i="2"/>
  <c r="B100" i="2"/>
  <c r="B138" i="2"/>
  <c r="B9" i="2"/>
  <c r="B57" i="2"/>
  <c r="B39" i="2"/>
  <c r="B190" i="2"/>
  <c r="B270" i="2"/>
  <c r="B215" i="2"/>
  <c r="B350" i="2"/>
  <c r="B257" i="2"/>
  <c r="B170" i="2"/>
  <c r="B62" i="2"/>
  <c r="B300" i="2"/>
  <c r="B29" i="2"/>
  <c r="B103" i="2"/>
  <c r="B186" i="2"/>
  <c r="B292" i="2"/>
  <c r="B154" i="2"/>
  <c r="B193" i="2"/>
  <c r="B197" i="2"/>
  <c r="B266" i="2"/>
  <c r="B3" i="2"/>
  <c r="B202" i="2"/>
  <c r="B109" i="2"/>
  <c r="B286" i="2"/>
  <c r="B66" i="2"/>
  <c r="B267" i="2"/>
  <c r="B208" i="2"/>
  <c r="B149" i="2"/>
  <c r="B356" i="2"/>
  <c r="B50" i="2"/>
  <c r="B182" i="2"/>
  <c r="B303" i="2"/>
  <c r="B176" i="2"/>
  <c r="B225" i="2"/>
  <c r="B349" i="2"/>
  <c r="B137" i="2"/>
  <c r="B313" i="2"/>
  <c r="B237" i="2"/>
  <c r="B355" i="2"/>
  <c r="B174" i="2"/>
  <c r="B251" i="2"/>
  <c r="B256" i="2"/>
  <c r="B36" i="2"/>
  <c r="B160" i="2"/>
  <c r="B282" i="2"/>
  <c r="B281" i="2"/>
  <c r="B61" i="2"/>
  <c r="B135" i="2"/>
  <c r="B317" i="2"/>
  <c r="B287" i="2"/>
  <c r="B67" i="2"/>
  <c r="B297" i="2"/>
  <c r="B353" i="2"/>
  <c r="B213" i="2"/>
  <c r="B250" i="2"/>
  <c r="B216" i="2"/>
  <c r="B196" i="2"/>
  <c r="B247" i="2"/>
  <c r="B211" i="2"/>
  <c r="B228" i="2"/>
  <c r="B63" i="2"/>
  <c r="B224" i="2"/>
  <c r="B279" i="2"/>
  <c r="B354" i="2"/>
  <c r="B158" i="2"/>
  <c r="B60" i="2"/>
  <c r="B179" i="2"/>
  <c r="B155" i="2"/>
  <c r="B229" i="2"/>
  <c r="B319" i="2"/>
  <c r="B152" i="2"/>
  <c r="B15" i="2"/>
  <c r="B339" i="2"/>
  <c r="B58" i="2"/>
  <c r="B308" i="2"/>
  <c r="B209" i="2"/>
  <c r="B163" i="2"/>
  <c r="B290" i="2"/>
  <c r="B187" i="2"/>
  <c r="B133" i="2"/>
  <c r="B53" i="2"/>
  <c r="B14" i="2"/>
  <c r="B181" i="2"/>
  <c r="B311" i="2"/>
  <c r="B71" i="2"/>
  <c r="B162" i="2"/>
  <c r="B288" i="2"/>
  <c r="B8" i="2"/>
  <c r="B269" i="2"/>
  <c r="B171" i="2"/>
  <c r="B18" i="2"/>
  <c r="B264" i="2"/>
  <c r="B52" i="2"/>
  <c r="B210" i="2"/>
  <c r="B156" i="2"/>
  <c r="B116" i="2"/>
  <c r="B362" i="2"/>
  <c r="B260" i="2"/>
  <c r="B87" i="2"/>
  <c r="B75" i="2"/>
  <c r="B358" i="2"/>
  <c r="B299" i="2"/>
  <c r="C299" i="2" s="1"/>
  <c r="B88" i="2"/>
  <c r="B337" i="2"/>
  <c r="B81" i="2"/>
  <c r="B327" i="2"/>
  <c r="B104" i="2"/>
  <c r="B314" i="2"/>
  <c r="B118" i="2"/>
  <c r="B304" i="2"/>
  <c r="B246" i="2"/>
  <c r="B78" i="2"/>
  <c r="B321" i="2"/>
  <c r="B276" i="2"/>
  <c r="B41" i="2"/>
  <c r="B318" i="2"/>
  <c r="B102" i="2"/>
  <c r="C36" i="2" l="1"/>
  <c r="C362" i="2"/>
  <c r="C78" i="2"/>
  <c r="C337" i="2"/>
  <c r="C133" i="2"/>
  <c r="C15" i="2"/>
  <c r="C354" i="2"/>
  <c r="C216" i="2"/>
  <c r="C303" i="2"/>
  <c r="C350" i="2"/>
  <c r="C100" i="2"/>
  <c r="C322" i="2"/>
  <c r="C122" i="2"/>
  <c r="C32" i="2"/>
  <c r="C357" i="2"/>
  <c r="C178" i="2"/>
  <c r="C232" i="2"/>
  <c r="C207" i="2"/>
  <c r="C233" i="2"/>
  <c r="C333" i="2"/>
  <c r="C240" i="2"/>
  <c r="C13" i="2"/>
  <c r="C131" i="2"/>
  <c r="C334" i="2"/>
  <c r="C90" i="2"/>
  <c r="C82" i="2"/>
  <c r="C183" i="2"/>
  <c r="C280" i="2"/>
  <c r="C84" i="2"/>
  <c r="C192" i="2"/>
  <c r="C217" i="2"/>
  <c r="C272" i="2"/>
  <c r="C136" i="2"/>
  <c r="C254" i="2"/>
  <c r="C245" i="2"/>
  <c r="C235" i="2"/>
  <c r="C326" i="2"/>
  <c r="C35" i="2"/>
  <c r="C236" i="2"/>
  <c r="C80" i="2"/>
  <c r="C218" i="2"/>
  <c r="C308" i="2"/>
  <c r="C211" i="2"/>
  <c r="C67" i="2"/>
  <c r="C321" i="2"/>
  <c r="C81" i="2"/>
  <c r="C116" i="2"/>
  <c r="C8" i="2"/>
  <c r="C135" i="2"/>
  <c r="C174" i="2"/>
  <c r="C286" i="2"/>
  <c r="C292" i="2"/>
  <c r="C246" i="2"/>
  <c r="C88" i="2"/>
  <c r="C156" i="2"/>
  <c r="C288" i="2"/>
  <c r="C187" i="2"/>
  <c r="C152" i="2"/>
  <c r="C279" i="2"/>
  <c r="C250" i="2"/>
  <c r="C61" i="2"/>
  <c r="C355" i="2"/>
  <c r="C182" i="2"/>
  <c r="C109" i="2"/>
  <c r="C186" i="2"/>
  <c r="C215" i="2"/>
  <c r="C98" i="2"/>
  <c r="C265" i="2"/>
  <c r="C150" i="2"/>
  <c r="C231" i="2"/>
  <c r="C42" i="2"/>
  <c r="C226" i="2"/>
  <c r="C341" i="2"/>
  <c r="C302" i="2"/>
  <c r="C306" i="2"/>
  <c r="C323" i="2"/>
  <c r="C37" i="2"/>
  <c r="C343" i="2"/>
  <c r="C255" i="2"/>
  <c r="C223" i="2"/>
  <c r="C244" i="2"/>
  <c r="C159" i="2"/>
  <c r="C221" i="2"/>
  <c r="C12" i="2"/>
  <c r="C277" i="2"/>
  <c r="C24" i="2"/>
  <c r="C248" i="2"/>
  <c r="C110" i="2"/>
  <c r="C164" i="2"/>
  <c r="C46" i="2"/>
  <c r="C105" i="2"/>
  <c r="C19" i="2"/>
  <c r="C148" i="2"/>
  <c r="C59" i="2"/>
  <c r="C203" i="2"/>
  <c r="C132" i="2"/>
  <c r="C74" i="2"/>
  <c r="C162" i="2"/>
  <c r="C281" i="2"/>
  <c r="C121" i="2"/>
  <c r="C195" i="2"/>
  <c r="C96" i="2"/>
  <c r="C185" i="2"/>
  <c r="C128" i="2"/>
  <c r="C278" i="2"/>
  <c r="C54" i="2"/>
  <c r="C108" i="2"/>
  <c r="C331" i="2"/>
  <c r="C47" i="2"/>
  <c r="C198" i="2"/>
  <c r="C364" i="2"/>
  <c r="C345" i="2"/>
  <c r="C194" i="2"/>
  <c r="C99" i="2"/>
  <c r="C10" i="2"/>
  <c r="C220" i="2"/>
  <c r="C16" i="2"/>
  <c r="C83" i="2"/>
  <c r="C28" i="2"/>
  <c r="C344" i="2"/>
  <c r="C145" i="2"/>
  <c r="C249" i="2"/>
  <c r="C26" i="2"/>
  <c r="C219" i="2"/>
  <c r="C79" i="2"/>
  <c r="C104" i="2"/>
  <c r="C18" i="2"/>
  <c r="C304" i="2"/>
  <c r="C210" i="2"/>
  <c r="C290" i="2"/>
  <c r="C224" i="2"/>
  <c r="C237" i="2"/>
  <c r="C50" i="2"/>
  <c r="C270" i="2"/>
  <c r="C157" i="2"/>
  <c r="C346" i="2"/>
  <c r="C44" i="2"/>
  <c r="C102" i="2"/>
  <c r="C118" i="2"/>
  <c r="C358" i="2"/>
  <c r="C52" i="2"/>
  <c r="C163" i="2"/>
  <c r="C63" i="2"/>
  <c r="C353" i="2"/>
  <c r="C282" i="2"/>
  <c r="C313" i="2"/>
  <c r="C356" i="2"/>
  <c r="C3" i="2"/>
  <c r="C29" i="2"/>
  <c r="C190" i="2"/>
  <c r="C363" i="2"/>
  <c r="C175" i="2"/>
  <c r="C69" i="2"/>
  <c r="C143" i="2"/>
  <c r="C134" i="2"/>
  <c r="C168" i="2"/>
  <c r="C70" i="2"/>
  <c r="C347" i="2"/>
  <c r="C56" i="2"/>
  <c r="C338" i="2"/>
  <c r="C22" i="2"/>
  <c r="C34" i="2"/>
  <c r="C361" i="2"/>
  <c r="C294" i="2"/>
  <c r="C298" i="2"/>
  <c r="C243" i="2"/>
  <c r="C72" i="2"/>
  <c r="C165" i="2"/>
  <c r="C55" i="2"/>
  <c r="C86" i="2"/>
  <c r="C20" i="2"/>
  <c r="C7" i="2"/>
  <c r="C274" i="2"/>
  <c r="C129" i="2"/>
  <c r="C167" i="2"/>
  <c r="C89" i="2"/>
  <c r="C320" i="2"/>
  <c r="C284" i="2"/>
  <c r="C91" i="2"/>
  <c r="C262" i="2"/>
  <c r="C234" i="2"/>
  <c r="C319" i="2"/>
  <c r="C213" i="2"/>
  <c r="C202" i="2"/>
  <c r="C103" i="2"/>
  <c r="C125" i="2"/>
  <c r="C332" i="2"/>
  <c r="C71" i="2"/>
  <c r="C229" i="2"/>
  <c r="C318" i="2"/>
  <c r="C314" i="2"/>
  <c r="C75" i="2"/>
  <c r="C264" i="2"/>
  <c r="C311" i="2"/>
  <c r="C209" i="2"/>
  <c r="C155" i="2"/>
  <c r="C228" i="2"/>
  <c r="C297" i="2"/>
  <c r="C160" i="2"/>
  <c r="C137" i="2"/>
  <c r="C149" i="2"/>
  <c r="C266" i="2"/>
  <c r="C300" i="2"/>
  <c r="C39" i="2"/>
  <c r="C241" i="2"/>
  <c r="C222" i="2"/>
  <c r="C239" i="2"/>
  <c r="C275" i="2"/>
  <c r="C144" i="2"/>
  <c r="C140" i="2"/>
  <c r="C360" i="2"/>
  <c r="C153" i="2"/>
  <c r="C43" i="2"/>
  <c r="C68" i="2"/>
  <c r="C366" i="2"/>
  <c r="C27" i="2"/>
  <c r="C111" i="2"/>
  <c r="C336" i="2"/>
  <c r="C166" i="2"/>
  <c r="C65" i="2"/>
  <c r="C204" i="2"/>
  <c r="C48" i="2"/>
  <c r="C206" i="2"/>
  <c r="C127" i="2"/>
  <c r="C201" i="2"/>
  <c r="C141" i="2"/>
  <c r="C230" i="2"/>
  <c r="C180" i="2"/>
  <c r="C40" i="2"/>
  <c r="C172" i="2"/>
  <c r="C64" i="2"/>
  <c r="C268" i="2"/>
  <c r="C315" i="2"/>
  <c r="C305" i="2"/>
  <c r="C273" i="2"/>
  <c r="C349" i="2"/>
  <c r="C57" i="2"/>
  <c r="C161" i="2"/>
  <c r="C142" i="2"/>
  <c r="C45" i="2"/>
  <c r="C301" i="2"/>
  <c r="C114" i="2"/>
  <c r="C117" i="2"/>
  <c r="C93" i="2"/>
  <c r="C95" i="2"/>
  <c r="C101" i="2"/>
  <c r="C112" i="2"/>
  <c r="C38" i="2"/>
  <c r="C4" i="2"/>
  <c r="C49" i="2"/>
  <c r="C189" i="2"/>
  <c r="C126" i="2"/>
  <c r="C365" i="2"/>
  <c r="C289" i="2"/>
  <c r="C263" i="2"/>
  <c r="C124" i="2"/>
  <c r="C348" i="2"/>
  <c r="C77" i="2"/>
  <c r="C310" i="2"/>
  <c r="C205" i="2"/>
  <c r="C259" i="2"/>
  <c r="C296" i="2"/>
  <c r="C328" i="2"/>
  <c r="C119" i="2"/>
  <c r="C316" i="2"/>
  <c r="C169" i="2"/>
  <c r="C123" i="2"/>
  <c r="C41" i="2"/>
  <c r="C181" i="2"/>
  <c r="C179" i="2"/>
  <c r="C208" i="2"/>
  <c r="C197" i="2"/>
  <c r="C62" i="2"/>
  <c r="C295" i="2"/>
  <c r="C276" i="2"/>
  <c r="C327" i="2"/>
  <c r="C260" i="2"/>
  <c r="C171" i="2"/>
  <c r="C14" i="2"/>
  <c r="C58" i="2"/>
  <c r="C60" i="2"/>
  <c r="C247" i="2"/>
  <c r="C287" i="2"/>
  <c r="C256" i="2"/>
  <c r="C225" i="2"/>
  <c r="C267" i="2"/>
  <c r="C193" i="2"/>
  <c r="C170" i="2"/>
  <c r="C9" i="2"/>
  <c r="C94" i="2"/>
  <c r="C309" i="2"/>
  <c r="C113" i="2"/>
  <c r="C25" i="2"/>
  <c r="C352" i="2"/>
  <c r="C212" i="2"/>
  <c r="C293" i="2"/>
  <c r="C151" i="2"/>
  <c r="C261" i="2"/>
  <c r="C271" i="2"/>
  <c r="C6" i="2"/>
  <c r="C253" i="2"/>
  <c r="C51" i="2"/>
  <c r="C177" i="2"/>
  <c r="C324" i="2"/>
  <c r="C351" i="2"/>
  <c r="C330" i="2"/>
  <c r="C33" i="2"/>
  <c r="C329" i="2"/>
  <c r="C307" i="2"/>
  <c r="C188" i="2"/>
  <c r="C252" i="2"/>
  <c r="C258" i="2"/>
  <c r="C214" i="2"/>
  <c r="C242" i="2"/>
  <c r="C115" i="2"/>
  <c r="C191" i="2"/>
  <c r="C130" i="2"/>
  <c r="C107" i="2"/>
  <c r="C335" i="2"/>
  <c r="C85" i="2"/>
  <c r="C87" i="2"/>
  <c r="C269" i="2"/>
  <c r="C53" i="2"/>
  <c r="C339" i="2"/>
  <c r="C158" i="2"/>
  <c r="C196" i="2"/>
  <c r="C317" i="2"/>
  <c r="C251" i="2"/>
  <c r="C176" i="2"/>
  <c r="C66" i="2"/>
  <c r="C154" i="2"/>
  <c r="C257" i="2"/>
  <c r="C138" i="2"/>
  <c r="C291" i="2"/>
  <c r="C11" i="2"/>
  <c r="C23" i="2"/>
  <c r="C31" i="2"/>
  <c r="C146" i="2"/>
  <c r="C106" i="2"/>
  <c r="C30" i="2"/>
  <c r="C173" i="2"/>
  <c r="C342" i="2"/>
  <c r="C285" i="2"/>
  <c r="C17" i="2"/>
  <c r="C200" i="2"/>
  <c r="C139" i="2"/>
  <c r="C325" i="2"/>
  <c r="C238" i="2"/>
  <c r="C340" i="2"/>
  <c r="C147" i="2"/>
  <c r="C5" i="2"/>
  <c r="C199" i="2"/>
  <c r="C184" i="2"/>
  <c r="C21" i="2"/>
  <c r="C120" i="2"/>
  <c r="C312" i="2"/>
  <c r="C227" i="2"/>
  <c r="C359" i="2"/>
  <c r="C92" i="2"/>
  <c r="C97" i="2"/>
  <c r="C76" i="2"/>
  <c r="C73" i="2"/>
  <c r="C283" i="2"/>
  <c r="C2" i="2"/>
</calcChain>
</file>

<file path=xl/sharedStrings.xml><?xml version="1.0" encoding="utf-8"?>
<sst xmlns="http://schemas.openxmlformats.org/spreadsheetml/2006/main" count="573" uniqueCount="426">
  <si>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</si>
  <si>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</si>
  <si>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</si>
  <si>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</si>
  <si>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</si>
  <si>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</si>
  <si>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</si>
  <si>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</si>
  <si>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</si>
  <si>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</si>
  <si>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</si>
  <si>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</si>
  <si>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</si>
  <si>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</si>
  <si>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</si>
  <si>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</si>
  <si>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</si>
  <si>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</si>
  <si>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</si>
  <si>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</si>
  <si>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</si>
  <si>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</si>
  <si>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</si>
  <si>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</si>
  <si>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</si>
  <si>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</si>
  <si>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</si>
  <si>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</si>
  <si>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</si>
  <si>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</si>
  <si>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</si>
  <si>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</si>
  <si>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</si>
  <si>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</si>
  <si>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</si>
  <si>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</si>
  <si>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</si>
  <si>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</si>
  <si>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</si>
  <si>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</si>
  <si>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</si>
  <si>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</si>
  <si>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</si>
  <si>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</si>
  <si>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</si>
  <si>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</si>
  <si>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</si>
  <si>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</si>
  <si>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</si>
  <si>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</si>
  <si>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</si>
  <si>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</si>
  <si>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</si>
  <si>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</si>
  <si>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</si>
  <si>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</si>
  <si>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</si>
  <si>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</si>
  <si>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</si>
  <si>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</si>
  <si>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</si>
  <si>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</si>
  <si>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</si>
  <si>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</si>
  <si>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</si>
  <si>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</si>
  <si>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</si>
  <si>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</si>
  <si>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</si>
  <si>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</si>
  <si>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</si>
  <si>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</si>
  <si>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</si>
  <si>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</si>
  <si>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</si>
  <si>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</si>
  <si>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</si>
  <si>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</si>
  <si>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</si>
  <si>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</si>
  <si>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</si>
  <si>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</si>
  <si>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</si>
  <si>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</si>
  <si>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</si>
  <si>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</si>
  <si>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</si>
  <si>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</si>
  <si>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</si>
  <si>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</si>
  <si>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</si>
  <si>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</si>
  <si>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</si>
  <si>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</si>
  <si>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</si>
  <si>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</si>
  <si>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</si>
  <si>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</si>
  <si>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</si>
  <si>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</si>
  <si>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</si>
  <si>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</si>
  <si>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</si>
  <si>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</si>
  <si>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</si>
  <si>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</si>
  <si>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</si>
  <si>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</si>
  <si>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</si>
  <si>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</si>
  <si>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</si>
  <si>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</si>
  <si>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</si>
  <si>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</si>
  <si>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</si>
  <si>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</si>
  <si>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</si>
  <si>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</si>
  <si>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</si>
  <si>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</si>
  <si>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</si>
  <si>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</si>
  <si>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</si>
  <si>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</si>
  <si>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</si>
  <si>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</si>
  <si>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</si>
  <si>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</si>
  <si>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</si>
  <si>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</si>
  <si>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</si>
  <si>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</si>
  <si>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</si>
  <si>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</si>
  <si>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</si>
  <si>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</si>
  <si>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</si>
  <si>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</si>
  <si>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</si>
  <si>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</si>
  <si>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</si>
  <si>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</si>
  <si>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</si>
  <si>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</si>
  <si>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</si>
  <si>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</si>
  <si>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</si>
  <si>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</si>
  <si>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</si>
  <si>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</si>
  <si>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</si>
  <si>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</si>
  <si>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</si>
  <si>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</si>
  <si>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</si>
  <si>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</si>
  <si>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</si>
  <si>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</si>
  <si>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</si>
  <si>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</si>
  <si>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</si>
  <si>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</si>
  <si>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</si>
  <si>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</si>
  <si>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</si>
  <si>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</si>
  <si>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</si>
  <si>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</si>
  <si>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</si>
  <si>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</si>
  <si>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</si>
  <si>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</si>
  <si>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</si>
  <si>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</si>
  <si>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</si>
  <si>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</si>
  <si>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</si>
  <si>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</si>
  <si>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</si>
  <si>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</si>
  <si>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</si>
  <si>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</si>
  <si>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</si>
  <si>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</si>
  <si>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</si>
  <si>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</si>
  <si>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</si>
  <si>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</si>
  <si>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</si>
  <si>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</si>
  <si>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</si>
  <si>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</si>
  <si>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</si>
  <si>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</si>
  <si>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</si>
  <si>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</si>
  <si>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</si>
  <si>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</si>
  <si>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</si>
  <si>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</si>
  <si>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</si>
  <si>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</si>
  <si>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</si>
  <si>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</si>
  <si>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</si>
  <si>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</si>
  <si>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</si>
  <si>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</si>
  <si>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</si>
  <si>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</si>
  <si>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</si>
  <si>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</si>
  <si>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</si>
  <si>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</si>
  <si>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</si>
  <si>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</si>
  <si>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</si>
  <si>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</si>
  <si>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</si>
  <si>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</si>
  <si>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</si>
  <si>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</si>
  <si>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</si>
  <si>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</si>
  <si>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</si>
  <si>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</si>
  <si>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</si>
  <si>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</si>
  <si>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</si>
  <si>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</si>
  <si>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</si>
  <si>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</si>
  <si>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</si>
  <si>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</si>
  <si>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</si>
  <si>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</si>
  <si>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</si>
  <si>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</si>
  <si>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</si>
  <si>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</si>
  <si>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</si>
  <si>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</si>
  <si>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</si>
  <si>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</si>
  <si>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</si>
  <si>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</si>
  <si>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</si>
  <si>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</si>
  <si>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</si>
  <si>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</si>
  <si>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</si>
  <si>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</si>
  <si>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</si>
  <si>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</si>
  <si>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</si>
  <si>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</si>
  <si>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</si>
  <si>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</si>
  <si>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</si>
  <si>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</si>
  <si>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</si>
  <si>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</si>
  <si>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</si>
  <si>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</si>
  <si>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</si>
  <si>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</si>
  <si>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</si>
  <si>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</si>
  <si>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</si>
  <si>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</si>
  <si>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</si>
  <si>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</si>
  <si>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</si>
  <si>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</si>
  <si>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</si>
  <si>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</si>
  <si>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</si>
  <si>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</si>
  <si>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</si>
  <si>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</si>
  <si>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</si>
  <si>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</si>
  <si>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</si>
  <si>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</si>
  <si>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</si>
  <si>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</si>
  <si>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</si>
  <si>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</si>
  <si>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</si>
  <si>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</si>
  <si>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</si>
  <si>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</si>
  <si>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</si>
  <si>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</si>
  <si>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</si>
  <si>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</si>
  <si>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</si>
  <si>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</si>
  <si>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</si>
  <si>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</si>
  <si>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</si>
  <si>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</si>
  <si>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</si>
  <si>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</si>
  <si>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</si>
  <si>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</si>
  <si>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</si>
  <si>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</si>
  <si>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</si>
  <si>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</si>
  <si>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</si>
  <si>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</si>
  <si>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</si>
  <si>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</si>
  <si>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</si>
  <si>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</si>
  <si>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</si>
  <si>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</si>
  <si>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</si>
  <si>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</si>
  <si>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</si>
  <si>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</si>
  <si>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</si>
  <si>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</si>
  <si>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</si>
  <si>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</si>
  <si>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</si>
  <si>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</si>
  <si>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</si>
  <si>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</si>
  <si>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</si>
  <si>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</si>
  <si>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</si>
  <si>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</si>
  <si>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</si>
  <si>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</si>
  <si>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</si>
  <si>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</si>
  <si>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</si>
  <si>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</si>
  <si>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</si>
  <si>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</si>
  <si>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</si>
  <si>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</si>
  <si>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</si>
  <si>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</si>
  <si>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</si>
  <si>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</si>
  <si>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</si>
  <si>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</si>
  <si>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</si>
  <si>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</si>
  <si>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</si>
  <si>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</si>
  <si>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</si>
  <si>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</si>
  <si>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</si>
  <si>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</si>
  <si>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</si>
  <si>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</si>
  <si>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</si>
  <si>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</si>
  <si>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</si>
  <si>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</si>
  <si>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</si>
  <si>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</si>
  <si>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</si>
  <si>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</si>
  <si>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</si>
  <si>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</si>
  <si>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</si>
  <si>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</si>
  <si>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</si>
  <si>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</si>
  <si>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</si>
  <si>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</si>
  <si>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</si>
  <si>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</si>
  <si>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</si>
  <si>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</si>
  <si>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</si>
  <si>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</si>
  <si>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</si>
  <si>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</si>
  <si>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</si>
  <si>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</si>
  <si>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</si>
  <si>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</si>
  <si>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</si>
  <si>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</si>
  <si>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</si>
  <si>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</si>
  <si>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</si>
  <si>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Yes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</si>
  <si>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</si>
  <si>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</si>
  <si>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</si>
  <si>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</si>
  <si>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</si>
  <si>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</si>
  <si>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</si>
  <si>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</si>
  <si>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</si>
  <si>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No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</si>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</sst>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[$-1009]mmmm\ d\,\ yyyy;@"/>
    <numFmt numFmtId="166" formatCode="0.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9" fontId="0" fillId="0" borderId="0" xfId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Rutgers</v>
          </cell>
          <cell r="D2" t="str">
            <v>Penn State</v>
          </cell>
          <cell r="E2">
            <v>6.6503909164638628</v>
          </cell>
          <cell r="F2" t="b">
            <v>0</v>
          </cell>
          <cell r="G2">
            <v>0.54107781353060469</v>
          </cell>
          <cell r="H2">
            <v>0</v>
          </cell>
          <cell r="I2">
            <v>3.2966734922063527E-2</v>
          </cell>
          <cell r="J2">
            <v>0.30938354014939579</v>
          </cell>
          <cell r="K2">
            <v>0</v>
          </cell>
        </row>
        <row r="3">
          <cell r="B3">
            <v>2</v>
          </cell>
          <cell r="C3" t="str">
            <v>Tulane</v>
          </cell>
          <cell r="D3" t="str">
            <v>Memphis</v>
          </cell>
          <cell r="E3">
            <v>-0.46173064200789132</v>
          </cell>
          <cell r="F3" t="b">
            <v>0</v>
          </cell>
          <cell r="G3">
            <v>0.51341861913540121</v>
          </cell>
          <cell r="H3">
            <v>0</v>
          </cell>
          <cell r="I3">
            <v>-1.9837181650597668E-2</v>
          </cell>
          <cell r="J3">
            <v>1.728501237959967E-2</v>
          </cell>
          <cell r="K3">
            <v>0</v>
          </cell>
        </row>
        <row r="4">
          <cell r="B4">
            <v>3</v>
          </cell>
          <cell r="C4" t="str">
            <v>South Florida</v>
          </cell>
          <cell r="D4" t="str">
            <v>Charlotte</v>
          </cell>
          <cell r="E4">
            <v>18.508959872341041</v>
          </cell>
          <cell r="F4" t="b">
            <v>0</v>
          </cell>
          <cell r="G4">
            <v>0.54508783966837915</v>
          </cell>
          <cell r="H4">
            <v>0</v>
          </cell>
          <cell r="I4">
            <v>4.0622239366905677E-2</v>
          </cell>
          <cell r="J4">
            <v>0.64053753922301471</v>
          </cell>
          <cell r="K4">
            <v>0</v>
          </cell>
        </row>
        <row r="5">
          <cell r="B5">
            <v>4</v>
          </cell>
          <cell r="C5" t="str">
            <v>Tulsa</v>
          </cell>
          <cell r="D5" t="str">
            <v>Temple</v>
          </cell>
          <cell r="E5">
            <v>10.821350111085099</v>
          </cell>
          <cell r="F5" t="b">
            <v>0</v>
          </cell>
          <cell r="G5">
            <v>0.50801197048112279</v>
          </cell>
          <cell r="H5">
            <v>0</v>
          </cell>
          <cell r="I5">
            <v>-3.015896544512919E-2</v>
          </cell>
          <cell r="J5">
            <v>0.36207515278787289</v>
          </cell>
          <cell r="K5">
            <v>0</v>
          </cell>
        </row>
        <row r="6">
          <cell r="B6">
            <v>5</v>
          </cell>
          <cell r="C6" t="str">
            <v>Maryland</v>
          </cell>
          <cell r="D6" t="str">
            <v>Illinois</v>
          </cell>
          <cell r="E6">
            <v>-16.29641116191204</v>
          </cell>
          <cell r="F6" t="b">
            <v>0</v>
          </cell>
          <cell r="G6">
            <v>0.54180443411792423</v>
          </cell>
          <cell r="H6">
            <v>0</v>
          </cell>
          <cell r="I6">
            <v>3.435391967967355E-2</v>
          </cell>
          <cell r="J6">
            <v>0.58520855084141588</v>
          </cell>
          <cell r="K6">
            <v>0</v>
          </cell>
        </row>
        <row r="7">
          <cell r="B7">
            <v>6</v>
          </cell>
          <cell r="C7" t="str">
            <v>UAB</v>
          </cell>
          <cell r="D7" t="str">
            <v>East Carolina</v>
          </cell>
          <cell r="E7">
            <v>9.930227623987129</v>
          </cell>
          <cell r="F7" t="b">
            <v>0</v>
          </cell>
          <cell r="G7">
            <v>0.51420364111992689</v>
          </cell>
          <cell r="H7">
            <v>0</v>
          </cell>
          <cell r="I7">
            <v>-1.833850331650316E-2</v>
          </cell>
          <cell r="J7">
            <v>0.28301278470666458</v>
          </cell>
          <cell r="K7">
            <v>0</v>
          </cell>
        </row>
        <row r="8">
          <cell r="B8">
            <v>7</v>
          </cell>
          <cell r="C8" t="str">
            <v>Rice</v>
          </cell>
          <cell r="D8" t="str">
            <v>UTSA</v>
          </cell>
          <cell r="E8">
            <v>12.91658317102881</v>
          </cell>
          <cell r="F8" t="b">
            <v>0</v>
          </cell>
          <cell r="G8">
            <v>0.52284149229837196</v>
          </cell>
          <cell r="H8">
            <v>0</v>
          </cell>
          <cell r="I8">
            <v>-1.8480601576534861E-3</v>
          </cell>
          <cell r="J8">
            <v>0.45842417529937263</v>
          </cell>
          <cell r="K8">
            <v>0</v>
          </cell>
        </row>
        <row r="9">
          <cell r="B9">
            <v>8</v>
          </cell>
          <cell r="C9" t="str">
            <v>Michigan</v>
          </cell>
          <cell r="D9" t="str">
            <v>Michigan State</v>
          </cell>
          <cell r="E9">
            <v>10.15862367345817</v>
          </cell>
          <cell r="F9" t="b">
            <v>0</v>
          </cell>
          <cell r="G9">
            <v>0.51641741527919338</v>
          </cell>
          <cell r="H9">
            <v>0</v>
          </cell>
          <cell r="I9">
            <v>-1.4112207194267151E-2</v>
          </cell>
          <cell r="J9">
            <v>0.36095878090448152</v>
          </cell>
          <cell r="K9">
            <v>0</v>
          </cell>
        </row>
        <row r="10">
          <cell r="B10">
            <v>9</v>
          </cell>
          <cell r="C10" t="str">
            <v>Nebraska</v>
          </cell>
          <cell r="D10" t="str">
            <v>Iowa</v>
          </cell>
          <cell r="E10">
            <v>9.9520402962355057</v>
          </cell>
          <cell r="F10" t="b">
            <v>0</v>
          </cell>
          <cell r="G10">
            <v>0.60466154400947747</v>
          </cell>
          <cell r="H10">
            <v>0</v>
          </cell>
          <cell r="I10">
            <v>0.1543538567453662</v>
          </cell>
          <cell r="J10">
            <v>0.5523040773880159</v>
          </cell>
          <cell r="K10">
            <v>0</v>
          </cell>
        </row>
        <row r="11">
          <cell r="B11">
            <v>10</v>
          </cell>
          <cell r="C11" t="str">
            <v>UIC</v>
          </cell>
          <cell r="D11" t="str">
            <v>Northern Iowa</v>
          </cell>
          <cell r="E11">
            <v>-0.1121645902012158</v>
          </cell>
          <cell r="F11" t="b">
            <v>0</v>
          </cell>
          <cell r="G11">
            <v>0.57161593523550691</v>
          </cell>
          <cell r="H11">
            <v>0</v>
          </cell>
          <cell r="I11">
            <v>9.1266785449604204E-2</v>
          </cell>
          <cell r="J11">
            <v>0.16834483907665121</v>
          </cell>
          <cell r="K11">
            <v>0</v>
          </cell>
        </row>
        <row r="12">
          <cell r="B12">
            <v>11</v>
          </cell>
          <cell r="C12" t="str">
            <v>UNC Wilmington</v>
          </cell>
          <cell r="D12" t="str">
            <v>Campbell</v>
          </cell>
          <cell r="E12">
            <v>9.1166592784389877</v>
          </cell>
          <cell r="F12" t="b">
            <v>0</v>
          </cell>
          <cell r="G12">
            <v>0.52782007620986093</v>
          </cell>
          <cell r="H12">
            <v>0</v>
          </cell>
          <cell r="I12">
            <v>7.6565091279163777E-3</v>
          </cell>
          <cell r="J12">
            <v>0.35507777911592919</v>
          </cell>
          <cell r="K12">
            <v>0</v>
          </cell>
        </row>
        <row r="13">
          <cell r="B13">
            <v>12</v>
          </cell>
          <cell r="C13" t="str">
            <v>Monmouth</v>
          </cell>
          <cell r="D13" t="str">
            <v>Drexel</v>
          </cell>
          <cell r="E13">
            <v>7.3655449679726006</v>
          </cell>
          <cell r="F13" t="b">
            <v>0</v>
          </cell>
          <cell r="G13">
            <v>0.58330140097808159</v>
          </cell>
          <cell r="H13">
            <v>0</v>
          </cell>
          <cell r="I13">
            <v>0.1135754018672467</v>
          </cell>
          <cell r="J13">
            <v>0.42868209234853388</v>
          </cell>
          <cell r="K13">
            <v>0</v>
          </cell>
        </row>
        <row r="14">
          <cell r="B14">
            <v>13</v>
          </cell>
          <cell r="C14" t="str">
            <v>Charleston</v>
          </cell>
          <cell r="D14" t="str">
            <v>Towson</v>
          </cell>
          <cell r="E14">
            <v>6.3049843257237921</v>
          </cell>
          <cell r="F14" t="b">
            <v>0</v>
          </cell>
          <cell r="G14">
            <v>0.59398635848886128</v>
          </cell>
          <cell r="H14">
            <v>0</v>
          </cell>
          <cell r="I14">
            <v>0.13397395711509891</v>
          </cell>
          <cell r="J14">
            <v>0.42136543700462742</v>
          </cell>
          <cell r="K14">
            <v>0</v>
          </cell>
        </row>
        <row r="15">
          <cell r="B15">
            <v>14</v>
          </cell>
          <cell r="C15" t="str">
            <v>Hofstra</v>
          </cell>
          <cell r="D15" t="str">
            <v>William &amp; Mary</v>
          </cell>
          <cell r="E15">
            <v>3.879340200852448</v>
          </cell>
          <cell r="F15" t="b">
            <v>0</v>
          </cell>
          <cell r="G15">
            <v>0.51547158445881192</v>
          </cell>
          <cell r="H15">
            <v>0</v>
          </cell>
          <cell r="I15">
            <v>-1.59178842149954E-2</v>
          </cell>
          <cell r="J15">
            <v>8.7567711160705497E-2</v>
          </cell>
          <cell r="K15">
            <v>0</v>
          </cell>
        </row>
        <row r="16">
          <cell r="B16">
            <v>15</v>
          </cell>
          <cell r="C16" t="str">
            <v>Green Bay</v>
          </cell>
          <cell r="D16" t="str">
            <v>Northern Kentucky</v>
          </cell>
          <cell r="E16">
            <v>-1.322987545551656</v>
          </cell>
          <cell r="F16" t="b">
            <v>0</v>
          </cell>
          <cell r="G16">
            <v>0.54173801327689675</v>
          </cell>
          <cell r="H16">
            <v>0</v>
          </cell>
          <cell r="I16">
            <v>3.4227116255893808E-2</v>
          </cell>
          <cell r="J16">
            <v>5.7552658017171472E-2</v>
          </cell>
          <cell r="K16">
            <v>0</v>
          </cell>
        </row>
        <row r="17">
          <cell r="B17">
            <v>16</v>
          </cell>
          <cell r="C17" t="str">
            <v>East Tennessee State</v>
          </cell>
          <cell r="D17" t="str">
            <v>Western Carolina</v>
          </cell>
          <cell r="E17">
            <v>4.9397240269890057</v>
          </cell>
          <cell r="F17" t="b">
            <v>0</v>
          </cell>
          <cell r="G17">
            <v>0.54824665833307917</v>
          </cell>
          <cell r="H17">
            <v>0</v>
          </cell>
          <cell r="I17">
            <v>4.6652711363151189E-2</v>
          </cell>
          <cell r="J17">
            <v>0.27265154179408813</v>
          </cell>
          <cell r="K17">
            <v>0</v>
          </cell>
        </row>
        <row r="18">
          <cell r="B18">
            <v>17</v>
          </cell>
          <cell r="C18" t="str">
            <v>Furman</v>
          </cell>
          <cell r="D18" t="str">
            <v>UNC Greensboro</v>
          </cell>
          <cell r="E18">
            <v>8.6137247489670496</v>
          </cell>
          <cell r="F18" t="b">
            <v>0</v>
          </cell>
          <cell r="G18">
            <v>0.552550485497869</v>
          </cell>
          <cell r="H18">
            <v>0</v>
          </cell>
          <cell r="I18">
            <v>5.4869108677749967E-2</v>
          </cell>
          <cell r="J18">
            <v>0.39627685925173539</v>
          </cell>
          <cell r="K18">
            <v>0</v>
          </cell>
        </row>
        <row r="19">
          <cell r="B19">
            <v>18</v>
          </cell>
          <cell r="C19" t="str">
            <v>Merrimack</v>
          </cell>
          <cell r="D19" t="str">
            <v>Marist</v>
          </cell>
          <cell r="E19">
            <v>5.9894446145147073</v>
          </cell>
          <cell r="F19" t="b">
            <v>0</v>
          </cell>
          <cell r="G19">
            <v>0.54947707537053869</v>
          </cell>
          <cell r="H19">
            <v>0</v>
          </cell>
          <cell r="I19">
            <v>4.9001689343755712E-2</v>
          </cell>
          <cell r="J19">
            <v>0.30840849766863421</v>
          </cell>
          <cell r="K19">
            <v>0</v>
          </cell>
        </row>
        <row r="20">
          <cell r="B20">
            <v>19</v>
          </cell>
          <cell r="C20" t="str">
            <v>Siena</v>
          </cell>
          <cell r="D20" t="str">
            <v>Fairfield</v>
          </cell>
          <cell r="E20">
            <v>4.8375761342611936</v>
          </cell>
          <cell r="F20" t="b">
            <v>0</v>
          </cell>
          <cell r="G20">
            <v>0.58261916245385548</v>
          </cell>
          <cell r="H20">
            <v>0</v>
          </cell>
          <cell r="I20">
            <v>0.11227294650281509</v>
          </cell>
          <cell r="J20">
            <v>0.35031981419547059</v>
          </cell>
          <cell r="K20">
            <v>0</v>
          </cell>
        </row>
        <row r="21">
          <cell r="B21">
            <v>20</v>
          </cell>
          <cell r="C21" t="str">
            <v>Troy</v>
          </cell>
          <cell r="D21" t="str">
            <v>Southern Miss</v>
          </cell>
          <cell r="E21">
            <v>7.1725408308525216</v>
          </cell>
          <cell r="F21" t="b">
            <v>0</v>
          </cell>
          <cell r="G21">
            <v>0.54162712742526198</v>
          </cell>
          <cell r="H21">
            <v>0</v>
          </cell>
          <cell r="I21">
            <v>3.40154250845911E-2</v>
          </cell>
          <cell r="J21">
            <v>0.32690279937270639</v>
          </cell>
          <cell r="K21">
            <v>0</v>
          </cell>
        </row>
        <row r="22">
          <cell r="B22">
            <v>21</v>
          </cell>
          <cell r="C22" t="str">
            <v>Marshall</v>
          </cell>
          <cell r="D22" t="str">
            <v>Georgia Southern</v>
          </cell>
          <cell r="E22">
            <v>6.3397299809634244</v>
          </cell>
          <cell r="F22" t="b">
            <v>0</v>
          </cell>
          <cell r="G22">
            <v>0.54577075071830106</v>
          </cell>
          <cell r="H22">
            <v>0</v>
          </cell>
          <cell r="I22">
            <v>4.192597864402936E-2</v>
          </cell>
          <cell r="J22">
            <v>0.31066043378755342</v>
          </cell>
          <cell r="K22">
            <v>0</v>
          </cell>
        </row>
        <row r="23">
          <cell r="B23">
            <v>22</v>
          </cell>
          <cell r="C23" t="str">
            <v>Portland State</v>
          </cell>
          <cell r="D23" t="str">
            <v>Idaho State</v>
          </cell>
          <cell r="E23">
            <v>9.1983567044956871</v>
          </cell>
          <cell r="F23" t="b">
            <v>0</v>
          </cell>
          <cell r="G23">
            <v>0.5546416150925797</v>
          </cell>
          <cell r="H23">
            <v>0</v>
          </cell>
          <cell r="I23">
            <v>5.8861265176743061E-2</v>
          </cell>
          <cell r="J23">
            <v>0.41865449211099998</v>
          </cell>
          <cell r="K23">
            <v>0</v>
          </cell>
        </row>
        <row r="24">
          <cell r="B24">
            <v>23</v>
          </cell>
          <cell r="C24" t="str">
            <v>Montana State</v>
          </cell>
          <cell r="D24" t="str">
            <v>Idaho</v>
          </cell>
          <cell r="E24">
            <v>4.9447507612904369</v>
          </cell>
          <cell r="F24" t="b">
            <v>0</v>
          </cell>
          <cell r="G24">
            <v>0.56072078766850619</v>
          </cell>
          <cell r="H24">
            <v>0</v>
          </cell>
          <cell r="I24">
            <v>7.0466958276239167E-2</v>
          </cell>
          <cell r="J24">
            <v>0.30219502831125211</v>
          </cell>
          <cell r="K24">
            <v>0</v>
          </cell>
        </row>
        <row r="25">
          <cell r="B25">
            <v>24</v>
          </cell>
          <cell r="C25" t="str">
            <v>Oregon State</v>
          </cell>
          <cell r="D25" t="str">
            <v>San Francisco</v>
          </cell>
          <cell r="E25">
            <v>-0.27279776008345991</v>
          </cell>
          <cell r="F25" t="b">
            <v>0</v>
          </cell>
          <cell r="G25">
            <v>0.57992442342546036</v>
          </cell>
          <cell r="H25">
            <v>0</v>
          </cell>
          <cell r="I25">
            <v>0.1071284447213334</v>
          </cell>
          <cell r="J25">
            <v>0.18331560027939819</v>
          </cell>
          <cell r="K25">
            <v>0</v>
          </cell>
        </row>
        <row r="26">
          <cell r="B26">
            <v>25</v>
          </cell>
          <cell r="C26" t="str">
            <v>Santa Clara</v>
          </cell>
          <cell r="D26" t="str">
            <v>Pacific</v>
          </cell>
          <cell r="E26">
            <v>15.53119145365598</v>
          </cell>
          <cell r="F26" t="b">
            <v>0</v>
          </cell>
          <cell r="G26">
            <v>0.58897208656004629</v>
          </cell>
          <cell r="H26">
            <v>0</v>
          </cell>
          <cell r="I26">
            <v>0.1244012561600885</v>
          </cell>
          <cell r="J26">
            <v>0.65571424281345581</v>
          </cell>
          <cell r="K26">
            <v>0</v>
          </cell>
        </row>
        <row r="27">
          <cell r="B27">
            <v>26</v>
          </cell>
          <cell r="C27" t="str">
            <v>North Dakota State</v>
          </cell>
          <cell r="D27" t="str">
            <v>North Dakota</v>
          </cell>
          <cell r="E27">
            <v>11.124803940899859</v>
          </cell>
          <cell r="F27" t="b">
            <v>0</v>
          </cell>
          <cell r="G27">
            <v>0.54044316355443667</v>
          </cell>
          <cell r="H27">
            <v>0</v>
          </cell>
          <cell r="I27">
            <v>3.1755130422106433E-2</v>
          </cell>
          <cell r="J27">
            <v>0.44435083646339879</v>
          </cell>
          <cell r="K27">
            <v>0</v>
          </cell>
        </row>
        <row r="28">
          <cell r="B28">
            <v>27</v>
          </cell>
          <cell r="C28" t="str">
            <v>High Point</v>
          </cell>
          <cell r="D28" t="str">
            <v>Winthrop</v>
          </cell>
          <cell r="E28">
            <v>8.6820004038668657</v>
          </cell>
          <cell r="F28" t="b">
            <v>0</v>
          </cell>
          <cell r="G28">
            <v>0.55423759191234534</v>
          </cell>
          <cell r="H28">
            <v>0</v>
          </cell>
          <cell r="I28">
            <v>5.8089948196295649E-2</v>
          </cell>
          <cell r="J28">
            <v>0.40218226404611129</v>
          </cell>
          <cell r="K28">
            <v>0</v>
          </cell>
        </row>
        <row r="29">
          <cell r="B29">
            <v>28</v>
          </cell>
          <cell r="C29" t="str">
            <v>Central Arkansas</v>
          </cell>
          <cell r="D29" t="str">
            <v>Queens University</v>
          </cell>
          <cell r="E29">
            <v>5.7314261124358978</v>
          </cell>
          <cell r="F29" t="b">
            <v>0</v>
          </cell>
          <cell r="G29">
            <v>0.5800276175873964</v>
          </cell>
          <cell r="H29">
            <v>0</v>
          </cell>
          <cell r="I29">
            <v>0.1073254517577569</v>
          </cell>
          <cell r="J29">
            <v>0.37171330100538769</v>
          </cell>
          <cell r="K29">
            <v>0</v>
          </cell>
        </row>
        <row r="30">
          <cell r="B30">
            <v>29</v>
          </cell>
          <cell r="C30" t="str">
            <v>Lehigh Mountain</v>
          </cell>
          <cell r="D30" t="str">
            <v>Colgate</v>
          </cell>
          <cell r="E30">
            <v>-1.091806526427574E-2</v>
          </cell>
          <cell r="F30" t="b">
            <v>0</v>
          </cell>
          <cell r="G30">
            <v>0.54946810197459539</v>
          </cell>
          <cell r="H30">
            <v>0</v>
          </cell>
          <cell r="I30">
            <v>4.8984558315136713E-2</v>
          </cell>
          <cell r="J30">
            <v>0.1182226513337107</v>
          </cell>
          <cell r="K30">
            <v>0</v>
          </cell>
        </row>
        <row r="31">
          <cell r="B31">
            <v>30</v>
          </cell>
          <cell r="C31" t="str">
            <v>Navy</v>
          </cell>
          <cell r="D31" t="str">
            <v>Boston University</v>
          </cell>
          <cell r="E31">
            <v>8.3963670211472223</v>
          </cell>
          <cell r="F31" t="b">
            <v>0</v>
          </cell>
          <cell r="G31">
            <v>0.53477271818895433</v>
          </cell>
          <cell r="H31">
            <v>0</v>
          </cell>
          <cell r="I31">
            <v>2.0929734724367429E-2</v>
          </cell>
          <cell r="J31">
            <v>0.34889241304123131</v>
          </cell>
          <cell r="K31">
            <v>0</v>
          </cell>
        </row>
        <row r="32">
          <cell r="B32">
            <v>31</v>
          </cell>
          <cell r="C32" t="str">
            <v>New Orleans</v>
          </cell>
          <cell r="D32" t="str">
            <v>Houston Christian</v>
          </cell>
          <cell r="E32">
            <v>6.7756898011731881</v>
          </cell>
          <cell r="F32" t="b">
            <v>0</v>
          </cell>
          <cell r="G32">
            <v>0.55655107387560021</v>
          </cell>
          <cell r="H32">
            <v>0</v>
          </cell>
          <cell r="I32">
            <v>6.2506595580691382E-2</v>
          </cell>
          <cell r="J32">
            <v>0.34927314688299299</v>
          </cell>
          <cell r="K32">
            <v>0</v>
          </cell>
        </row>
        <row r="33">
          <cell r="B33">
            <v>32</v>
          </cell>
          <cell r="C33" t="str">
            <v>Nicholls</v>
          </cell>
          <cell r="D33" t="str">
            <v>Northwestern State</v>
          </cell>
          <cell r="E33">
            <v>5.6719554923580331</v>
          </cell>
          <cell r="F33" t="b">
            <v>0</v>
          </cell>
          <cell r="G33">
            <v>0.5785741771495454</v>
          </cell>
          <cell r="H33">
            <v>0</v>
          </cell>
          <cell r="I33">
            <v>0.1045507018309504</v>
          </cell>
          <cell r="J33">
            <v>0.36651010799364159</v>
          </cell>
          <cell r="K33">
            <v>0</v>
          </cell>
        </row>
        <row r="34">
          <cell r="B34">
            <v>33</v>
          </cell>
          <cell r="C34" t="str">
            <v>Penn State</v>
          </cell>
          <cell r="D34" t="str">
            <v>Rutgers</v>
          </cell>
          <cell r="E34">
            <v>1.0458642596621079</v>
          </cell>
          <cell r="F34" t="b">
            <v>1</v>
          </cell>
          <cell r="G34">
            <v>0.64723512117413462</v>
          </cell>
          <cell r="H34">
            <v>7.3677501786273136E-2</v>
          </cell>
          <cell r="I34">
            <v>0.2356306858778934</v>
          </cell>
          <cell r="J34">
            <v>0.38822231807187318</v>
          </cell>
          <cell r="K34">
            <v>1.4381848348680515</v>
          </cell>
        </row>
        <row r="35">
          <cell r="B35">
            <v>34</v>
          </cell>
          <cell r="C35" t="str">
            <v>Memphis</v>
          </cell>
          <cell r="D35" t="str">
            <v>Tulane</v>
          </cell>
          <cell r="E35">
            <v>4.5328865187878042</v>
          </cell>
          <cell r="F35" t="b">
            <v>0</v>
          </cell>
          <cell r="G35">
            <v>0.58737802350846824</v>
          </cell>
          <cell r="H35">
            <v>0</v>
          </cell>
          <cell r="I35">
            <v>0.1213580448798031</v>
          </cell>
          <cell r="J35">
            <v>0.35210747033040068</v>
          </cell>
          <cell r="K35">
            <v>0</v>
          </cell>
        </row>
        <row r="36">
          <cell r="B36">
            <v>35</v>
          </cell>
          <cell r="C36" t="str">
            <v>Charlotte</v>
          </cell>
          <cell r="D36" t="str">
            <v>South Florida</v>
          </cell>
          <cell r="E36">
            <v>-14.85335216511136</v>
          </cell>
          <cell r="F36" t="b">
            <v>0</v>
          </cell>
          <cell r="G36">
            <v>0.54098497800365564</v>
          </cell>
          <cell r="H36">
            <v>0</v>
          </cell>
          <cell r="I36">
            <v>3.2789503461524427E-2</v>
          </cell>
          <cell r="J36">
            <v>0.37362923723056052</v>
          </cell>
          <cell r="K36">
            <v>0</v>
          </cell>
        </row>
        <row r="37">
          <cell r="B37">
            <v>36</v>
          </cell>
          <cell r="C37" t="str">
            <v>Temple</v>
          </cell>
          <cell r="D37" t="str">
            <v>Tulsa</v>
          </cell>
          <cell r="E37">
            <v>-5.4140489269227512</v>
          </cell>
          <cell r="F37" t="b">
            <v>0</v>
          </cell>
          <cell r="G37">
            <v>0.624708961713897</v>
          </cell>
          <cell r="H37">
            <v>0</v>
          </cell>
          <cell r="I37">
            <v>0.19262619963562161</v>
          </cell>
          <cell r="J37">
            <v>0.1293699838169691</v>
          </cell>
          <cell r="K37">
            <v>0</v>
          </cell>
        </row>
        <row r="38">
          <cell r="B38">
            <v>37</v>
          </cell>
          <cell r="C38" t="str">
            <v>Illinois</v>
          </cell>
          <cell r="D38" t="str">
            <v>Maryland</v>
          </cell>
          <cell r="E38">
            <v>21.662936478326628</v>
          </cell>
          <cell r="F38" t="b">
            <v>1</v>
          </cell>
          <cell r="G38">
            <v>0.6347682193469284</v>
          </cell>
          <cell r="H38">
            <v>6.3205304251419958E-2</v>
          </cell>
          <cell r="I38">
            <v>0.21183023693504521</v>
          </cell>
          <cell r="J38">
            <v>0.82341126225794314</v>
          </cell>
          <cell r="K38">
            <v>1.2337675389877176</v>
          </cell>
        </row>
        <row r="39">
          <cell r="B39">
            <v>38</v>
          </cell>
          <cell r="C39" t="str">
            <v>East Carolina</v>
          </cell>
          <cell r="D39" t="str">
            <v>UAB</v>
          </cell>
          <cell r="E39">
            <v>-7.4419631381623921</v>
          </cell>
          <cell r="F39" t="b">
            <v>0</v>
          </cell>
          <cell r="G39">
            <v>0.57578707172853383</v>
          </cell>
          <cell r="H39">
            <v>0</v>
          </cell>
          <cell r="I39">
            <v>9.9229864209019136E-2</v>
          </cell>
          <cell r="J39">
            <v>5.6630707005519199E-2</v>
          </cell>
          <cell r="K39">
            <v>0</v>
          </cell>
        </row>
        <row r="40">
          <cell r="B40">
            <v>39</v>
          </cell>
          <cell r="C40" t="str">
            <v>UTSA</v>
          </cell>
          <cell r="D40" t="str">
            <v>Rice</v>
          </cell>
          <cell r="E40">
            <v>-7.9109853062463609</v>
          </cell>
          <cell r="F40" t="b">
            <v>0</v>
          </cell>
          <cell r="G40">
            <v>0.60085601579003678</v>
          </cell>
          <cell r="H40">
            <v>0</v>
          </cell>
          <cell r="I40">
            <v>0.14708875741734301</v>
          </cell>
          <cell r="J40">
            <v>1.0189714322337231E-2</v>
          </cell>
          <cell r="K40">
            <v>0</v>
          </cell>
        </row>
        <row r="41">
          <cell r="B41">
            <v>40</v>
          </cell>
          <cell r="C41" t="str">
            <v>Michigan State</v>
          </cell>
          <cell r="D41" t="str">
            <v>Michigan</v>
          </cell>
          <cell r="E41">
            <v>-5.7191985434749473</v>
          </cell>
          <cell r="F41" t="b">
            <v>0</v>
          </cell>
          <cell r="G41">
            <v>0.59340009184816522</v>
          </cell>
          <cell r="H41">
            <v>0</v>
          </cell>
          <cell r="I41">
            <v>0.1328547208010428</v>
          </cell>
          <cell r="J41">
            <v>4.1842475142323983E-2</v>
          </cell>
          <cell r="K41">
            <v>0</v>
          </cell>
        </row>
        <row r="42">
          <cell r="B42">
            <v>41</v>
          </cell>
          <cell r="C42" t="str">
            <v>Iowa</v>
          </cell>
          <cell r="D42" t="str">
            <v>Nebraska</v>
          </cell>
          <cell r="E42">
            <v>-1.6602988306793851</v>
          </cell>
          <cell r="F42" t="b">
            <v>0</v>
          </cell>
          <cell r="G42">
            <v>0.59482763219804347</v>
          </cell>
          <cell r="H42">
            <v>0</v>
          </cell>
          <cell r="I42">
            <v>0.13558002510535569</v>
          </cell>
          <cell r="J42">
            <v>0.17534869310490059</v>
          </cell>
          <cell r="K42">
            <v>0</v>
          </cell>
        </row>
        <row r="43">
          <cell r="B43">
            <v>42</v>
          </cell>
          <cell r="C43" t="str">
            <v>Northern Iowa</v>
          </cell>
          <cell r="D43" t="str">
            <v>UIC</v>
          </cell>
          <cell r="E43">
            <v>5.1591431735954227</v>
          </cell>
          <cell r="F43" t="b">
            <v>0</v>
          </cell>
          <cell r="G43">
            <v>0.55367289253567098</v>
          </cell>
          <cell r="H43">
            <v>0</v>
          </cell>
          <cell r="I43">
            <v>5.7011885749917328E-2</v>
          </cell>
          <cell r="J43">
            <v>0.29231508090347941</v>
          </cell>
          <cell r="K43">
            <v>0</v>
          </cell>
        </row>
        <row r="44">
          <cell r="B44">
            <v>43</v>
          </cell>
          <cell r="C44" t="str">
            <v>Campbell</v>
          </cell>
          <cell r="D44" t="str">
            <v>UNC Wilmington</v>
          </cell>
          <cell r="E44">
            <v>-5.6283184257174206</v>
          </cell>
          <cell r="F44" t="b">
            <v>0</v>
          </cell>
          <cell r="G44">
            <v>0.55891941044527871</v>
          </cell>
          <cell r="H44">
            <v>0</v>
          </cell>
          <cell r="I44">
            <v>6.702796539553213E-2</v>
          </cell>
          <cell r="J44">
            <v>3.9320158548007522E-2</v>
          </cell>
          <cell r="K44">
            <v>0</v>
          </cell>
        </row>
        <row r="45">
          <cell r="B45">
            <v>44</v>
          </cell>
          <cell r="C45" t="str">
            <v>Drexel</v>
          </cell>
          <cell r="D45" t="str">
            <v>Monmouth</v>
          </cell>
          <cell r="E45">
            <v>-1.285610197477806</v>
          </cell>
          <cell r="F45" t="b">
            <v>0</v>
          </cell>
          <cell r="G45">
            <v>0.56735705029820738</v>
          </cell>
          <cell r="H45">
            <v>0</v>
          </cell>
          <cell r="I45">
            <v>8.3136186932941447E-2</v>
          </cell>
          <cell r="J45">
            <v>0.1205382005501511</v>
          </cell>
          <cell r="K45">
            <v>0</v>
          </cell>
        </row>
        <row r="46">
          <cell r="B46">
            <v>45</v>
          </cell>
          <cell r="C46" t="str">
            <v>Towson</v>
          </cell>
          <cell r="D46" t="str">
            <v>Charleston</v>
          </cell>
          <cell r="E46">
            <v>-2.604864021607178E-2</v>
          </cell>
          <cell r="F46" t="b">
            <v>0</v>
          </cell>
          <cell r="G46">
            <v>0.56144032168076163</v>
          </cell>
          <cell r="H46">
            <v>0</v>
          </cell>
          <cell r="I46">
            <v>7.1840614117817725E-2</v>
          </cell>
          <cell r="J46">
            <v>0.14654956048862181</v>
          </cell>
          <cell r="K46">
            <v>0</v>
          </cell>
        </row>
        <row r="47">
          <cell r="B47">
            <v>46</v>
          </cell>
          <cell r="C47" t="str">
            <v>William &amp; Mary</v>
          </cell>
          <cell r="D47" t="str">
            <v>Hofstra</v>
          </cell>
          <cell r="E47">
            <v>-0.27905994255292432</v>
          </cell>
          <cell r="F47" t="b">
            <v>0</v>
          </cell>
          <cell r="G47">
            <v>0.6040363554657211</v>
          </cell>
          <cell r="H47">
            <v>0</v>
          </cell>
          <cell r="I47">
            <v>0.15316031498001301</v>
          </cell>
          <cell r="J47">
            <v>0.24169047381665781</v>
          </cell>
          <cell r="K47">
            <v>0</v>
          </cell>
        </row>
        <row r="48">
          <cell r="B48">
            <v>47</v>
          </cell>
          <cell r="C48" t="str">
            <v>Northern Kentucky</v>
          </cell>
          <cell r="D48" t="str">
            <v>Green Bay</v>
          </cell>
          <cell r="E48">
            <v>5.4655817627978411</v>
          </cell>
          <cell r="F48" t="b">
            <v>0</v>
          </cell>
          <cell r="G48">
            <v>0.56123410650259287</v>
          </cell>
          <cell r="H48">
            <v>0</v>
          </cell>
          <cell r="I48">
            <v>7.1446930595859159E-2</v>
          </cell>
          <cell r="J48">
            <v>0.31962953345399642</v>
          </cell>
          <cell r="K48">
            <v>0</v>
          </cell>
        </row>
        <row r="49">
          <cell r="B49">
            <v>48</v>
          </cell>
          <cell r="C49" t="str">
            <v>Western Carolina</v>
          </cell>
          <cell r="D49" t="str">
            <v>East Tennessee State</v>
          </cell>
          <cell r="E49">
            <v>-1.2157477573724891</v>
          </cell>
          <cell r="F49" t="b">
            <v>0</v>
          </cell>
          <cell r="G49">
            <v>0.54439631761042773</v>
          </cell>
          <cell r="H49">
            <v>0</v>
          </cell>
          <cell r="I49">
            <v>3.9302060892634771E-2</v>
          </cell>
          <cell r="J49">
            <v>6.738960921267434E-2</v>
          </cell>
          <cell r="K49">
            <v>0</v>
          </cell>
        </row>
        <row r="50">
          <cell r="B50">
            <v>49</v>
          </cell>
          <cell r="C50" t="str">
            <v>UNC Greensboro</v>
          </cell>
          <cell r="D50" t="str">
            <v>Furman</v>
          </cell>
          <cell r="E50">
            <v>-4.2776712647140656</v>
          </cell>
          <cell r="F50" t="b">
            <v>0</v>
          </cell>
          <cell r="G50">
            <v>0.55523365466747387</v>
          </cell>
          <cell r="H50">
            <v>0</v>
          </cell>
          <cell r="I50">
            <v>5.9991522546995579E-2</v>
          </cell>
          <cell r="J50">
            <v>4.8358513029335692E-3</v>
          </cell>
          <cell r="K50">
            <v>0</v>
          </cell>
        </row>
        <row r="51">
          <cell r="B51">
            <v>50</v>
          </cell>
          <cell r="C51" t="str">
            <v>Marist</v>
          </cell>
          <cell r="D51" t="str">
            <v>Merrimack</v>
          </cell>
          <cell r="E51">
            <v>2.496389346139555</v>
          </cell>
          <cell r="F51" t="b">
            <v>1</v>
          </cell>
          <cell r="G51">
            <v>0.65763763964114841</v>
          </cell>
          <cell r="H51">
            <v>8.2415617298564642E-2</v>
          </cell>
          <cell r="I51">
            <v>0.25549003931491981</v>
          </cell>
          <cell r="J51">
            <v>0.456725875580001</v>
          </cell>
          <cell r="K51">
            <v>1.6087528496679817</v>
          </cell>
        </row>
        <row r="52">
          <cell r="B52">
            <v>51</v>
          </cell>
          <cell r="C52" t="str">
            <v>Fairfield</v>
          </cell>
          <cell r="D52" t="str">
            <v>Siena</v>
          </cell>
          <cell r="E52">
            <v>1.5365168292139031</v>
          </cell>
          <cell r="F52" t="b">
            <v>0</v>
          </cell>
          <cell r="G52">
            <v>0.57526013752688188</v>
          </cell>
          <cell r="H52">
            <v>0</v>
          </cell>
          <cell r="I52">
            <v>9.8223898914956309E-2</v>
          </cell>
          <cell r="J52">
            <v>0.22953987177547011</v>
          </cell>
          <cell r="K52">
            <v>0</v>
          </cell>
        </row>
        <row r="53">
          <cell r="B53">
            <v>52</v>
          </cell>
          <cell r="C53" t="str">
            <v>Southern Miss</v>
          </cell>
          <cell r="D53" t="str">
            <v>Troy</v>
          </cell>
          <cell r="E53">
            <v>-3.2144672802647598</v>
          </cell>
          <cell r="F53" t="b">
            <v>0</v>
          </cell>
          <cell r="G53">
            <v>0.55679401562671071</v>
          </cell>
          <cell r="H53">
            <v>0</v>
          </cell>
          <cell r="I53">
            <v>6.297039346917499E-2</v>
          </cell>
          <cell r="J53">
            <v>3.3098493497079828E-2</v>
          </cell>
          <cell r="K53">
            <v>0</v>
          </cell>
        </row>
        <row r="54">
          <cell r="B54">
            <v>53</v>
          </cell>
          <cell r="C54" t="str">
            <v>Georgia Southern</v>
          </cell>
          <cell r="D54" t="str">
            <v>Marshall</v>
          </cell>
          <cell r="E54">
            <v>-1.162471497390406</v>
          </cell>
          <cell r="F54" t="b">
            <v>0</v>
          </cell>
          <cell r="G54">
            <v>0.58261800037109768</v>
          </cell>
          <cell r="H54">
            <v>0</v>
          </cell>
          <cell r="I54">
            <v>0.11227072798118649</v>
          </cell>
          <cell r="J54">
            <v>0.16147849802242811</v>
          </cell>
          <cell r="K54">
            <v>0</v>
          </cell>
        </row>
        <row r="55">
          <cell r="B55">
            <v>54</v>
          </cell>
          <cell r="C55" t="str">
            <v>Idaho State</v>
          </cell>
          <cell r="D55" t="str">
            <v>Portland State</v>
          </cell>
          <cell r="E55">
            <v>-4.7967792251276142</v>
          </cell>
          <cell r="F55" t="b">
            <v>0</v>
          </cell>
          <cell r="G55">
            <v>0.55476175341055256</v>
          </cell>
          <cell r="H55">
            <v>0</v>
          </cell>
          <cell r="I55">
            <v>5.9090620147418622E-2</v>
          </cell>
          <cell r="J55">
            <v>2.265643222249614E-2</v>
          </cell>
          <cell r="K55">
            <v>0</v>
          </cell>
        </row>
        <row r="56">
          <cell r="B56">
            <v>55</v>
          </cell>
          <cell r="C56" t="str">
            <v>Idaho</v>
          </cell>
          <cell r="D56" t="str">
            <v>Montana State</v>
          </cell>
          <cell r="E56">
            <v>-0.68840853597521479</v>
          </cell>
          <cell r="F56" t="b">
            <v>0</v>
          </cell>
          <cell r="G56">
            <v>0.5450737005360593</v>
          </cell>
          <cell r="H56">
            <v>0</v>
          </cell>
          <cell r="I56">
            <v>4.0595246477931453E-2</v>
          </cell>
          <cell r="J56">
            <v>8.5941056761888124E-2</v>
          </cell>
          <cell r="K56">
            <v>0</v>
          </cell>
        </row>
        <row r="57">
          <cell r="B57">
            <v>56</v>
          </cell>
          <cell r="C57" t="str">
            <v>San Francisco</v>
          </cell>
          <cell r="D57" t="str">
            <v>Oregon State</v>
          </cell>
          <cell r="E57">
            <v>6.4424209370220096</v>
          </cell>
          <cell r="F57" t="b">
            <v>0</v>
          </cell>
          <cell r="G57">
            <v>0.57295456088382279</v>
          </cell>
          <cell r="H57">
            <v>0</v>
          </cell>
          <cell r="I57">
            <v>9.382234350547991E-2</v>
          </cell>
          <cell r="J57">
            <v>0.37703985653802008</v>
          </cell>
          <cell r="K57">
            <v>0</v>
          </cell>
        </row>
        <row r="58">
          <cell r="B58">
            <v>57</v>
          </cell>
          <cell r="C58" t="str">
            <v>Pacific</v>
          </cell>
          <cell r="D58" t="str">
            <v>Santa Clara</v>
          </cell>
          <cell r="E58">
            <v>-14.63559706933807</v>
          </cell>
          <cell r="F58" t="b">
            <v>0</v>
          </cell>
          <cell r="G58">
            <v>0.57187209125512406</v>
          </cell>
          <cell r="H58">
            <v>0</v>
          </cell>
          <cell r="I58">
            <v>9.1755810577964114E-2</v>
          </cell>
          <cell r="J58">
            <v>0.60349608477619887</v>
          </cell>
          <cell r="K58">
            <v>0</v>
          </cell>
        </row>
        <row r="59">
          <cell r="B59">
            <v>58</v>
          </cell>
          <cell r="C59" t="str">
            <v>North Dakota</v>
          </cell>
          <cell r="D59" t="str">
            <v>North Dakota State</v>
          </cell>
          <cell r="E59">
            <v>-6.0026472957917258</v>
          </cell>
          <cell r="F59" t="b">
            <v>0</v>
          </cell>
          <cell r="G59">
            <v>0.58651315312218699</v>
          </cell>
          <cell r="H59">
            <v>0</v>
          </cell>
          <cell r="I59">
            <v>0.1197069286878116</v>
          </cell>
          <cell r="J59">
            <v>1.5823762703557009E-2</v>
          </cell>
          <cell r="K59">
            <v>0</v>
          </cell>
        </row>
        <row r="60">
          <cell r="B60">
            <v>59</v>
          </cell>
          <cell r="C60" t="str">
            <v>Winthrop</v>
          </cell>
          <cell r="D60" t="str">
            <v>High Point</v>
          </cell>
          <cell r="E60">
            <v>-2.1513010793199059</v>
          </cell>
          <cell r="F60" t="b">
            <v>0</v>
          </cell>
          <cell r="G60">
            <v>0.60710966848300096</v>
          </cell>
          <cell r="H60">
            <v>0</v>
          </cell>
          <cell r="I60">
            <v>0.15902754892209281</v>
          </cell>
          <cell r="J60">
            <v>0.1898202976761276</v>
          </cell>
          <cell r="K60">
            <v>0</v>
          </cell>
        </row>
        <row r="61">
          <cell r="B61">
            <v>60</v>
          </cell>
          <cell r="C61" t="str">
            <v>Queens University</v>
          </cell>
          <cell r="D61" t="str">
            <v>Central Arkansas</v>
          </cell>
          <cell r="E61">
            <v>-1.7563358349000091</v>
          </cell>
          <cell r="F61" t="b">
            <v>0</v>
          </cell>
          <cell r="G61">
            <v>0.51853576832876502</v>
          </cell>
          <cell r="H61">
            <v>0</v>
          </cell>
          <cell r="I61">
            <v>-1.006807864508491E-2</v>
          </cell>
          <cell r="J61">
            <v>1.205808618658355E-2</v>
          </cell>
          <cell r="K61">
            <v>0</v>
          </cell>
        </row>
        <row r="62">
          <cell r="B62">
            <v>61</v>
          </cell>
          <cell r="C62" t="str">
            <v>Colgate</v>
          </cell>
          <cell r="D62" t="str">
            <v>Lehigh Mountain</v>
          </cell>
          <cell r="E62">
            <v>3.5641482107512239</v>
          </cell>
          <cell r="F62" t="b">
            <v>0</v>
          </cell>
          <cell r="G62">
            <v>0.53893827216892809</v>
          </cell>
          <cell r="H62">
            <v>0</v>
          </cell>
          <cell r="I62">
            <v>2.8882155958862791E-2</v>
          </cell>
          <cell r="J62">
            <v>0.2071233352805788</v>
          </cell>
          <cell r="K62">
            <v>0</v>
          </cell>
        </row>
        <row r="63">
          <cell r="B63">
            <v>62</v>
          </cell>
          <cell r="C63" t="str">
            <v>Boston University</v>
          </cell>
          <cell r="D63" t="str">
            <v>Navy</v>
          </cell>
          <cell r="E63">
            <v>-3.2720348961784551</v>
          </cell>
          <cell r="F63" t="b">
            <v>0</v>
          </cell>
          <cell r="G63">
            <v>0.59211845031878063</v>
          </cell>
          <cell r="H63">
            <v>0</v>
          </cell>
          <cell r="I63">
            <v>0.13040795060858121</v>
          </cell>
          <cell r="J63">
            <v>0.1172054114545799</v>
          </cell>
          <cell r="K63">
            <v>0</v>
          </cell>
        </row>
        <row r="64">
          <cell r="B64">
            <v>63</v>
          </cell>
          <cell r="C64" t="str">
            <v>Houston Christian</v>
          </cell>
          <cell r="D64" t="str">
            <v>New Orleans</v>
          </cell>
          <cell r="E64">
            <v>-2.0683039679732249</v>
          </cell>
          <cell r="F64" t="b">
            <v>0</v>
          </cell>
          <cell r="G64">
            <v>0.56039904010869557</v>
          </cell>
          <cell r="H64">
            <v>0</v>
          </cell>
          <cell r="I64">
            <v>6.9852712934782457E-2</v>
          </cell>
          <cell r="J64">
            <v>7.8617382643033418E-2</v>
          </cell>
          <cell r="K64">
            <v>0</v>
          </cell>
        </row>
        <row r="65">
          <cell r="B65">
            <v>64</v>
          </cell>
          <cell r="C65" t="str">
            <v>Northwestern State</v>
          </cell>
          <cell r="D65" t="str">
            <v>Nicholls</v>
          </cell>
          <cell r="E65">
            <v>0.23184960821975559</v>
          </cell>
          <cell r="F65" t="b">
            <v>0</v>
          </cell>
          <cell r="G65">
            <v>0.56778613152094426</v>
          </cell>
          <cell r="H65">
            <v>0</v>
          </cell>
          <cell r="I65">
            <v>8.3955341994530031E-2</v>
          </cell>
          <cell r="J65">
            <v>0.17007781916305351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Rutgers</v>
          </cell>
          <cell r="C2" t="str">
            <v>Penn State</v>
          </cell>
          <cell r="D2">
            <v>3.0194155258224424</v>
          </cell>
          <cell r="E2">
            <v>100.49753578972071</v>
          </cell>
          <cell r="F2">
            <v>99.945663531318417</v>
          </cell>
          <cell r="G2">
            <v>0.47268777157045311</v>
          </cell>
          <cell r="H2">
            <v>66.457142857142856</v>
          </cell>
          <cell r="I2">
            <v>57.535714285714285</v>
          </cell>
          <cell r="J2">
            <v>22.142857142857142</v>
          </cell>
          <cell r="K2">
            <v>11.178571428571429</v>
          </cell>
          <cell r="L2">
            <v>10.357142857142858</v>
          </cell>
          <cell r="M2">
            <v>3.9</v>
          </cell>
          <cell r="N2">
            <v>4.2079635215317346</v>
          </cell>
          <cell r="O2">
            <v>97.000389299816476</v>
          </cell>
          <cell r="P2">
            <v>105.68129786581962</v>
          </cell>
          <cell r="Q2">
            <v>0.53161938534278963</v>
          </cell>
          <cell r="R2">
            <v>66.641333333333336</v>
          </cell>
          <cell r="S2">
            <v>56.4</v>
          </cell>
          <cell r="T2">
            <v>19.033333333333335</v>
          </cell>
          <cell r="U2">
            <v>8.4666666666666668</v>
          </cell>
          <cell r="V2">
            <v>10.333333333333334</v>
          </cell>
          <cell r="W2">
            <v>0</v>
          </cell>
          <cell r="X2">
            <v>-5</v>
          </cell>
        </row>
        <row r="3">
          <cell r="A3">
            <v>2</v>
          </cell>
          <cell r="B3" t="str">
            <v>Tulane</v>
          </cell>
          <cell r="C3" t="str">
            <v>Memphis</v>
          </cell>
          <cell r="D3">
            <v>-2.6896354752064533</v>
          </cell>
          <cell r="E3">
            <v>95.071240105540895</v>
          </cell>
          <cell r="F3">
            <v>107.63220393936604</v>
          </cell>
          <cell r="G3">
            <v>0.50032051282051282</v>
          </cell>
          <cell r="H3">
            <v>67.853793103448282</v>
          </cell>
          <cell r="I3">
            <v>53.793103448275865</v>
          </cell>
          <cell r="J3">
            <v>24.275862068965516</v>
          </cell>
          <cell r="K3">
            <v>7.7586206896551726</v>
          </cell>
          <cell r="L3">
            <v>11.137931034482758</v>
          </cell>
          <cell r="M3">
            <v>2.7</v>
          </cell>
          <cell r="N3">
            <v>5.4749011028456174</v>
          </cell>
          <cell r="O3">
            <v>98.324187375343641</v>
          </cell>
          <cell r="P3">
            <v>93.546308355166119</v>
          </cell>
          <cell r="Q3">
            <v>0.48646362098138746</v>
          </cell>
          <cell r="R3">
            <v>71.066206896551719</v>
          </cell>
          <cell r="S3">
            <v>61.137931034482762</v>
          </cell>
          <cell r="T3">
            <v>20.448275862068964</v>
          </cell>
          <cell r="U3">
            <v>12.896551724137931</v>
          </cell>
          <cell r="V3">
            <v>13.827586206896552</v>
          </cell>
          <cell r="W3">
            <v>0</v>
          </cell>
          <cell r="X3">
            <v>1</v>
          </cell>
        </row>
        <row r="4">
          <cell r="A4">
            <v>3</v>
          </cell>
          <cell r="B4" t="str">
            <v>South Florida</v>
          </cell>
          <cell r="C4" t="str">
            <v>Charlotte</v>
          </cell>
          <cell r="D4">
            <v>10.763168800169614</v>
          </cell>
          <cell r="E4">
            <v>104.06915159388429</v>
          </cell>
          <cell r="F4">
            <v>100.49745071856333</v>
          </cell>
          <cell r="G4">
            <v>0.5120355834641549</v>
          </cell>
          <cell r="H4">
            <v>74.117241379310343</v>
          </cell>
          <cell r="I4">
            <v>65.896551724137936</v>
          </cell>
          <cell r="J4">
            <v>27.931034482758619</v>
          </cell>
          <cell r="K4">
            <v>15.482758620689655</v>
          </cell>
          <cell r="L4">
            <v>11.413793103448276</v>
          </cell>
          <cell r="M4">
            <v>2.7</v>
          </cell>
          <cell r="N4">
            <v>-0.90150418881966121</v>
          </cell>
          <cell r="O4">
            <v>98.044142614601029</v>
          </cell>
          <cell r="P4">
            <v>108.29885751358511</v>
          </cell>
          <cell r="Q4">
            <v>0.53923357664233573</v>
          </cell>
          <cell r="R4">
            <v>64.78</v>
          </cell>
          <cell r="S4">
            <v>54.8</v>
          </cell>
          <cell r="T4">
            <v>20.333333333333332</v>
          </cell>
          <cell r="U4">
            <v>10.866666666666667</v>
          </cell>
          <cell r="V4">
            <v>11.9</v>
          </cell>
          <cell r="W4">
            <v>0</v>
          </cell>
          <cell r="X4">
            <v>-16.5</v>
          </cell>
        </row>
        <row r="5">
          <cell r="A5">
            <v>4</v>
          </cell>
          <cell r="B5" t="str">
            <v>Tulsa</v>
          </cell>
          <cell r="C5" t="str">
            <v>Temple</v>
          </cell>
          <cell r="D5">
            <v>5.5924405978387064</v>
          </cell>
          <cell r="E5">
            <v>100.41070548957364</v>
          </cell>
          <cell r="F5">
            <v>102.4601786778754</v>
          </cell>
          <cell r="G5">
            <v>0.57276446522501456</v>
          </cell>
          <cell r="H5">
            <v>68.539310344827584</v>
          </cell>
          <cell r="I5">
            <v>59</v>
          </cell>
          <cell r="J5">
            <v>23.482758620689655</v>
          </cell>
          <cell r="K5">
            <v>11.275862068965518</v>
          </cell>
          <cell r="L5">
            <v>10.482758620689655</v>
          </cell>
          <cell r="M5">
            <v>3.6</v>
          </cell>
          <cell r="N5">
            <v>0.44934740501326897</v>
          </cell>
          <cell r="O5">
            <v>100.88985823336969</v>
          </cell>
          <cell r="P5">
            <v>98.948886981234423</v>
          </cell>
          <cell r="Q5">
            <v>0.50681114551083595</v>
          </cell>
          <cell r="R5">
            <v>64.884137931034488</v>
          </cell>
          <cell r="S5">
            <v>55.689655172413794</v>
          </cell>
          <cell r="T5">
            <v>23.482758620689655</v>
          </cell>
          <cell r="U5">
            <v>10.172413793103448</v>
          </cell>
          <cell r="V5">
            <v>9.0344827586206904</v>
          </cell>
          <cell r="W5">
            <v>0</v>
          </cell>
          <cell r="X5">
            <v>-10.5</v>
          </cell>
        </row>
        <row r="6">
          <cell r="A6">
            <v>5</v>
          </cell>
          <cell r="B6" t="str">
            <v>Maryland</v>
          </cell>
          <cell r="C6" t="str">
            <v>Illinois</v>
          </cell>
          <cell r="D6">
            <v>4.7177343732025729</v>
          </cell>
          <cell r="E6">
            <v>98.853381463000318</v>
          </cell>
          <cell r="F6">
            <v>97.852632959527824</v>
          </cell>
          <cell r="G6">
            <v>0.47940180586907449</v>
          </cell>
          <cell r="H6">
            <v>66.838709677419359</v>
          </cell>
          <cell r="I6">
            <v>57.161290322580648</v>
          </cell>
          <cell r="J6">
            <v>20.967741935483872</v>
          </cell>
          <cell r="K6">
            <v>12.32258064516129</v>
          </cell>
          <cell r="L6">
            <v>12.774193548387096</v>
          </cell>
          <cell r="M6">
            <v>3.7</v>
          </cell>
          <cell r="N6">
            <v>19.614167714334965</v>
          </cell>
          <cell r="O6">
            <v>105.16302674345668</v>
          </cell>
          <cell r="P6">
            <v>109.9335644135422</v>
          </cell>
          <cell r="Q6">
            <v>0.55166666666666664</v>
          </cell>
          <cell r="R6">
            <v>66.725517241379308</v>
          </cell>
          <cell r="S6">
            <v>62.068965517241381</v>
          </cell>
          <cell r="T6">
            <v>20.379310344827587</v>
          </cell>
          <cell r="U6">
            <v>13.448275862068966</v>
          </cell>
          <cell r="V6">
            <v>9.137931034482758</v>
          </cell>
          <cell r="W6">
            <v>0</v>
          </cell>
          <cell r="X6">
            <v>14.5</v>
          </cell>
        </row>
        <row r="7">
          <cell r="A7">
            <v>6</v>
          </cell>
          <cell r="B7" t="str">
            <v>UAB</v>
          </cell>
          <cell r="C7" t="str">
            <v>East Carolina</v>
          </cell>
          <cell r="D7">
            <v>2.2952417927745943</v>
          </cell>
          <cell r="E7">
            <v>104.55358060207543</v>
          </cell>
          <cell r="F7">
            <v>111.22798849776856</v>
          </cell>
          <cell r="G7">
            <v>0.48141455859576665</v>
          </cell>
          <cell r="H7">
            <v>70.813333333333333</v>
          </cell>
          <cell r="I7">
            <v>64.566666666666663</v>
          </cell>
          <cell r="J7">
            <v>23.666666666666668</v>
          </cell>
          <cell r="K7">
            <v>13.2</v>
          </cell>
          <cell r="L7">
            <v>9.0333333333333332</v>
          </cell>
          <cell r="M7">
            <v>3.5</v>
          </cell>
          <cell r="N7">
            <v>-4.7609091449289078</v>
          </cell>
          <cell r="O7">
            <v>99.499918464967124</v>
          </cell>
          <cell r="P7">
            <v>105.79674806589708</v>
          </cell>
          <cell r="Q7">
            <v>0.4658094681472823</v>
          </cell>
          <cell r="R7">
            <v>69.172413793103445</v>
          </cell>
          <cell r="S7">
            <v>59</v>
          </cell>
          <cell r="T7">
            <v>23.275862068965516</v>
          </cell>
          <cell r="U7">
            <v>12.137931034482758</v>
          </cell>
          <cell r="V7">
            <v>12.068965517241379</v>
          </cell>
          <cell r="W7">
            <v>0</v>
          </cell>
          <cell r="X7">
            <v>-10.5</v>
          </cell>
        </row>
        <row r="8">
          <cell r="A8">
            <v>7</v>
          </cell>
          <cell r="B8" t="str">
            <v>Rice</v>
          </cell>
          <cell r="C8" t="str">
            <v>UTSA</v>
          </cell>
          <cell r="D8">
            <v>-0.32426141652098583</v>
          </cell>
          <cell r="E8">
            <v>101.11344469231187</v>
          </cell>
          <cell r="F8">
            <v>104.33709554698171</v>
          </cell>
          <cell r="G8">
            <v>0.49776785714285715</v>
          </cell>
          <cell r="H8">
            <v>67.574666666666658</v>
          </cell>
          <cell r="I8">
            <v>59.733333333333334</v>
          </cell>
          <cell r="J8">
            <v>20.7</v>
          </cell>
          <cell r="K8">
            <v>13.666666666666666</v>
          </cell>
          <cell r="L8">
            <v>12.4</v>
          </cell>
          <cell r="M8">
            <v>2.4</v>
          </cell>
          <cell r="N8">
            <v>-8.150789874122836</v>
          </cell>
          <cell r="O8">
            <v>99.363055910277041</v>
          </cell>
          <cell r="P8">
            <v>110.84244639246424</v>
          </cell>
          <cell r="Q8">
            <v>0.46072423398328693</v>
          </cell>
          <cell r="R8">
            <v>69.878620689655179</v>
          </cell>
          <cell r="S8">
            <v>61.896551724137929</v>
          </cell>
          <cell r="T8">
            <v>17.827586206896552</v>
          </cell>
          <cell r="U8">
            <v>12.103448275862069</v>
          </cell>
          <cell r="V8">
            <v>12.241379310344827</v>
          </cell>
          <cell r="W8">
            <v>0</v>
          </cell>
          <cell r="X8">
            <v>-12</v>
          </cell>
        </row>
        <row r="9">
          <cell r="A9">
            <v>8</v>
          </cell>
          <cell r="B9" t="str">
            <v>Michigan</v>
          </cell>
          <cell r="C9" t="str">
            <v>Michigan State</v>
          </cell>
          <cell r="D9">
            <v>24.226746855270012</v>
          </cell>
          <cell r="E9">
            <v>98.717179137370138</v>
          </cell>
          <cell r="F9">
            <v>95.051519288768077</v>
          </cell>
          <cell r="G9">
            <v>0.58690744920993232</v>
          </cell>
          <cell r="H9">
            <v>71.976551724137934</v>
          </cell>
          <cell r="I9">
            <v>61.103448275862071</v>
          </cell>
          <cell r="J9">
            <v>23.379310344827587</v>
          </cell>
          <cell r="K9">
            <v>11.448275862068966</v>
          </cell>
          <cell r="L9">
            <v>12.03448275862069</v>
          </cell>
          <cell r="M9">
            <v>3.1</v>
          </cell>
          <cell r="N9">
            <v>20.483780607843485</v>
          </cell>
          <cell r="O9">
            <v>101.35342270731998</v>
          </cell>
          <cell r="P9">
            <v>94.968802284326188</v>
          </cell>
          <cell r="Q9">
            <v>0.53465045592705163</v>
          </cell>
          <cell r="R9">
            <v>66.341428571428565</v>
          </cell>
          <cell r="S9">
            <v>58.75</v>
          </cell>
          <cell r="T9">
            <v>20.5</v>
          </cell>
          <cell r="U9">
            <v>12.785714285714286</v>
          </cell>
          <cell r="V9">
            <v>11.357142857142858</v>
          </cell>
          <cell r="W9">
            <v>0</v>
          </cell>
          <cell r="X9">
            <v>-9.5</v>
          </cell>
        </row>
        <row r="10">
          <cell r="A10">
            <v>9</v>
          </cell>
          <cell r="B10" t="str">
            <v>Nebraska</v>
          </cell>
          <cell r="C10" t="str">
            <v>Iowa</v>
          </cell>
          <cell r="D10">
            <v>15.780760470233366</v>
          </cell>
          <cell r="E10">
            <v>98.486340031609842</v>
          </cell>
          <cell r="F10">
            <v>103.31655581895811</v>
          </cell>
          <cell r="G10">
            <v>0.55552423900789172</v>
          </cell>
          <cell r="H10">
            <v>66.914666666666676</v>
          </cell>
          <cell r="I10">
            <v>59.133333333333333</v>
          </cell>
          <cell r="J10">
            <v>15.866666666666667</v>
          </cell>
          <cell r="K10">
            <v>8.8666666666666671</v>
          </cell>
          <cell r="L10">
            <v>9.6666666666666661</v>
          </cell>
          <cell r="M10">
            <v>3.3</v>
          </cell>
          <cell r="N10">
            <v>15.225413669715085</v>
          </cell>
          <cell r="O10">
            <v>98.736867733885205</v>
          </cell>
          <cell r="P10">
            <v>92.518142940768442</v>
          </cell>
          <cell r="Q10">
            <v>0.56762820512820511</v>
          </cell>
          <cell r="R10">
            <v>62.609655172413795</v>
          </cell>
          <cell r="S10">
            <v>53.793103448275865</v>
          </cell>
          <cell r="T10">
            <v>18.862068965517242</v>
          </cell>
          <cell r="U10">
            <v>8.9655172413793096</v>
          </cell>
          <cell r="V10">
            <v>9.4827586206896548</v>
          </cell>
          <cell r="W10">
            <v>0</v>
          </cell>
          <cell r="X10">
            <v>-5.5</v>
          </cell>
        </row>
        <row r="11">
          <cell r="A11">
            <v>10</v>
          </cell>
          <cell r="B11" t="str">
            <v>UIC</v>
          </cell>
          <cell r="C11" t="str">
            <v>Northern Iowa</v>
          </cell>
          <cell r="D11">
            <v>4.6984279859427724</v>
          </cell>
          <cell r="E11">
            <v>100.35897704094974</v>
          </cell>
          <cell r="F11">
            <v>98.455630035851442</v>
          </cell>
          <cell r="G11">
            <v>0.50520547945205474</v>
          </cell>
          <cell r="H11">
            <v>67.685161290322583</v>
          </cell>
          <cell r="I11">
            <v>58.87096774193548</v>
          </cell>
          <cell r="J11">
            <v>21.64516129032258</v>
          </cell>
          <cell r="K11">
            <v>13</v>
          </cell>
          <cell r="L11">
            <v>12.290322580645162</v>
          </cell>
          <cell r="M11">
            <v>2.6</v>
          </cell>
          <cell r="N11">
            <v>8.3037870531434343</v>
          </cell>
          <cell r="O11">
            <v>96.183435370220636</v>
          </cell>
          <cell r="P11">
            <v>97.375853548665106</v>
          </cell>
          <cell r="Q11">
            <v>0.53908984830805129</v>
          </cell>
          <cell r="R11">
            <v>63.780645161290323</v>
          </cell>
          <cell r="S11">
            <v>55.29032258064516</v>
          </cell>
          <cell r="T11">
            <v>13.870967741935484</v>
          </cell>
          <cell r="U11">
            <v>6.838709677419355</v>
          </cell>
          <cell r="V11">
            <v>9.2258064516129039</v>
          </cell>
          <cell r="W11">
            <v>0</v>
          </cell>
          <cell r="X11">
            <v>3</v>
          </cell>
        </row>
        <row r="12">
          <cell r="A12">
            <v>11</v>
          </cell>
          <cell r="B12" t="str">
            <v>UNC Wilmington</v>
          </cell>
          <cell r="C12" t="str">
            <v>Campbell</v>
          </cell>
          <cell r="D12">
            <v>3.6314220853713457</v>
          </cell>
          <cell r="E12">
            <v>103.48484848484848</v>
          </cell>
          <cell r="F12">
            <v>96.160805015167057</v>
          </cell>
          <cell r="G12">
            <v>0.51796572692095078</v>
          </cell>
          <cell r="H12">
            <v>65.980645161290326</v>
          </cell>
          <cell r="I12">
            <v>58.354838709677416</v>
          </cell>
          <cell r="J12">
            <v>24.516129032258064</v>
          </cell>
          <cell r="K12">
            <v>13.129032258064516</v>
          </cell>
          <cell r="L12">
            <v>9.9677419354838701</v>
          </cell>
          <cell r="M12">
            <v>3</v>
          </cell>
          <cell r="N12">
            <v>0.95333742786577147</v>
          </cell>
          <cell r="O12">
            <v>100.08241236185427</v>
          </cell>
          <cell r="P12">
            <v>100.93100536661679</v>
          </cell>
          <cell r="Q12">
            <v>0.51127214170692437</v>
          </cell>
          <cell r="R12">
            <v>70.150967741935489</v>
          </cell>
          <cell r="S12">
            <v>60.096774193548384</v>
          </cell>
          <cell r="T12">
            <v>24.096774193548388</v>
          </cell>
          <cell r="U12">
            <v>12.67741935483871</v>
          </cell>
          <cell r="V12">
            <v>12.129032258064516</v>
          </cell>
          <cell r="W12">
            <v>0</v>
          </cell>
          <cell r="X12">
            <v>-8</v>
          </cell>
        </row>
        <row r="13">
          <cell r="A13">
            <v>12</v>
          </cell>
          <cell r="B13" t="str">
            <v>Monmouth</v>
          </cell>
          <cell r="C13" t="str">
            <v>Drexel</v>
          </cell>
          <cell r="D13">
            <v>-3.1170269040410123</v>
          </cell>
          <cell r="E13">
            <v>99.327473229982417</v>
          </cell>
          <cell r="F13">
            <v>101.98264514164663</v>
          </cell>
          <cell r="G13">
            <v>0.49972632731253419</v>
          </cell>
          <cell r="H13">
            <v>67.424516129032256</v>
          </cell>
          <cell r="I13">
            <v>58.935483870967744</v>
          </cell>
          <cell r="J13">
            <v>19</v>
          </cell>
          <cell r="K13">
            <v>11.35483870967742</v>
          </cell>
          <cell r="L13">
            <v>11.483870967741936</v>
          </cell>
          <cell r="M13">
            <v>3.1</v>
          </cell>
          <cell r="N13">
            <v>-4.9911754348503381</v>
          </cell>
          <cell r="O13">
            <v>97.126970861886448</v>
          </cell>
          <cell r="P13">
            <v>103.28318363843756</v>
          </cell>
          <cell r="Q13">
            <v>0.50837182448036955</v>
          </cell>
          <cell r="R13">
            <v>65.03612903225806</v>
          </cell>
          <cell r="S13">
            <v>55.87096774193548</v>
          </cell>
          <cell r="T13">
            <v>16.870967741935484</v>
          </cell>
          <cell r="U13">
            <v>10.741935483870968</v>
          </cell>
          <cell r="V13">
            <v>12.483870967741936</v>
          </cell>
          <cell r="W13">
            <v>0</v>
          </cell>
          <cell r="X13">
            <v>-4</v>
          </cell>
        </row>
        <row r="14">
          <cell r="A14">
            <v>13</v>
          </cell>
          <cell r="B14" t="str">
            <v>Charleston</v>
          </cell>
          <cell r="C14" t="str">
            <v>Towson</v>
          </cell>
          <cell r="D14">
            <v>-0.90981972495297903</v>
          </cell>
          <cell r="E14">
            <v>99.191144212620515</v>
          </cell>
          <cell r="F14">
            <v>106.53974306114162</v>
          </cell>
          <cell r="G14">
            <v>0.50389538119087363</v>
          </cell>
          <cell r="H14">
            <v>68.646451612903235</v>
          </cell>
          <cell r="I14">
            <v>57.967741935483872</v>
          </cell>
          <cell r="J14">
            <v>23.903225806451612</v>
          </cell>
          <cell r="K14">
            <v>10.612903225806452</v>
          </cell>
          <cell r="L14">
            <v>10.774193548387096</v>
          </cell>
          <cell r="M14">
            <v>2.8</v>
          </cell>
          <cell r="N14">
            <v>-2.6751354788913009</v>
          </cell>
          <cell r="O14">
            <v>103.71920897421072</v>
          </cell>
          <cell r="P14">
            <v>118.53693193428867</v>
          </cell>
          <cell r="Q14">
            <v>0.47652319731693682</v>
          </cell>
          <cell r="R14">
            <v>64.373333333333335</v>
          </cell>
          <cell r="S14">
            <v>59.633333333333333</v>
          </cell>
          <cell r="T14">
            <v>17.666666666666668</v>
          </cell>
          <cell r="U14">
            <v>13.433333333333334</v>
          </cell>
          <cell r="V14">
            <v>10.4</v>
          </cell>
          <cell r="W14">
            <v>0</v>
          </cell>
          <cell r="X14">
            <v>-2.5</v>
          </cell>
        </row>
        <row r="15">
          <cell r="A15">
            <v>14</v>
          </cell>
          <cell r="B15" t="str">
            <v>Hofstra</v>
          </cell>
          <cell r="C15" t="str">
            <v>William &amp; Mary</v>
          </cell>
          <cell r="D15">
            <v>0.80936550315360856</v>
          </cell>
          <cell r="E15">
            <v>101.28261610082888</v>
          </cell>
          <cell r="F15">
            <v>110.63741499289443</v>
          </cell>
          <cell r="G15">
            <v>0.52542372881355937</v>
          </cell>
          <cell r="H15">
            <v>65.590666666666664</v>
          </cell>
          <cell r="I15">
            <v>59</v>
          </cell>
          <cell r="J15">
            <v>17.933333333333334</v>
          </cell>
          <cell r="K15">
            <v>12.166666666666666</v>
          </cell>
          <cell r="L15">
            <v>10.866666666666667</v>
          </cell>
          <cell r="M15">
            <v>2.2000000000000002</v>
          </cell>
          <cell r="N15">
            <v>2.8994289078112745</v>
          </cell>
          <cell r="O15">
            <v>95.51758993162224</v>
          </cell>
          <cell r="P15">
            <v>97.709680461493463</v>
          </cell>
          <cell r="Q15">
            <v>0.55637393767705379</v>
          </cell>
          <cell r="R15">
            <v>73.158666666666676</v>
          </cell>
          <cell r="S15">
            <v>58.833333333333336</v>
          </cell>
          <cell r="T15">
            <v>25.133333333333333</v>
          </cell>
          <cell r="U15">
            <v>8.8666666666666671</v>
          </cell>
          <cell r="V15">
            <v>12.133333333333333</v>
          </cell>
          <cell r="W15">
            <v>0</v>
          </cell>
          <cell r="X15">
            <v>-4.5</v>
          </cell>
        </row>
        <row r="16">
          <cell r="A16">
            <v>15</v>
          </cell>
          <cell r="B16" t="str">
            <v>Green Bay</v>
          </cell>
          <cell r="C16" t="str">
            <v>Northern Kentucky</v>
          </cell>
          <cell r="D16">
            <v>-2.5107393300319569</v>
          </cell>
          <cell r="E16">
            <v>95.534202305289242</v>
          </cell>
          <cell r="F16">
            <v>107.69506251667561</v>
          </cell>
          <cell r="G16">
            <v>0.55385556915544676</v>
          </cell>
          <cell r="H16">
            <v>65.292903225806455</v>
          </cell>
          <cell r="I16">
            <v>52.70967741935484</v>
          </cell>
          <cell r="J16">
            <v>22</v>
          </cell>
          <cell r="K16">
            <v>7.709677419354839</v>
          </cell>
          <cell r="L16">
            <v>10.612903225806452</v>
          </cell>
          <cell r="M16">
            <v>2.7</v>
          </cell>
          <cell r="N16">
            <v>1.1038359142903991</v>
          </cell>
          <cell r="O16">
            <v>99.14590747330962</v>
          </cell>
          <cell r="P16">
            <v>99.070525219864209</v>
          </cell>
          <cell r="Q16">
            <v>0.54238578680203042</v>
          </cell>
          <cell r="R16">
            <v>71.575000000000003</v>
          </cell>
          <cell r="S16">
            <v>61.5625</v>
          </cell>
          <cell r="T16">
            <v>22.1875</v>
          </cell>
          <cell r="U16">
            <v>11.71875</v>
          </cell>
          <cell r="V16">
            <v>11.96875</v>
          </cell>
          <cell r="W16">
            <v>0</v>
          </cell>
          <cell r="X16">
            <v>3</v>
          </cell>
        </row>
        <row r="17">
          <cell r="A17">
            <v>16</v>
          </cell>
          <cell r="B17" t="str">
            <v>East Tennessee State</v>
          </cell>
          <cell r="C17" t="str">
            <v>Western Carolina</v>
          </cell>
          <cell r="D17">
            <v>3.2114609500464995</v>
          </cell>
          <cell r="E17">
            <v>98.541398541398536</v>
          </cell>
          <cell r="F17">
            <v>97.354200579217107</v>
          </cell>
          <cell r="G17">
            <v>0.55184977578475336</v>
          </cell>
          <cell r="H17">
            <v>66.774193548387103</v>
          </cell>
          <cell r="I17">
            <v>57.548387096774192</v>
          </cell>
          <cell r="J17">
            <v>19.35483870967742</v>
          </cell>
          <cell r="K17">
            <v>9.4516129032258061</v>
          </cell>
          <cell r="L17">
            <v>10.161290322580646</v>
          </cell>
          <cell r="M17">
            <v>2.6</v>
          </cell>
          <cell r="N17">
            <v>0.41405067801070755</v>
          </cell>
          <cell r="O17">
            <v>102.32154769846564</v>
          </cell>
          <cell r="P17">
            <v>104.07840804422767</v>
          </cell>
          <cell r="Q17">
            <v>0.51740076128330614</v>
          </cell>
          <cell r="R17">
            <v>69.434482758620689</v>
          </cell>
          <cell r="S17">
            <v>63.413793103448278</v>
          </cell>
          <cell r="T17">
            <v>18.620689655172413</v>
          </cell>
          <cell r="U17">
            <v>13.448275862068966</v>
          </cell>
          <cell r="V17">
            <v>11.275862068965518</v>
          </cell>
          <cell r="W17">
            <v>0</v>
          </cell>
          <cell r="X17">
            <v>-3</v>
          </cell>
        </row>
        <row r="18">
          <cell r="A18">
            <v>17</v>
          </cell>
          <cell r="B18" t="str">
            <v>Furman</v>
          </cell>
          <cell r="C18" t="str">
            <v>UNC Greensboro</v>
          </cell>
          <cell r="D18">
            <v>-0.59907841060703682</v>
          </cell>
          <cell r="E18">
            <v>98.139214631522336</v>
          </cell>
          <cell r="F18">
            <v>110.40741522046811</v>
          </cell>
          <cell r="G18">
            <v>0.5494444444444444</v>
          </cell>
          <cell r="H18">
            <v>67.073548387096764</v>
          </cell>
          <cell r="I18">
            <v>58.064516129032256</v>
          </cell>
          <cell r="J18">
            <v>18.129032258064516</v>
          </cell>
          <cell r="K18">
            <v>11.064516129032258</v>
          </cell>
          <cell r="L18">
            <v>12.096774193548388</v>
          </cell>
          <cell r="M18">
            <v>2.8</v>
          </cell>
          <cell r="N18">
            <v>-4.0914280778944532</v>
          </cell>
          <cell r="O18">
            <v>99.154487989886221</v>
          </cell>
          <cell r="P18">
            <v>104.75222328927958</v>
          </cell>
          <cell r="Q18">
            <v>0.52811466372657112</v>
          </cell>
          <cell r="R18">
            <v>69.283870967741933</v>
          </cell>
          <cell r="S18">
            <v>58.516129032258064</v>
          </cell>
          <cell r="T18">
            <v>24.032258064516128</v>
          </cell>
          <cell r="U18">
            <v>10.03225806451613</v>
          </cell>
          <cell r="V18">
            <v>10.225806451612904</v>
          </cell>
          <cell r="W18">
            <v>0</v>
          </cell>
          <cell r="X18">
            <v>-6.5</v>
          </cell>
        </row>
        <row r="19">
          <cell r="A19">
            <v>18</v>
          </cell>
          <cell r="B19" t="str">
            <v>Merrimack</v>
          </cell>
          <cell r="C19" t="str">
            <v>Marist</v>
          </cell>
          <cell r="D19">
            <v>-10.980427398495449</v>
          </cell>
          <cell r="E19">
            <v>97.043171806167408</v>
          </cell>
          <cell r="F19">
            <v>111.74041801169643</v>
          </cell>
          <cell r="G19">
            <v>0.49634591961023145</v>
          </cell>
          <cell r="H19">
            <v>64.020645161290318</v>
          </cell>
          <cell r="I19">
            <v>52.967741935483872</v>
          </cell>
          <cell r="J19">
            <v>21.161290322580644</v>
          </cell>
          <cell r="K19">
            <v>7.967741935483871</v>
          </cell>
          <cell r="L19">
            <v>9.7096774193548381</v>
          </cell>
          <cell r="M19">
            <v>1.9</v>
          </cell>
          <cell r="N19">
            <v>-9.8961172851446548</v>
          </cell>
          <cell r="O19">
            <v>97.921432835820895</v>
          </cell>
          <cell r="P19">
            <v>104.11525482741143</v>
          </cell>
          <cell r="Q19">
            <v>0.50088967971530252</v>
          </cell>
          <cell r="R19">
            <v>65.808275862068967</v>
          </cell>
          <cell r="S19">
            <v>58.137931034482762</v>
          </cell>
          <cell r="T19">
            <v>14.689655172413794</v>
          </cell>
          <cell r="U19">
            <v>9.7586206896551726</v>
          </cell>
          <cell r="V19">
            <v>10.96551724137931</v>
          </cell>
          <cell r="W19">
            <v>0</v>
          </cell>
          <cell r="X19">
            <v>-4</v>
          </cell>
        </row>
        <row r="20">
          <cell r="A20">
            <v>19</v>
          </cell>
          <cell r="B20" t="str">
            <v>Siena</v>
          </cell>
          <cell r="C20" t="str">
            <v>Fairfield</v>
          </cell>
          <cell r="D20">
            <v>-10.566906628097865</v>
          </cell>
          <cell r="E20">
            <v>99.034205231388341</v>
          </cell>
          <cell r="F20">
            <v>104.80592559655821</v>
          </cell>
          <cell r="G20">
            <v>0.50988947062245493</v>
          </cell>
          <cell r="H20">
            <v>64.00645161290322</v>
          </cell>
          <cell r="I20">
            <v>55.451612903225808</v>
          </cell>
          <cell r="J20">
            <v>18.70967741935484</v>
          </cell>
          <cell r="K20">
            <v>9.9677419354838701</v>
          </cell>
          <cell r="L20">
            <v>10.290322580645162</v>
          </cell>
          <cell r="M20">
            <v>2.7</v>
          </cell>
          <cell r="N20">
            <v>-11.689679980954812</v>
          </cell>
          <cell r="O20">
            <v>104.17391304347828</v>
          </cell>
          <cell r="P20">
            <v>108.67704703444794</v>
          </cell>
          <cell r="Q20">
            <v>0.49512320328542092</v>
          </cell>
          <cell r="R20">
            <v>67.189677419354837</v>
          </cell>
          <cell r="S20">
            <v>62.838709677419352</v>
          </cell>
          <cell r="T20">
            <v>17.806451612903224</v>
          </cell>
          <cell r="U20">
            <v>13.806451612903226</v>
          </cell>
          <cell r="V20">
            <v>10.32258064516129</v>
          </cell>
          <cell r="W20">
            <v>0</v>
          </cell>
          <cell r="X20">
            <v>-1.5</v>
          </cell>
        </row>
        <row r="21">
          <cell r="A21">
            <v>20</v>
          </cell>
          <cell r="B21" t="str">
            <v>Troy</v>
          </cell>
          <cell r="C21" t="str">
            <v>Southern Miss</v>
          </cell>
          <cell r="D21">
            <v>1.0777911425871012</v>
          </cell>
          <cell r="E21">
            <v>100.92204492326455</v>
          </cell>
          <cell r="F21">
            <v>98.588415579212324</v>
          </cell>
          <cell r="G21">
            <v>0.52404600104547827</v>
          </cell>
          <cell r="H21">
            <v>70.001290322580644</v>
          </cell>
          <cell r="I21">
            <v>61.70967741935484</v>
          </cell>
          <cell r="J21">
            <v>21.483870967741936</v>
          </cell>
          <cell r="K21">
            <v>12.774193548387096</v>
          </cell>
          <cell r="L21">
            <v>11.612903225806452</v>
          </cell>
          <cell r="M21">
            <v>2.8</v>
          </cell>
          <cell r="N21">
            <v>-5.1826977278212141</v>
          </cell>
          <cell r="O21">
            <v>96.899892357373517</v>
          </cell>
          <cell r="P21">
            <v>96.080429759020575</v>
          </cell>
          <cell r="Q21">
            <v>0.49424939467312351</v>
          </cell>
          <cell r="R21">
            <v>67.266666666666666</v>
          </cell>
          <cell r="S21">
            <v>55.06666666666667</v>
          </cell>
          <cell r="T21">
            <v>23.333333333333332</v>
          </cell>
          <cell r="U21">
            <v>10.9</v>
          </cell>
          <cell r="V21">
            <v>12.833333333333334</v>
          </cell>
          <cell r="W21">
            <v>0</v>
          </cell>
          <cell r="X21">
            <v>-5.5</v>
          </cell>
        </row>
        <row r="22">
          <cell r="A22">
            <v>21</v>
          </cell>
          <cell r="B22" t="str">
            <v>Marshall</v>
          </cell>
          <cell r="C22" t="str">
            <v>Georgia Southern</v>
          </cell>
          <cell r="D22">
            <v>-1.0082740362977736</v>
          </cell>
          <cell r="E22">
            <v>98.893795326349732</v>
          </cell>
          <cell r="F22">
            <v>103.2400965507284</v>
          </cell>
          <cell r="G22">
            <v>0.54940282301845822</v>
          </cell>
          <cell r="H22">
            <v>69.77600000000001</v>
          </cell>
          <cell r="I22">
            <v>61.4</v>
          </cell>
          <cell r="J22">
            <v>17.899999999999999</v>
          </cell>
          <cell r="K22">
            <v>11.133333333333333</v>
          </cell>
          <cell r="L22">
            <v>11.633333333333333</v>
          </cell>
          <cell r="M22">
            <v>3.1</v>
          </cell>
          <cell r="N22">
            <v>-4.993610635918162</v>
          </cell>
          <cell r="O22">
            <v>100.15260570304818</v>
          </cell>
          <cell r="P22">
            <v>97.482264948583349</v>
          </cell>
          <cell r="Q22">
            <v>0.50763157894736843</v>
          </cell>
          <cell r="R22">
            <v>71.40774193548387</v>
          </cell>
          <cell r="S22">
            <v>61.29032258064516</v>
          </cell>
          <cell r="T22">
            <v>24.387096774193548</v>
          </cell>
          <cell r="U22">
            <v>11.03225806451613</v>
          </cell>
          <cell r="V22">
            <v>10.419354838709678</v>
          </cell>
          <cell r="W22">
            <v>0</v>
          </cell>
          <cell r="X22">
            <v>-4.5</v>
          </cell>
        </row>
        <row r="23">
          <cell r="A23">
            <v>22</v>
          </cell>
          <cell r="B23" t="str">
            <v>Portland State</v>
          </cell>
          <cell r="C23" t="str">
            <v>Idaho State</v>
          </cell>
          <cell r="D23">
            <v>3.8613410114665161</v>
          </cell>
          <cell r="E23">
            <v>98.376734671310899</v>
          </cell>
          <cell r="F23">
            <v>92.812141048507627</v>
          </cell>
          <cell r="G23">
            <v>0.52436194895591648</v>
          </cell>
          <cell r="H23">
            <v>69.186206896551724</v>
          </cell>
          <cell r="I23">
            <v>59.448275862068968</v>
          </cell>
          <cell r="J23">
            <v>20.172413793103448</v>
          </cell>
          <cell r="K23">
            <v>11.206896551724139</v>
          </cell>
          <cell r="L23">
            <v>12.068965517241379</v>
          </cell>
          <cell r="M23">
            <v>2.9</v>
          </cell>
          <cell r="N23">
            <v>1.1764026329679429</v>
          </cell>
          <cell r="O23">
            <v>98.948866162739009</v>
          </cell>
          <cell r="P23">
            <v>92.401119608423471</v>
          </cell>
          <cell r="Q23">
            <v>0.52284866468842728</v>
          </cell>
          <cell r="R23">
            <v>65.802666666666667</v>
          </cell>
          <cell r="S23">
            <v>56.166666666666664</v>
          </cell>
          <cell r="T23">
            <v>21.066666666666666</v>
          </cell>
          <cell r="U23">
            <v>10.733333333333333</v>
          </cell>
          <cell r="V23">
            <v>11.1</v>
          </cell>
          <cell r="W23">
            <v>0</v>
          </cell>
          <cell r="X23">
            <v>-7</v>
          </cell>
        </row>
        <row r="24">
          <cell r="A24">
            <v>23</v>
          </cell>
          <cell r="B24" t="str">
            <v>Montana State</v>
          </cell>
          <cell r="C24" t="str">
            <v>Idaho</v>
          </cell>
          <cell r="D24">
            <v>5.451239878025631</v>
          </cell>
          <cell r="E24">
            <v>98.727736497726525</v>
          </cell>
          <cell r="F24">
            <v>94.869956960537067</v>
          </cell>
          <cell r="G24">
            <v>0.55200678349349919</v>
          </cell>
          <cell r="H24">
            <v>67.398666666666671</v>
          </cell>
          <cell r="I24">
            <v>58.966666666666669</v>
          </cell>
          <cell r="J24">
            <v>17.8</v>
          </cell>
          <cell r="K24">
            <v>9.3000000000000007</v>
          </cell>
          <cell r="L24">
            <v>9.9</v>
          </cell>
          <cell r="M24">
            <v>3</v>
          </cell>
          <cell r="N24">
            <v>3.6808303170068015</v>
          </cell>
          <cell r="O24">
            <v>99.193922086319304</v>
          </cell>
          <cell r="P24">
            <v>92.36501126154117</v>
          </cell>
          <cell r="Q24">
            <v>0.53914491948917265</v>
          </cell>
          <cell r="R24">
            <v>68.846666666666664</v>
          </cell>
          <cell r="S24">
            <v>60.033333333333331</v>
          </cell>
          <cell r="T24">
            <v>19.5</v>
          </cell>
          <cell r="U24">
            <v>10.666666666666666</v>
          </cell>
          <cell r="V24">
            <v>10.9</v>
          </cell>
          <cell r="W24">
            <v>0</v>
          </cell>
          <cell r="X24">
            <v>-2.5</v>
          </cell>
        </row>
        <row r="25">
          <cell r="A25">
            <v>24</v>
          </cell>
          <cell r="B25" t="str">
            <v>Oregon State</v>
          </cell>
          <cell r="C25" t="str">
            <v>San Francisco</v>
          </cell>
          <cell r="D25">
            <v>1.8454367201223394</v>
          </cell>
          <cell r="E25">
            <v>94.817245326211363</v>
          </cell>
          <cell r="F25">
            <v>94.301861888906345</v>
          </cell>
          <cell r="G25">
            <v>0.50979772439949433</v>
          </cell>
          <cell r="H25">
            <v>66.397333333333336</v>
          </cell>
          <cell r="I25">
            <v>52.733333333333334</v>
          </cell>
          <cell r="J25">
            <v>23.1</v>
          </cell>
          <cell r="K25">
            <v>8.2666666666666675</v>
          </cell>
          <cell r="L25">
            <v>11.766666666666667</v>
          </cell>
          <cell r="M25">
            <v>3.3</v>
          </cell>
          <cell r="N25">
            <v>5.2682994866920358</v>
          </cell>
          <cell r="O25">
            <v>98.757614004280299</v>
          </cell>
          <cell r="P25">
            <v>96.109975222261824</v>
          </cell>
          <cell r="Q25">
            <v>0.52082093991671619</v>
          </cell>
          <cell r="R25">
            <v>66.286666666666662</v>
          </cell>
          <cell r="S25">
            <v>56.033333333333331</v>
          </cell>
          <cell r="T25">
            <v>22.166666666666668</v>
          </cell>
          <cell r="U25">
            <v>10.466666666666667</v>
          </cell>
          <cell r="V25">
            <v>10.966666666666667</v>
          </cell>
          <cell r="W25">
            <v>0</v>
          </cell>
          <cell r="X25">
            <v>3.5</v>
          </cell>
        </row>
        <row r="26">
          <cell r="A26">
            <v>25</v>
          </cell>
          <cell r="B26" t="str">
            <v>Santa Clara</v>
          </cell>
          <cell r="C26" t="str">
            <v>Pacific</v>
          </cell>
          <cell r="D26">
            <v>15.416214450289146</v>
          </cell>
          <cell r="E26">
            <v>101.91828877005349</v>
          </cell>
          <cell r="F26">
            <v>85.054984155655077</v>
          </cell>
          <cell r="G26">
            <v>0.55030800821355241</v>
          </cell>
          <cell r="H26">
            <v>70.550666666666672</v>
          </cell>
          <cell r="I26">
            <v>64.933333333333337</v>
          </cell>
          <cell r="J26">
            <v>16.933333333333334</v>
          </cell>
          <cell r="K26">
            <v>12.866666666666667</v>
          </cell>
          <cell r="L26">
            <v>11.033333333333333</v>
          </cell>
          <cell r="M26">
            <v>2.4</v>
          </cell>
          <cell r="N26">
            <v>4.3461695275855732</v>
          </cell>
          <cell r="O26">
            <v>96.588702507260976</v>
          </cell>
          <cell r="P26">
            <v>93.855170828216814</v>
          </cell>
          <cell r="Q26">
            <v>0.52915632754342434</v>
          </cell>
          <cell r="R26">
            <v>65.264827586206891</v>
          </cell>
          <cell r="S26">
            <v>55.586206896551722</v>
          </cell>
          <cell r="T26">
            <v>17.137931034482758</v>
          </cell>
          <cell r="U26">
            <v>11.206896551724139</v>
          </cell>
          <cell r="V26">
            <v>13.344827586206897</v>
          </cell>
          <cell r="W26">
            <v>0</v>
          </cell>
          <cell r="X26">
            <v>-11.5</v>
          </cell>
        </row>
        <row r="27">
          <cell r="A27">
            <v>26</v>
          </cell>
          <cell r="B27" t="str">
            <v>North Dakota State</v>
          </cell>
          <cell r="C27" t="str">
            <v>North Dakota</v>
          </cell>
          <cell r="D27">
            <v>3.7124078007474042</v>
          </cell>
          <cell r="E27">
            <v>100.07225029566713</v>
          </cell>
          <cell r="F27">
            <v>97.816701338429112</v>
          </cell>
          <cell r="G27">
            <v>0.54612045577862178</v>
          </cell>
          <cell r="H27">
            <v>69.301333333333332</v>
          </cell>
          <cell r="I27">
            <v>61.43333333333333</v>
          </cell>
          <cell r="J27">
            <v>18.866666666666667</v>
          </cell>
          <cell r="K27">
            <v>11.4</v>
          </cell>
          <cell r="L27">
            <v>10.966666666666667</v>
          </cell>
          <cell r="M27">
            <v>2.7</v>
          </cell>
          <cell r="N27">
            <v>-2.4103700851999714</v>
          </cell>
          <cell r="O27">
            <v>100.91210242861499</v>
          </cell>
          <cell r="P27">
            <v>95.802405407341482</v>
          </cell>
          <cell r="Q27">
            <v>0.5015764582238571</v>
          </cell>
          <cell r="R27">
            <v>69.849032258064511</v>
          </cell>
          <cell r="S27">
            <v>61.387096774193552</v>
          </cell>
          <cell r="T27">
            <v>21.870967741935484</v>
          </cell>
          <cell r="U27">
            <v>11.161290322580646</v>
          </cell>
          <cell r="V27">
            <v>10</v>
          </cell>
          <cell r="W27">
            <v>0</v>
          </cell>
          <cell r="X27">
            <v>-9.5</v>
          </cell>
        </row>
        <row r="28">
          <cell r="A28">
            <v>27</v>
          </cell>
          <cell r="B28" t="str">
            <v>High Point</v>
          </cell>
          <cell r="C28" t="str">
            <v>Winthrop</v>
          </cell>
          <cell r="D28">
            <v>10.234779338664307</v>
          </cell>
          <cell r="E28">
            <v>102.18636914867815</v>
          </cell>
          <cell r="F28">
            <v>94.801569697013193</v>
          </cell>
          <cell r="G28">
            <v>0.57053617907339926</v>
          </cell>
          <cell r="H28">
            <v>71.436129032258066</v>
          </cell>
          <cell r="I28">
            <v>61.967741935483872</v>
          </cell>
          <cell r="J28">
            <v>26.870967741935484</v>
          </cell>
          <cell r="K28">
            <v>11.67741935483871</v>
          </cell>
          <cell r="L28">
            <v>9.32258064516129</v>
          </cell>
          <cell r="M28">
            <v>2.7</v>
          </cell>
          <cell r="N28">
            <v>5.4197716117963273</v>
          </cell>
          <cell r="O28">
            <v>103.10804867321508</v>
          </cell>
          <cell r="P28">
            <v>94.024614329952314</v>
          </cell>
          <cell r="Q28">
            <v>0.51889233954451341</v>
          </cell>
          <cell r="R28">
            <v>70.935483870967744</v>
          </cell>
          <cell r="S28">
            <v>62.322580645161288</v>
          </cell>
          <cell r="T28">
            <v>26.612903225806452</v>
          </cell>
          <cell r="U28">
            <v>13.96774193548387</v>
          </cell>
          <cell r="V28">
            <v>10.870967741935484</v>
          </cell>
          <cell r="W28">
            <v>0</v>
          </cell>
          <cell r="X28">
            <v>-6.5</v>
          </cell>
        </row>
        <row r="29">
          <cell r="A29">
            <v>28</v>
          </cell>
          <cell r="B29" t="str">
            <v>Central Arkansas</v>
          </cell>
          <cell r="C29" t="str">
            <v>Queens University</v>
          </cell>
          <cell r="D29">
            <v>-5.4862199821415325E-2</v>
          </cell>
          <cell r="E29">
            <v>99.482017341337041</v>
          </cell>
          <cell r="F29">
            <v>100.32614772776721</v>
          </cell>
          <cell r="G29">
            <v>0.54073689673066938</v>
          </cell>
          <cell r="H29">
            <v>70.44</v>
          </cell>
          <cell r="I29">
            <v>62.161290322580648</v>
          </cell>
          <cell r="J29">
            <v>18.741935483870968</v>
          </cell>
          <cell r="K29">
            <v>10.838709677419354</v>
          </cell>
          <cell r="L29">
            <v>10.870967741935484</v>
          </cell>
          <cell r="M29">
            <v>2.7</v>
          </cell>
          <cell r="N29">
            <v>-2.5708214293647238</v>
          </cell>
          <cell r="O29">
            <v>98.869517046885235</v>
          </cell>
          <cell r="P29">
            <v>97.961143333710325</v>
          </cell>
          <cell r="Q29">
            <v>0.56745817593092285</v>
          </cell>
          <cell r="R29">
            <v>70.203870967741949</v>
          </cell>
          <cell r="S29">
            <v>59.774193548387096</v>
          </cell>
          <cell r="T29">
            <v>22.677419354838708</v>
          </cell>
          <cell r="U29">
            <v>10.161290322580646</v>
          </cell>
          <cell r="V29">
            <v>10.612903225806452</v>
          </cell>
          <cell r="W29">
            <v>0</v>
          </cell>
          <cell r="X29">
            <v>-2.5</v>
          </cell>
        </row>
        <row r="30">
          <cell r="A30">
            <v>29</v>
          </cell>
          <cell r="B30" t="str">
            <v>Lehigh Mountain</v>
          </cell>
          <cell r="C30" t="str">
            <v>Colgate</v>
          </cell>
          <cell r="D30">
            <v>-10.762411687060146</v>
          </cell>
          <cell r="E30">
            <v>93.269205658324267</v>
          </cell>
          <cell r="F30">
            <v>104.44120418246648</v>
          </cell>
          <cell r="G30">
            <v>0.53258293838862558</v>
          </cell>
          <cell r="H30">
            <v>68.86933333333333</v>
          </cell>
          <cell r="I30">
            <v>56.266666666666666</v>
          </cell>
          <cell r="J30">
            <v>17.733333333333334</v>
          </cell>
          <cell r="K30">
            <v>7.5</v>
          </cell>
          <cell r="L30">
            <v>12.3</v>
          </cell>
          <cell r="M30">
            <v>2.1</v>
          </cell>
          <cell r="N30">
            <v>-6.0763962162291367</v>
          </cell>
          <cell r="O30">
            <v>97.783344981452615</v>
          </cell>
          <cell r="P30">
            <v>108.0721858768885</v>
          </cell>
          <cell r="Q30">
            <v>0.54031815688425677</v>
          </cell>
          <cell r="R30">
            <v>67.609032258064516</v>
          </cell>
          <cell r="S30">
            <v>58.806451612903224</v>
          </cell>
          <cell r="T30">
            <v>17</v>
          </cell>
          <cell r="U30">
            <v>8.9677419354838701</v>
          </cell>
          <cell r="V30">
            <v>10.290322580645162</v>
          </cell>
          <cell r="W30">
            <v>0</v>
          </cell>
          <cell r="X30">
            <v>2</v>
          </cell>
        </row>
        <row r="31">
          <cell r="A31">
            <v>30</v>
          </cell>
          <cell r="B31" t="str">
            <v>Navy</v>
          </cell>
          <cell r="C31" t="str">
            <v>Boston University</v>
          </cell>
          <cell r="D31">
            <v>-5.546527511650936</v>
          </cell>
          <cell r="E31">
            <v>97.991274842462445</v>
          </cell>
          <cell r="F31">
            <v>107.53409618045538</v>
          </cell>
          <cell r="G31">
            <v>0.53723404255319152</v>
          </cell>
          <cell r="H31">
            <v>65.310967741935485</v>
          </cell>
          <cell r="I31">
            <v>54.58064516129032</v>
          </cell>
          <cell r="J31">
            <v>21.967741935483872</v>
          </cell>
          <cell r="K31">
            <v>10.387096774193548</v>
          </cell>
          <cell r="L31">
            <v>11.451612903225806</v>
          </cell>
          <cell r="M31">
            <v>1.6</v>
          </cell>
          <cell r="N31">
            <v>-10.057218425016838</v>
          </cell>
          <cell r="O31">
            <v>95.398571191227774</v>
          </cell>
          <cell r="P31">
            <v>113.61816684038442</v>
          </cell>
          <cell r="Q31">
            <v>0.5811130846654825</v>
          </cell>
          <cell r="R31">
            <v>65.190967741935481</v>
          </cell>
          <cell r="S31">
            <v>54.483870967741936</v>
          </cell>
          <cell r="T31">
            <v>17.516129032258064</v>
          </cell>
          <cell r="U31">
            <v>8.4516129032258061</v>
          </cell>
          <cell r="V31">
            <v>11.451612903225806</v>
          </cell>
          <cell r="W31">
            <v>0</v>
          </cell>
          <cell r="X31">
            <v>-7</v>
          </cell>
        </row>
        <row r="32">
          <cell r="A32">
            <v>31</v>
          </cell>
          <cell r="B32" t="str">
            <v>New Orleans</v>
          </cell>
          <cell r="C32" t="str">
            <v>Houston Christian</v>
          </cell>
          <cell r="D32">
            <v>-1.1586624552888216</v>
          </cell>
          <cell r="E32">
            <v>96.09802749551703</v>
          </cell>
          <cell r="F32">
            <v>95.031315969008631</v>
          </cell>
          <cell r="G32">
            <v>0.49971114962449453</v>
          </cell>
          <cell r="H32">
            <v>69.781935483870953</v>
          </cell>
          <cell r="I32">
            <v>55.838709677419352</v>
          </cell>
          <cell r="J32">
            <v>25.677419354838708</v>
          </cell>
          <cell r="K32">
            <v>11.935483870967742</v>
          </cell>
          <cell r="L32">
            <v>14.580645161290322</v>
          </cell>
          <cell r="M32">
            <v>2.4</v>
          </cell>
          <cell r="N32">
            <v>-5.6140467500755999</v>
          </cell>
          <cell r="O32">
            <v>96.62278047387953</v>
          </cell>
          <cell r="P32">
            <v>95.066927859882838</v>
          </cell>
          <cell r="Q32">
            <v>0.49750778816199376</v>
          </cell>
          <cell r="R32">
            <v>64.322666666666663</v>
          </cell>
          <cell r="S32">
            <v>53.5</v>
          </cell>
          <cell r="T32">
            <v>19.899999999999999</v>
          </cell>
          <cell r="U32">
            <v>10.466666666666667</v>
          </cell>
          <cell r="V32">
            <v>12.533333333333333</v>
          </cell>
          <cell r="W32">
            <v>0</v>
          </cell>
          <cell r="X32">
            <v>-4.5</v>
          </cell>
        </row>
        <row r="33">
          <cell r="A33">
            <v>32</v>
          </cell>
          <cell r="B33" t="str">
            <v>Nicholls</v>
          </cell>
          <cell r="C33" t="str">
            <v>Northwestern State</v>
          </cell>
          <cell r="D33">
            <v>-1.1315793773352603</v>
          </cell>
          <cell r="E33">
            <v>97.762237762237774</v>
          </cell>
          <cell r="F33">
            <v>90.40175092256905</v>
          </cell>
          <cell r="G33">
            <v>0.51081530782029949</v>
          </cell>
          <cell r="H33">
            <v>68.4258064516129</v>
          </cell>
          <cell r="I33">
            <v>58.161290322580648</v>
          </cell>
          <cell r="J33">
            <v>20.322580645161292</v>
          </cell>
          <cell r="K33">
            <v>10.483870967741936</v>
          </cell>
          <cell r="L33">
            <v>11.806451612903226</v>
          </cell>
          <cell r="M33">
            <v>2.7</v>
          </cell>
          <cell r="N33">
            <v>-4.5541197815205221</v>
          </cell>
          <cell r="O33">
            <v>95.510432351043235</v>
          </cell>
          <cell r="P33">
            <v>96.787900888556578</v>
          </cell>
          <cell r="Q33">
            <v>0.49787750151607035</v>
          </cell>
          <cell r="R33">
            <v>65.61032258064516</v>
          </cell>
          <cell r="S33">
            <v>53.193548387096776</v>
          </cell>
          <cell r="T33">
            <v>21.548387096774192</v>
          </cell>
          <cell r="U33">
            <v>8.67741935483871</v>
          </cell>
          <cell r="V33">
            <v>11.612903225806452</v>
          </cell>
          <cell r="W33">
            <v>0</v>
          </cell>
          <cell r="X33">
            <v>-2.5</v>
          </cell>
        </row>
        <row r="34">
          <cell r="A34">
            <v>33</v>
          </cell>
          <cell r="B34" t="str">
            <v>Penn State</v>
          </cell>
          <cell r="C34" t="str">
            <v>Rutgers</v>
          </cell>
          <cell r="D34">
            <v>4.2079635215317346</v>
          </cell>
          <cell r="E34">
            <v>97.000389299816476</v>
          </cell>
          <cell r="F34">
            <v>105.68129786581962</v>
          </cell>
          <cell r="G34">
            <v>0.53161938534278963</v>
          </cell>
          <cell r="H34">
            <v>66.641333333333336</v>
          </cell>
          <cell r="I34">
            <v>56.4</v>
          </cell>
          <cell r="J34">
            <v>19.033333333333335</v>
          </cell>
          <cell r="K34">
            <v>8.4666666666666668</v>
          </cell>
          <cell r="L34">
            <v>10.333333333333334</v>
          </cell>
          <cell r="M34">
            <v>0</v>
          </cell>
          <cell r="N34">
            <v>3.0194155258224424</v>
          </cell>
          <cell r="O34">
            <v>100.49753578972071</v>
          </cell>
          <cell r="P34">
            <v>99.945663531318417</v>
          </cell>
          <cell r="Q34">
            <v>0.47268777157045311</v>
          </cell>
          <cell r="R34">
            <v>66.457142857142856</v>
          </cell>
          <cell r="S34">
            <v>57.535714285714285</v>
          </cell>
          <cell r="T34">
            <v>22.142857142857142</v>
          </cell>
          <cell r="U34">
            <v>11.178571428571429</v>
          </cell>
          <cell r="V34">
            <v>10.357142857142858</v>
          </cell>
          <cell r="W34">
            <v>3.9</v>
          </cell>
          <cell r="X34">
            <v>5</v>
          </cell>
        </row>
        <row r="35">
          <cell r="A35">
            <v>34</v>
          </cell>
          <cell r="B35" t="str">
            <v>Memphis</v>
          </cell>
          <cell r="C35" t="str">
            <v>Tulane</v>
          </cell>
          <cell r="D35">
            <v>5.4749011028456174</v>
          </cell>
          <cell r="E35">
            <v>98.324187375343641</v>
          </cell>
          <cell r="F35">
            <v>93.546308355166119</v>
          </cell>
          <cell r="G35">
            <v>0.48646362098138746</v>
          </cell>
          <cell r="H35">
            <v>71.066206896551719</v>
          </cell>
          <cell r="I35">
            <v>61.137931034482762</v>
          </cell>
          <cell r="J35">
            <v>20.448275862068964</v>
          </cell>
          <cell r="K35">
            <v>12.896551724137931</v>
          </cell>
          <cell r="L35">
            <v>13.827586206896552</v>
          </cell>
          <cell r="M35">
            <v>0</v>
          </cell>
          <cell r="N35">
            <v>-2.6896354752064533</v>
          </cell>
          <cell r="O35">
            <v>95.071240105540895</v>
          </cell>
          <cell r="P35">
            <v>107.63220393936604</v>
          </cell>
          <cell r="Q35">
            <v>0.50032051282051282</v>
          </cell>
          <cell r="R35">
            <v>67.853793103448282</v>
          </cell>
          <cell r="S35">
            <v>53.793103448275865</v>
          </cell>
          <cell r="T35">
            <v>24.275862068965516</v>
          </cell>
          <cell r="U35">
            <v>7.7586206896551726</v>
          </cell>
          <cell r="V35">
            <v>11.137931034482758</v>
          </cell>
          <cell r="W35">
            <v>2.7</v>
          </cell>
          <cell r="X35">
            <v>-1</v>
          </cell>
        </row>
        <row r="36">
          <cell r="A36">
            <v>35</v>
          </cell>
          <cell r="B36" t="str">
            <v>Charlotte</v>
          </cell>
          <cell r="C36" t="str">
            <v>South Florida</v>
          </cell>
          <cell r="D36">
            <v>-0.90150418881966121</v>
          </cell>
          <cell r="E36">
            <v>98.044142614601029</v>
          </cell>
          <cell r="F36">
            <v>108.29885751358511</v>
          </cell>
          <cell r="G36">
            <v>0.53923357664233573</v>
          </cell>
          <cell r="H36">
            <v>64.78</v>
          </cell>
          <cell r="I36">
            <v>54.8</v>
          </cell>
          <cell r="J36">
            <v>20.333333333333332</v>
          </cell>
          <cell r="K36">
            <v>10.866666666666667</v>
          </cell>
          <cell r="L36">
            <v>11.9</v>
          </cell>
          <cell r="M36">
            <v>0</v>
          </cell>
          <cell r="N36">
            <v>10.763168800169614</v>
          </cell>
          <cell r="O36">
            <v>104.06915159388429</v>
          </cell>
          <cell r="P36">
            <v>100.49745071856333</v>
          </cell>
          <cell r="Q36">
            <v>0.5120355834641549</v>
          </cell>
          <cell r="R36">
            <v>74.117241379310343</v>
          </cell>
          <cell r="S36">
            <v>65.896551724137936</v>
          </cell>
          <cell r="T36">
            <v>27.931034482758619</v>
          </cell>
          <cell r="U36">
            <v>15.482758620689655</v>
          </cell>
          <cell r="V36">
            <v>11.413793103448276</v>
          </cell>
          <cell r="W36">
            <v>2.7</v>
          </cell>
          <cell r="X36">
            <v>16.5</v>
          </cell>
        </row>
        <row r="37">
          <cell r="A37">
            <v>36</v>
          </cell>
          <cell r="B37" t="str">
            <v>Temple</v>
          </cell>
          <cell r="C37" t="str">
            <v>Tulsa</v>
          </cell>
          <cell r="D37">
            <v>0.44934740501326897</v>
          </cell>
          <cell r="E37">
            <v>100.88985823336969</v>
          </cell>
          <cell r="F37">
            <v>98.948886981234423</v>
          </cell>
          <cell r="G37">
            <v>0.50681114551083595</v>
          </cell>
          <cell r="H37">
            <v>64.884137931034488</v>
          </cell>
          <cell r="I37">
            <v>55.689655172413794</v>
          </cell>
          <cell r="J37">
            <v>23.482758620689655</v>
          </cell>
          <cell r="K37">
            <v>10.172413793103448</v>
          </cell>
          <cell r="L37">
            <v>9.0344827586206904</v>
          </cell>
          <cell r="M37">
            <v>0</v>
          </cell>
          <cell r="N37">
            <v>5.5924405978387064</v>
          </cell>
          <cell r="O37">
            <v>100.41070548957364</v>
          </cell>
          <cell r="P37">
            <v>102.4601786778754</v>
          </cell>
          <cell r="Q37">
            <v>0.57276446522501456</v>
          </cell>
          <cell r="R37">
            <v>68.539310344827584</v>
          </cell>
          <cell r="S37">
            <v>59</v>
          </cell>
          <cell r="T37">
            <v>23.482758620689655</v>
          </cell>
          <cell r="U37">
            <v>11.275862068965518</v>
          </cell>
          <cell r="V37">
            <v>10.482758620689655</v>
          </cell>
          <cell r="W37">
            <v>3.6</v>
          </cell>
          <cell r="X37">
            <v>10.5</v>
          </cell>
        </row>
        <row r="38">
          <cell r="A38">
            <v>37</v>
          </cell>
          <cell r="B38" t="str">
            <v>Illinois</v>
          </cell>
          <cell r="C38" t="str">
            <v>Maryland</v>
          </cell>
          <cell r="D38">
            <v>19.614167714334965</v>
          </cell>
          <cell r="E38">
            <v>105.16302674345668</v>
          </cell>
          <cell r="F38">
            <v>109.9335644135422</v>
          </cell>
          <cell r="G38">
            <v>0.55166666666666664</v>
          </cell>
          <cell r="H38">
            <v>66.725517241379308</v>
          </cell>
          <cell r="I38">
            <v>62.068965517241381</v>
          </cell>
          <cell r="J38">
            <v>20.379310344827587</v>
          </cell>
          <cell r="K38">
            <v>13.448275862068966</v>
          </cell>
          <cell r="L38">
            <v>9.137931034482758</v>
          </cell>
          <cell r="M38">
            <v>0</v>
          </cell>
          <cell r="N38">
            <v>4.7177343732025729</v>
          </cell>
          <cell r="O38">
            <v>98.853381463000318</v>
          </cell>
          <cell r="P38">
            <v>97.852632959527824</v>
          </cell>
          <cell r="Q38">
            <v>0.47940180586907449</v>
          </cell>
          <cell r="R38">
            <v>66.838709677419359</v>
          </cell>
          <cell r="S38">
            <v>57.161290322580648</v>
          </cell>
          <cell r="T38">
            <v>20.967741935483872</v>
          </cell>
          <cell r="U38">
            <v>12.32258064516129</v>
          </cell>
          <cell r="V38">
            <v>12.774193548387096</v>
          </cell>
          <cell r="W38">
            <v>3.7</v>
          </cell>
          <cell r="X38">
            <v>-14.5</v>
          </cell>
        </row>
        <row r="39">
          <cell r="A39">
            <v>38</v>
          </cell>
          <cell r="B39" t="str">
            <v>East Carolina</v>
          </cell>
          <cell r="C39" t="str">
            <v>UAB</v>
          </cell>
          <cell r="D39">
            <v>-4.7609091449289078</v>
          </cell>
          <cell r="E39">
            <v>99.499918464967124</v>
          </cell>
          <cell r="F39">
            <v>105.79674806589708</v>
          </cell>
          <cell r="G39">
            <v>0.4658094681472823</v>
          </cell>
          <cell r="H39">
            <v>69.172413793103445</v>
          </cell>
          <cell r="I39">
            <v>59</v>
          </cell>
          <cell r="J39">
            <v>23.275862068965516</v>
          </cell>
          <cell r="K39">
            <v>12.137931034482758</v>
          </cell>
          <cell r="L39">
            <v>12.068965517241379</v>
          </cell>
          <cell r="M39">
            <v>0</v>
          </cell>
          <cell r="N39">
            <v>2.2952417927745943</v>
          </cell>
          <cell r="O39">
            <v>104.55358060207543</v>
          </cell>
          <cell r="P39">
            <v>111.22798849776856</v>
          </cell>
          <cell r="Q39">
            <v>0.48141455859576665</v>
          </cell>
          <cell r="R39">
            <v>70.813333333333333</v>
          </cell>
          <cell r="S39">
            <v>64.566666666666663</v>
          </cell>
          <cell r="T39">
            <v>23.666666666666668</v>
          </cell>
          <cell r="U39">
            <v>13.2</v>
          </cell>
          <cell r="V39">
            <v>9.0333333333333332</v>
          </cell>
          <cell r="W39">
            <v>3.5</v>
          </cell>
          <cell r="X39">
            <v>10.5</v>
          </cell>
        </row>
        <row r="40">
          <cell r="A40">
            <v>39</v>
          </cell>
          <cell r="B40" t="str">
            <v>UTSA</v>
          </cell>
          <cell r="C40" t="str">
            <v>Rice</v>
          </cell>
          <cell r="D40">
            <v>-8.150789874122836</v>
          </cell>
          <cell r="E40">
            <v>99.363055910277041</v>
          </cell>
          <cell r="F40">
            <v>110.84244639246424</v>
          </cell>
          <cell r="G40">
            <v>0.46072423398328693</v>
          </cell>
          <cell r="H40">
            <v>69.878620689655179</v>
          </cell>
          <cell r="I40">
            <v>61.896551724137929</v>
          </cell>
          <cell r="J40">
            <v>17.827586206896552</v>
          </cell>
          <cell r="K40">
            <v>12.103448275862069</v>
          </cell>
          <cell r="L40">
            <v>12.241379310344827</v>
          </cell>
          <cell r="M40">
            <v>0</v>
          </cell>
          <cell r="N40">
            <v>-0.32426141652098583</v>
          </cell>
          <cell r="O40">
            <v>101.11344469231187</v>
          </cell>
          <cell r="P40">
            <v>104.33709554698171</v>
          </cell>
          <cell r="Q40">
            <v>0.49776785714285715</v>
          </cell>
          <cell r="R40">
            <v>67.574666666666658</v>
          </cell>
          <cell r="S40">
            <v>59.733333333333334</v>
          </cell>
          <cell r="T40">
            <v>20.7</v>
          </cell>
          <cell r="U40">
            <v>13.666666666666666</v>
          </cell>
          <cell r="V40">
            <v>12.4</v>
          </cell>
          <cell r="W40">
            <v>2.4</v>
          </cell>
          <cell r="X40">
            <v>12</v>
          </cell>
        </row>
        <row r="41">
          <cell r="A41">
            <v>40</v>
          </cell>
          <cell r="B41" t="str">
            <v>Michigan State</v>
          </cell>
          <cell r="C41" t="str">
            <v>Michigan</v>
          </cell>
          <cell r="D41">
            <v>20.483780607843485</v>
          </cell>
          <cell r="E41">
            <v>101.35342270731998</v>
          </cell>
          <cell r="F41">
            <v>94.968802284326188</v>
          </cell>
          <cell r="G41">
            <v>0.53465045592705163</v>
          </cell>
          <cell r="H41">
            <v>66.341428571428565</v>
          </cell>
          <cell r="I41">
            <v>58.75</v>
          </cell>
          <cell r="J41">
            <v>20.5</v>
          </cell>
          <cell r="K41">
            <v>12.785714285714286</v>
          </cell>
          <cell r="L41">
            <v>11.357142857142858</v>
          </cell>
          <cell r="M41">
            <v>0</v>
          </cell>
          <cell r="N41">
            <v>24.226746855270012</v>
          </cell>
          <cell r="O41">
            <v>98.717179137370138</v>
          </cell>
          <cell r="P41">
            <v>95.051519288768077</v>
          </cell>
          <cell r="Q41">
            <v>0.58690744920993232</v>
          </cell>
          <cell r="R41">
            <v>71.976551724137934</v>
          </cell>
          <cell r="S41">
            <v>61.103448275862071</v>
          </cell>
          <cell r="T41">
            <v>23.379310344827587</v>
          </cell>
          <cell r="U41">
            <v>11.448275862068966</v>
          </cell>
          <cell r="V41">
            <v>12.03448275862069</v>
          </cell>
          <cell r="W41">
            <v>3.1</v>
          </cell>
          <cell r="X41">
            <v>9.5</v>
          </cell>
        </row>
        <row r="42">
          <cell r="A42">
            <v>41</v>
          </cell>
          <cell r="B42" t="str">
            <v>Iowa</v>
          </cell>
          <cell r="C42" t="str">
            <v>Nebraska</v>
          </cell>
          <cell r="D42">
            <v>15.225413669715085</v>
          </cell>
          <cell r="E42">
            <v>98.736867733885205</v>
          </cell>
          <cell r="F42">
            <v>92.518142940768442</v>
          </cell>
          <cell r="G42">
            <v>0.56762820512820511</v>
          </cell>
          <cell r="H42">
            <v>62.609655172413795</v>
          </cell>
          <cell r="I42">
            <v>53.793103448275865</v>
          </cell>
          <cell r="J42">
            <v>18.862068965517242</v>
          </cell>
          <cell r="K42">
            <v>8.9655172413793096</v>
          </cell>
          <cell r="L42">
            <v>9.4827586206896548</v>
          </cell>
          <cell r="M42">
            <v>0</v>
          </cell>
          <cell r="N42">
            <v>15.780760470233366</v>
          </cell>
          <cell r="O42">
            <v>98.486340031609842</v>
          </cell>
          <cell r="P42">
            <v>103.31655581895811</v>
          </cell>
          <cell r="Q42">
            <v>0.55552423900789172</v>
          </cell>
          <cell r="R42">
            <v>66.914666666666676</v>
          </cell>
          <cell r="S42">
            <v>59.133333333333333</v>
          </cell>
          <cell r="T42">
            <v>15.866666666666667</v>
          </cell>
          <cell r="U42">
            <v>8.8666666666666671</v>
          </cell>
          <cell r="V42">
            <v>9.6666666666666661</v>
          </cell>
          <cell r="W42">
            <v>3.3</v>
          </cell>
          <cell r="X42">
            <v>5.5</v>
          </cell>
        </row>
        <row r="43">
          <cell r="A43">
            <v>42</v>
          </cell>
          <cell r="B43" t="str">
            <v>Northern Iowa</v>
          </cell>
          <cell r="C43" t="str">
            <v>UIC</v>
          </cell>
          <cell r="D43">
            <v>8.3037870531434343</v>
          </cell>
          <cell r="E43">
            <v>96.183435370220636</v>
          </cell>
          <cell r="F43">
            <v>97.375853548665106</v>
          </cell>
          <cell r="G43">
            <v>0.53908984830805129</v>
          </cell>
          <cell r="H43">
            <v>63.780645161290323</v>
          </cell>
          <cell r="I43">
            <v>55.29032258064516</v>
          </cell>
          <cell r="J43">
            <v>13.870967741935484</v>
          </cell>
          <cell r="K43">
            <v>6.838709677419355</v>
          </cell>
          <cell r="L43">
            <v>9.2258064516129039</v>
          </cell>
          <cell r="M43">
            <v>0</v>
          </cell>
          <cell r="N43">
            <v>4.6984279859427724</v>
          </cell>
          <cell r="O43">
            <v>100.35897704094974</v>
          </cell>
          <cell r="P43">
            <v>98.455630035851442</v>
          </cell>
          <cell r="Q43">
            <v>0.50520547945205474</v>
          </cell>
          <cell r="R43">
            <v>67.685161290322583</v>
          </cell>
          <cell r="S43">
            <v>58.87096774193548</v>
          </cell>
          <cell r="T43">
            <v>21.64516129032258</v>
          </cell>
          <cell r="U43">
            <v>13</v>
          </cell>
          <cell r="V43">
            <v>12.290322580645162</v>
          </cell>
          <cell r="W43">
            <v>2.6</v>
          </cell>
          <cell r="X43">
            <v>-3</v>
          </cell>
        </row>
        <row r="44">
          <cell r="A44">
            <v>43</v>
          </cell>
          <cell r="B44" t="str">
            <v>Campbell</v>
          </cell>
          <cell r="C44" t="str">
            <v>UNC Wilmington</v>
          </cell>
          <cell r="D44">
            <v>0.95333742786577147</v>
          </cell>
          <cell r="E44">
            <v>100.08241236185427</v>
          </cell>
          <cell r="F44">
            <v>100.93100536661679</v>
          </cell>
          <cell r="G44">
            <v>0.51127214170692437</v>
          </cell>
          <cell r="H44">
            <v>70.150967741935489</v>
          </cell>
          <cell r="I44">
            <v>60.096774193548384</v>
          </cell>
          <cell r="J44">
            <v>24.096774193548388</v>
          </cell>
          <cell r="K44">
            <v>12.67741935483871</v>
          </cell>
          <cell r="L44">
            <v>12.129032258064516</v>
          </cell>
          <cell r="M44">
            <v>0</v>
          </cell>
          <cell r="N44">
            <v>3.6314220853713457</v>
          </cell>
          <cell r="O44">
            <v>103.48484848484848</v>
          </cell>
          <cell r="P44">
            <v>96.160805015167057</v>
          </cell>
          <cell r="Q44">
            <v>0.51796572692095078</v>
          </cell>
          <cell r="R44">
            <v>65.980645161290326</v>
          </cell>
          <cell r="S44">
            <v>58.354838709677416</v>
          </cell>
          <cell r="T44">
            <v>24.516129032258064</v>
          </cell>
          <cell r="U44">
            <v>13.129032258064516</v>
          </cell>
          <cell r="V44">
            <v>9.9677419354838701</v>
          </cell>
          <cell r="W44">
            <v>3</v>
          </cell>
          <cell r="X44">
            <v>8</v>
          </cell>
        </row>
        <row r="45">
          <cell r="A45">
            <v>44</v>
          </cell>
          <cell r="B45" t="str">
            <v>Drexel</v>
          </cell>
          <cell r="C45" t="str">
            <v>Monmouth</v>
          </cell>
          <cell r="D45">
            <v>-4.9911754348503381</v>
          </cell>
          <cell r="E45">
            <v>97.126970861886448</v>
          </cell>
          <cell r="F45">
            <v>103.28318363843756</v>
          </cell>
          <cell r="G45">
            <v>0.50837182448036955</v>
          </cell>
          <cell r="H45">
            <v>65.03612903225806</v>
          </cell>
          <cell r="I45">
            <v>55.87096774193548</v>
          </cell>
          <cell r="J45">
            <v>16.870967741935484</v>
          </cell>
          <cell r="K45">
            <v>10.741935483870968</v>
          </cell>
          <cell r="L45">
            <v>12.483870967741936</v>
          </cell>
          <cell r="M45">
            <v>0</v>
          </cell>
          <cell r="N45">
            <v>-3.1170269040410123</v>
          </cell>
          <cell r="O45">
            <v>99.327473229982417</v>
          </cell>
          <cell r="P45">
            <v>101.98264514164663</v>
          </cell>
          <cell r="Q45">
            <v>0.49972632731253419</v>
          </cell>
          <cell r="R45">
            <v>67.424516129032256</v>
          </cell>
          <cell r="S45">
            <v>58.935483870967744</v>
          </cell>
          <cell r="T45">
            <v>19</v>
          </cell>
          <cell r="U45">
            <v>11.35483870967742</v>
          </cell>
          <cell r="V45">
            <v>11.483870967741936</v>
          </cell>
          <cell r="W45">
            <v>3.1</v>
          </cell>
          <cell r="X45">
            <v>4</v>
          </cell>
        </row>
        <row r="46">
          <cell r="A46">
            <v>45</v>
          </cell>
          <cell r="B46" t="str">
            <v>Towson</v>
          </cell>
          <cell r="C46" t="str">
            <v>Charleston</v>
          </cell>
          <cell r="D46">
            <v>-2.6751354788913009</v>
          </cell>
          <cell r="E46">
            <v>103.71920897421072</v>
          </cell>
          <cell r="F46">
            <v>118.53693193428867</v>
          </cell>
          <cell r="G46">
            <v>0.47652319731693682</v>
          </cell>
          <cell r="H46">
            <v>64.373333333333335</v>
          </cell>
          <cell r="I46">
            <v>59.633333333333333</v>
          </cell>
          <cell r="J46">
            <v>17.666666666666668</v>
          </cell>
          <cell r="K46">
            <v>13.433333333333334</v>
          </cell>
          <cell r="L46">
            <v>10.4</v>
          </cell>
          <cell r="M46">
            <v>0</v>
          </cell>
          <cell r="N46">
            <v>-0.90981972495297903</v>
          </cell>
          <cell r="O46">
            <v>99.191144212620515</v>
          </cell>
          <cell r="P46">
            <v>106.53974306114162</v>
          </cell>
          <cell r="Q46">
            <v>0.50389538119087363</v>
          </cell>
          <cell r="R46">
            <v>68.646451612903235</v>
          </cell>
          <cell r="S46">
            <v>57.967741935483872</v>
          </cell>
          <cell r="T46">
            <v>23.903225806451612</v>
          </cell>
          <cell r="U46">
            <v>10.612903225806452</v>
          </cell>
          <cell r="V46">
            <v>10.774193548387096</v>
          </cell>
          <cell r="W46">
            <v>2.8</v>
          </cell>
          <cell r="X46">
            <v>2.5</v>
          </cell>
        </row>
        <row r="47">
          <cell r="A47">
            <v>46</v>
          </cell>
          <cell r="B47" t="str">
            <v>William &amp; Mary</v>
          </cell>
          <cell r="C47" t="str">
            <v>Hofstra</v>
          </cell>
          <cell r="D47">
            <v>2.8994289078112745</v>
          </cell>
          <cell r="E47">
            <v>95.51758993162224</v>
          </cell>
          <cell r="F47">
            <v>97.709680461493463</v>
          </cell>
          <cell r="G47">
            <v>0.55637393767705379</v>
          </cell>
          <cell r="H47">
            <v>73.158666666666676</v>
          </cell>
          <cell r="I47">
            <v>58.833333333333336</v>
          </cell>
          <cell r="J47">
            <v>25.133333333333333</v>
          </cell>
          <cell r="K47">
            <v>8.8666666666666671</v>
          </cell>
          <cell r="L47">
            <v>12.133333333333333</v>
          </cell>
          <cell r="M47">
            <v>0</v>
          </cell>
          <cell r="N47">
            <v>0.80936550315360856</v>
          </cell>
          <cell r="O47">
            <v>101.28261610082888</v>
          </cell>
          <cell r="P47">
            <v>110.63741499289443</v>
          </cell>
          <cell r="Q47">
            <v>0.52542372881355937</v>
          </cell>
          <cell r="R47">
            <v>65.590666666666664</v>
          </cell>
          <cell r="S47">
            <v>59</v>
          </cell>
          <cell r="T47">
            <v>17.933333333333334</v>
          </cell>
          <cell r="U47">
            <v>12.166666666666666</v>
          </cell>
          <cell r="V47">
            <v>10.866666666666667</v>
          </cell>
          <cell r="W47">
            <v>2.2000000000000002</v>
          </cell>
          <cell r="X47">
            <v>4.5</v>
          </cell>
        </row>
        <row r="48">
          <cell r="A48">
            <v>47</v>
          </cell>
          <cell r="B48" t="str">
            <v>Northern Kentucky</v>
          </cell>
          <cell r="C48" t="str">
            <v>Green Bay</v>
          </cell>
          <cell r="D48">
            <v>1.1038359142903991</v>
          </cell>
          <cell r="E48">
            <v>99.14590747330962</v>
          </cell>
          <cell r="F48">
            <v>99.070525219864209</v>
          </cell>
          <cell r="G48">
            <v>0.54238578680203042</v>
          </cell>
          <cell r="H48">
            <v>71.575000000000003</v>
          </cell>
          <cell r="I48">
            <v>61.5625</v>
          </cell>
          <cell r="J48">
            <v>22.1875</v>
          </cell>
          <cell r="K48">
            <v>11.71875</v>
          </cell>
          <cell r="L48">
            <v>11.96875</v>
          </cell>
          <cell r="M48">
            <v>0</v>
          </cell>
          <cell r="N48">
            <v>-2.5107393300319569</v>
          </cell>
          <cell r="O48">
            <v>95.534202305289242</v>
          </cell>
          <cell r="P48">
            <v>107.69506251667561</v>
          </cell>
          <cell r="Q48">
            <v>0.55385556915544676</v>
          </cell>
          <cell r="R48">
            <v>65.292903225806455</v>
          </cell>
          <cell r="S48">
            <v>52.70967741935484</v>
          </cell>
          <cell r="T48">
            <v>22</v>
          </cell>
          <cell r="U48">
            <v>7.709677419354839</v>
          </cell>
          <cell r="V48">
            <v>10.612903225806452</v>
          </cell>
          <cell r="W48">
            <v>2.7</v>
          </cell>
          <cell r="X48">
            <v>-3</v>
          </cell>
        </row>
        <row r="49">
          <cell r="A49">
            <v>48</v>
          </cell>
          <cell r="B49" t="str">
            <v>Western Carolina</v>
          </cell>
          <cell r="C49" t="str">
            <v>East Tennessee State</v>
          </cell>
          <cell r="D49">
            <v>0.41405067801070755</v>
          </cell>
          <cell r="E49">
            <v>102.32154769846564</v>
          </cell>
          <cell r="F49">
            <v>104.07840804422767</v>
          </cell>
          <cell r="G49">
            <v>0.51740076128330614</v>
          </cell>
          <cell r="H49">
            <v>69.434482758620689</v>
          </cell>
          <cell r="I49">
            <v>63.413793103448278</v>
          </cell>
          <cell r="J49">
            <v>18.620689655172413</v>
          </cell>
          <cell r="K49">
            <v>13.448275862068966</v>
          </cell>
          <cell r="L49">
            <v>11.275862068965518</v>
          </cell>
          <cell r="M49">
            <v>0</v>
          </cell>
          <cell r="N49">
            <v>3.2114609500464995</v>
          </cell>
          <cell r="O49">
            <v>98.541398541398536</v>
          </cell>
          <cell r="P49">
            <v>97.354200579217107</v>
          </cell>
          <cell r="Q49">
            <v>0.55184977578475336</v>
          </cell>
          <cell r="R49">
            <v>66.774193548387103</v>
          </cell>
          <cell r="S49">
            <v>57.548387096774192</v>
          </cell>
          <cell r="T49">
            <v>19.35483870967742</v>
          </cell>
          <cell r="U49">
            <v>9.4516129032258061</v>
          </cell>
          <cell r="V49">
            <v>10.161290322580646</v>
          </cell>
          <cell r="W49">
            <v>2.6</v>
          </cell>
          <cell r="X49">
            <v>3</v>
          </cell>
        </row>
        <row r="50">
          <cell r="A50">
            <v>49</v>
          </cell>
          <cell r="B50" t="str">
            <v>UNC Greensboro</v>
          </cell>
          <cell r="C50" t="str">
            <v>Furman</v>
          </cell>
          <cell r="D50">
            <v>-4.0914280778944532</v>
          </cell>
          <cell r="E50">
            <v>99.154487989886221</v>
          </cell>
          <cell r="F50">
            <v>104.75222328927958</v>
          </cell>
          <cell r="G50">
            <v>0.52811466372657112</v>
          </cell>
          <cell r="H50">
            <v>69.283870967741933</v>
          </cell>
          <cell r="I50">
            <v>58.516129032258064</v>
          </cell>
          <cell r="J50">
            <v>24.032258064516128</v>
          </cell>
          <cell r="K50">
            <v>10.03225806451613</v>
          </cell>
          <cell r="L50">
            <v>10.225806451612904</v>
          </cell>
          <cell r="M50">
            <v>0</v>
          </cell>
          <cell r="N50">
            <v>-0.59907841060703682</v>
          </cell>
          <cell r="O50">
            <v>98.139214631522336</v>
          </cell>
          <cell r="P50">
            <v>110.40741522046811</v>
          </cell>
          <cell r="Q50">
            <v>0.5494444444444444</v>
          </cell>
          <cell r="R50">
            <v>67.073548387096764</v>
          </cell>
          <cell r="S50">
            <v>58.064516129032256</v>
          </cell>
          <cell r="T50">
            <v>18.129032258064516</v>
          </cell>
          <cell r="U50">
            <v>11.064516129032258</v>
          </cell>
          <cell r="V50">
            <v>12.096774193548388</v>
          </cell>
          <cell r="W50">
            <v>2.8</v>
          </cell>
          <cell r="X50">
            <v>6.5</v>
          </cell>
        </row>
        <row r="51">
          <cell r="A51">
            <v>50</v>
          </cell>
          <cell r="B51" t="str">
            <v>Marist</v>
          </cell>
          <cell r="C51" t="str">
            <v>Merrimack</v>
          </cell>
          <cell r="D51">
            <v>-9.8961172851446548</v>
          </cell>
          <cell r="E51">
            <v>97.921432835820895</v>
          </cell>
          <cell r="F51">
            <v>104.11525482741143</v>
          </cell>
          <cell r="G51">
            <v>0.50088967971530252</v>
          </cell>
          <cell r="H51">
            <v>65.808275862068967</v>
          </cell>
          <cell r="I51">
            <v>58.137931034482762</v>
          </cell>
          <cell r="J51">
            <v>14.689655172413794</v>
          </cell>
          <cell r="K51">
            <v>9.7586206896551726</v>
          </cell>
          <cell r="L51">
            <v>10.96551724137931</v>
          </cell>
          <cell r="M51">
            <v>0</v>
          </cell>
          <cell r="N51">
            <v>-10.980427398495449</v>
          </cell>
          <cell r="O51">
            <v>97.043171806167408</v>
          </cell>
          <cell r="P51">
            <v>111.74041801169643</v>
          </cell>
          <cell r="Q51">
            <v>0.49634591961023145</v>
          </cell>
          <cell r="R51">
            <v>64.020645161290318</v>
          </cell>
          <cell r="S51">
            <v>52.967741935483872</v>
          </cell>
          <cell r="T51">
            <v>21.161290322580644</v>
          </cell>
          <cell r="U51">
            <v>7.967741935483871</v>
          </cell>
          <cell r="V51">
            <v>9.7096774193548381</v>
          </cell>
          <cell r="W51">
            <v>1.9</v>
          </cell>
          <cell r="X51">
            <v>4</v>
          </cell>
        </row>
        <row r="52">
          <cell r="A52">
            <v>51</v>
          </cell>
          <cell r="B52" t="str">
            <v>Fairfield</v>
          </cell>
          <cell r="C52" t="str">
            <v>Siena</v>
          </cell>
          <cell r="D52">
            <v>-11.689679980954812</v>
          </cell>
          <cell r="E52">
            <v>104.17391304347828</v>
          </cell>
          <cell r="F52">
            <v>108.67704703444794</v>
          </cell>
          <cell r="G52">
            <v>0.49512320328542092</v>
          </cell>
          <cell r="H52">
            <v>67.189677419354837</v>
          </cell>
          <cell r="I52">
            <v>62.838709677419352</v>
          </cell>
          <cell r="J52">
            <v>17.806451612903224</v>
          </cell>
          <cell r="K52">
            <v>13.806451612903226</v>
          </cell>
          <cell r="L52">
            <v>10.32258064516129</v>
          </cell>
          <cell r="M52">
            <v>0</v>
          </cell>
          <cell r="N52">
            <v>-10.566906628097865</v>
          </cell>
          <cell r="O52">
            <v>99.034205231388341</v>
          </cell>
          <cell r="P52">
            <v>104.80592559655821</v>
          </cell>
          <cell r="Q52">
            <v>0.50988947062245493</v>
          </cell>
          <cell r="R52">
            <v>64.00645161290322</v>
          </cell>
          <cell r="S52">
            <v>55.451612903225808</v>
          </cell>
          <cell r="T52">
            <v>18.70967741935484</v>
          </cell>
          <cell r="U52">
            <v>9.9677419354838701</v>
          </cell>
          <cell r="V52">
            <v>10.290322580645162</v>
          </cell>
          <cell r="W52">
            <v>2.7</v>
          </cell>
          <cell r="X52">
            <v>1.5</v>
          </cell>
        </row>
        <row r="53">
          <cell r="A53">
            <v>52</v>
          </cell>
          <cell r="B53" t="str">
            <v>Southern Miss</v>
          </cell>
          <cell r="C53" t="str">
            <v>Troy</v>
          </cell>
          <cell r="D53">
            <v>-5.1826977278212141</v>
          </cell>
          <cell r="E53">
            <v>96.899892357373517</v>
          </cell>
          <cell r="F53">
            <v>96.080429759020575</v>
          </cell>
          <cell r="G53">
            <v>0.49424939467312351</v>
          </cell>
          <cell r="H53">
            <v>67.266666666666666</v>
          </cell>
          <cell r="I53">
            <v>55.06666666666667</v>
          </cell>
          <cell r="J53">
            <v>23.333333333333332</v>
          </cell>
          <cell r="K53">
            <v>10.9</v>
          </cell>
          <cell r="L53">
            <v>12.833333333333334</v>
          </cell>
          <cell r="M53">
            <v>0</v>
          </cell>
          <cell r="N53">
            <v>1.0777911425871012</v>
          </cell>
          <cell r="O53">
            <v>100.92204492326455</v>
          </cell>
          <cell r="P53">
            <v>98.588415579212324</v>
          </cell>
          <cell r="Q53">
            <v>0.52404600104547827</v>
          </cell>
          <cell r="R53">
            <v>70.001290322580644</v>
          </cell>
          <cell r="S53">
            <v>61.70967741935484</v>
          </cell>
          <cell r="T53">
            <v>21.483870967741936</v>
          </cell>
          <cell r="U53">
            <v>12.774193548387096</v>
          </cell>
          <cell r="V53">
            <v>11.612903225806452</v>
          </cell>
          <cell r="W53">
            <v>2.8</v>
          </cell>
          <cell r="X53">
            <v>5.5</v>
          </cell>
        </row>
        <row r="54">
          <cell r="A54">
            <v>53</v>
          </cell>
          <cell r="B54" t="str">
            <v>Georgia Southern</v>
          </cell>
          <cell r="C54" t="str">
            <v>Marshall</v>
          </cell>
          <cell r="D54">
            <v>-4.993610635918162</v>
          </cell>
          <cell r="E54">
            <v>100.15260570304818</v>
          </cell>
          <cell r="F54">
            <v>97.482264948583349</v>
          </cell>
          <cell r="G54">
            <v>0.50763157894736843</v>
          </cell>
          <cell r="H54">
            <v>71.40774193548387</v>
          </cell>
          <cell r="I54">
            <v>61.29032258064516</v>
          </cell>
          <cell r="J54">
            <v>24.387096774193548</v>
          </cell>
          <cell r="K54">
            <v>11.03225806451613</v>
          </cell>
          <cell r="L54">
            <v>10.419354838709678</v>
          </cell>
          <cell r="M54">
            <v>0</v>
          </cell>
          <cell r="N54">
            <v>-1.0082740362977736</v>
          </cell>
          <cell r="O54">
            <v>98.893795326349732</v>
          </cell>
          <cell r="P54">
            <v>103.2400965507284</v>
          </cell>
          <cell r="Q54">
            <v>0.54940282301845822</v>
          </cell>
          <cell r="R54">
            <v>69.77600000000001</v>
          </cell>
          <cell r="S54">
            <v>61.4</v>
          </cell>
          <cell r="T54">
            <v>17.899999999999999</v>
          </cell>
          <cell r="U54">
            <v>11.133333333333333</v>
          </cell>
          <cell r="V54">
            <v>11.633333333333333</v>
          </cell>
          <cell r="W54">
            <v>3.1</v>
          </cell>
          <cell r="X54">
            <v>4.5</v>
          </cell>
        </row>
        <row r="55">
          <cell r="A55">
            <v>54</v>
          </cell>
          <cell r="B55" t="str">
            <v>Idaho State</v>
          </cell>
          <cell r="C55" t="str">
            <v>Portland State</v>
          </cell>
          <cell r="D55">
            <v>1.1764026329679429</v>
          </cell>
          <cell r="E55">
            <v>98.948866162739009</v>
          </cell>
          <cell r="F55">
            <v>92.401119608423471</v>
          </cell>
          <cell r="G55">
            <v>0.52284866468842728</v>
          </cell>
          <cell r="H55">
            <v>65.802666666666667</v>
          </cell>
          <cell r="I55">
            <v>56.166666666666664</v>
          </cell>
          <cell r="J55">
            <v>21.066666666666666</v>
          </cell>
          <cell r="K55">
            <v>10.733333333333333</v>
          </cell>
          <cell r="L55">
            <v>11.1</v>
          </cell>
          <cell r="M55">
            <v>0</v>
          </cell>
          <cell r="N55">
            <v>3.8613410114665161</v>
          </cell>
          <cell r="O55">
            <v>98.376734671310899</v>
          </cell>
          <cell r="P55">
            <v>92.812141048507627</v>
          </cell>
          <cell r="Q55">
            <v>0.52436194895591648</v>
          </cell>
          <cell r="R55">
            <v>69.186206896551724</v>
          </cell>
          <cell r="S55">
            <v>59.448275862068968</v>
          </cell>
          <cell r="T55">
            <v>20.172413793103448</v>
          </cell>
          <cell r="U55">
            <v>11.206896551724139</v>
          </cell>
          <cell r="V55">
            <v>12.068965517241379</v>
          </cell>
          <cell r="W55">
            <v>2.9</v>
          </cell>
          <cell r="X55">
            <v>7</v>
          </cell>
        </row>
        <row r="56">
          <cell r="A56">
            <v>55</v>
          </cell>
          <cell r="B56" t="str">
            <v>Idaho</v>
          </cell>
          <cell r="C56" t="str">
            <v>Montana State</v>
          </cell>
          <cell r="D56">
            <v>3.6808303170068015</v>
          </cell>
          <cell r="E56">
            <v>99.193922086319304</v>
          </cell>
          <cell r="F56">
            <v>92.36501126154117</v>
          </cell>
          <cell r="G56">
            <v>0.53914491948917265</v>
          </cell>
          <cell r="H56">
            <v>68.846666666666664</v>
          </cell>
          <cell r="I56">
            <v>60.033333333333331</v>
          </cell>
          <cell r="J56">
            <v>19.5</v>
          </cell>
          <cell r="K56">
            <v>10.666666666666666</v>
          </cell>
          <cell r="L56">
            <v>10.9</v>
          </cell>
          <cell r="M56">
            <v>0</v>
          </cell>
          <cell r="N56">
            <v>5.451239878025631</v>
          </cell>
          <cell r="O56">
            <v>98.727736497726525</v>
          </cell>
          <cell r="P56">
            <v>94.869956960537067</v>
          </cell>
          <cell r="Q56">
            <v>0.55200678349349919</v>
          </cell>
          <cell r="R56">
            <v>67.398666666666671</v>
          </cell>
          <cell r="S56">
            <v>58.966666666666669</v>
          </cell>
          <cell r="T56">
            <v>17.8</v>
          </cell>
          <cell r="U56">
            <v>9.3000000000000007</v>
          </cell>
          <cell r="V56">
            <v>9.9</v>
          </cell>
          <cell r="W56">
            <v>3</v>
          </cell>
          <cell r="X56">
            <v>2.5</v>
          </cell>
        </row>
        <row r="57">
          <cell r="A57">
            <v>56</v>
          </cell>
          <cell r="B57" t="str">
            <v>San Francisco</v>
          </cell>
          <cell r="C57" t="str">
            <v>Oregon State</v>
          </cell>
          <cell r="D57">
            <v>5.2682994866920358</v>
          </cell>
          <cell r="E57">
            <v>98.757614004280299</v>
          </cell>
          <cell r="F57">
            <v>96.109975222261824</v>
          </cell>
          <cell r="G57">
            <v>0.52082093991671619</v>
          </cell>
          <cell r="H57">
            <v>66.286666666666662</v>
          </cell>
          <cell r="I57">
            <v>56.033333333333331</v>
          </cell>
          <cell r="J57">
            <v>22.166666666666668</v>
          </cell>
          <cell r="K57">
            <v>10.466666666666667</v>
          </cell>
          <cell r="L57">
            <v>10.966666666666667</v>
          </cell>
          <cell r="M57">
            <v>0</v>
          </cell>
          <cell r="N57">
            <v>1.8454367201223394</v>
          </cell>
          <cell r="O57">
            <v>94.817245326211363</v>
          </cell>
          <cell r="P57">
            <v>94.301861888906345</v>
          </cell>
          <cell r="Q57">
            <v>0.50979772439949433</v>
          </cell>
          <cell r="R57">
            <v>66.397333333333336</v>
          </cell>
          <cell r="S57">
            <v>52.733333333333334</v>
          </cell>
          <cell r="T57">
            <v>23.1</v>
          </cell>
          <cell r="U57">
            <v>8.2666666666666675</v>
          </cell>
          <cell r="V57">
            <v>11.766666666666667</v>
          </cell>
          <cell r="W57">
            <v>3.3</v>
          </cell>
          <cell r="X57">
            <v>-3.5</v>
          </cell>
        </row>
        <row r="58">
          <cell r="A58">
            <v>57</v>
          </cell>
          <cell r="B58" t="str">
            <v>Pacific</v>
          </cell>
          <cell r="C58" t="str">
            <v>Santa Clara</v>
          </cell>
          <cell r="D58">
            <v>4.3461695275855732</v>
          </cell>
          <cell r="E58">
            <v>96.588702507260976</v>
          </cell>
          <cell r="F58">
            <v>93.855170828216814</v>
          </cell>
          <cell r="G58">
            <v>0.52915632754342434</v>
          </cell>
          <cell r="H58">
            <v>65.264827586206891</v>
          </cell>
          <cell r="I58">
            <v>55.586206896551722</v>
          </cell>
          <cell r="J58">
            <v>17.137931034482758</v>
          </cell>
          <cell r="K58">
            <v>11.206896551724139</v>
          </cell>
          <cell r="L58">
            <v>13.344827586206897</v>
          </cell>
          <cell r="M58">
            <v>0</v>
          </cell>
          <cell r="N58">
            <v>15.416214450289146</v>
          </cell>
          <cell r="O58">
            <v>101.91828877005349</v>
          </cell>
          <cell r="P58">
            <v>85.054984155655077</v>
          </cell>
          <cell r="Q58">
            <v>0.55030800821355241</v>
          </cell>
          <cell r="R58">
            <v>70.550666666666672</v>
          </cell>
          <cell r="S58">
            <v>64.933333333333337</v>
          </cell>
          <cell r="T58">
            <v>16.933333333333334</v>
          </cell>
          <cell r="U58">
            <v>12.866666666666667</v>
          </cell>
          <cell r="V58">
            <v>11.033333333333333</v>
          </cell>
          <cell r="W58">
            <v>2.4</v>
          </cell>
          <cell r="X58">
            <v>11.5</v>
          </cell>
        </row>
        <row r="59">
          <cell r="A59">
            <v>58</v>
          </cell>
          <cell r="B59" t="str">
            <v>North Dakota</v>
          </cell>
          <cell r="C59" t="str">
            <v>North Dakota State</v>
          </cell>
          <cell r="D59">
            <v>-2.4103700851999714</v>
          </cell>
          <cell r="E59">
            <v>100.91210242861499</v>
          </cell>
          <cell r="F59">
            <v>95.802405407341482</v>
          </cell>
          <cell r="G59">
            <v>0.5015764582238571</v>
          </cell>
          <cell r="H59">
            <v>69.849032258064511</v>
          </cell>
          <cell r="I59">
            <v>61.387096774193552</v>
          </cell>
          <cell r="J59">
            <v>21.870967741935484</v>
          </cell>
          <cell r="K59">
            <v>11.161290322580646</v>
          </cell>
          <cell r="L59">
            <v>10</v>
          </cell>
          <cell r="M59">
            <v>0</v>
          </cell>
          <cell r="N59">
            <v>3.7124078007474042</v>
          </cell>
          <cell r="O59">
            <v>100.07225029566713</v>
          </cell>
          <cell r="P59">
            <v>97.816701338429112</v>
          </cell>
          <cell r="Q59">
            <v>0.54612045577862178</v>
          </cell>
          <cell r="R59">
            <v>69.301333333333332</v>
          </cell>
          <cell r="S59">
            <v>61.43333333333333</v>
          </cell>
          <cell r="T59">
            <v>18.866666666666667</v>
          </cell>
          <cell r="U59">
            <v>11.4</v>
          </cell>
          <cell r="V59">
            <v>10.966666666666667</v>
          </cell>
          <cell r="W59">
            <v>2.7</v>
          </cell>
          <cell r="X59">
            <v>9.5</v>
          </cell>
        </row>
        <row r="60">
          <cell r="A60">
            <v>59</v>
          </cell>
          <cell r="B60" t="str">
            <v>Winthrop</v>
          </cell>
          <cell r="C60" t="str">
            <v>High Point</v>
          </cell>
          <cell r="D60">
            <v>5.4197716117963273</v>
          </cell>
          <cell r="E60">
            <v>103.10804867321508</v>
          </cell>
          <cell r="F60">
            <v>94.024614329952314</v>
          </cell>
          <cell r="G60">
            <v>0.51889233954451341</v>
          </cell>
          <cell r="H60">
            <v>70.935483870967744</v>
          </cell>
          <cell r="I60">
            <v>62.322580645161288</v>
          </cell>
          <cell r="J60">
            <v>26.612903225806452</v>
          </cell>
          <cell r="K60">
            <v>13.96774193548387</v>
          </cell>
          <cell r="L60">
            <v>10.870967741935484</v>
          </cell>
          <cell r="M60">
            <v>0</v>
          </cell>
          <cell r="N60">
            <v>10.234779338664307</v>
          </cell>
          <cell r="O60">
            <v>102.18636914867815</v>
          </cell>
          <cell r="P60">
            <v>94.801569697013193</v>
          </cell>
          <cell r="Q60">
            <v>0.57053617907339926</v>
          </cell>
          <cell r="R60">
            <v>71.436129032258066</v>
          </cell>
          <cell r="S60">
            <v>61.967741935483872</v>
          </cell>
          <cell r="T60">
            <v>26.870967741935484</v>
          </cell>
          <cell r="U60">
            <v>11.67741935483871</v>
          </cell>
          <cell r="V60">
            <v>9.32258064516129</v>
          </cell>
          <cell r="W60">
            <v>2.7</v>
          </cell>
          <cell r="X60">
            <v>6.5</v>
          </cell>
        </row>
        <row r="61">
          <cell r="A61">
            <v>60</v>
          </cell>
          <cell r="B61" t="str">
            <v>Queens University</v>
          </cell>
          <cell r="C61" t="str">
            <v>Central Arkansas</v>
          </cell>
          <cell r="D61">
            <v>-2.5708214293647238</v>
          </cell>
          <cell r="E61">
            <v>98.869517046885235</v>
          </cell>
          <cell r="F61">
            <v>97.961143333710325</v>
          </cell>
          <cell r="G61">
            <v>0.56745817593092285</v>
          </cell>
          <cell r="H61">
            <v>70.203870967741949</v>
          </cell>
          <cell r="I61">
            <v>59.774193548387096</v>
          </cell>
          <cell r="J61">
            <v>22.677419354838708</v>
          </cell>
          <cell r="K61">
            <v>10.161290322580646</v>
          </cell>
          <cell r="L61">
            <v>10.612903225806452</v>
          </cell>
          <cell r="M61">
            <v>0</v>
          </cell>
          <cell r="N61">
            <v>-5.4862199821415325E-2</v>
          </cell>
          <cell r="O61">
            <v>99.482017341337041</v>
          </cell>
          <cell r="P61">
            <v>100.32614772776721</v>
          </cell>
          <cell r="Q61">
            <v>0.54073689673066938</v>
          </cell>
          <cell r="R61">
            <v>70.44</v>
          </cell>
          <cell r="S61">
            <v>62.161290322580648</v>
          </cell>
          <cell r="T61">
            <v>18.741935483870968</v>
          </cell>
          <cell r="U61">
            <v>10.838709677419354</v>
          </cell>
          <cell r="V61">
            <v>10.870967741935484</v>
          </cell>
          <cell r="W61">
            <v>2.7</v>
          </cell>
          <cell r="X61">
            <v>2.5</v>
          </cell>
        </row>
        <row r="62">
          <cell r="A62">
            <v>61</v>
          </cell>
          <cell r="B62" t="str">
            <v>Colgate</v>
          </cell>
          <cell r="C62" t="str">
            <v>Lehigh Mountain</v>
          </cell>
          <cell r="D62">
            <v>-6.0763962162291367</v>
          </cell>
          <cell r="E62">
            <v>97.783344981452615</v>
          </cell>
          <cell r="F62">
            <v>108.0721858768885</v>
          </cell>
          <cell r="G62">
            <v>0.54031815688425677</v>
          </cell>
          <cell r="H62">
            <v>67.609032258064516</v>
          </cell>
          <cell r="I62">
            <v>58.806451612903224</v>
          </cell>
          <cell r="J62">
            <v>17</v>
          </cell>
          <cell r="K62">
            <v>8.9677419354838701</v>
          </cell>
          <cell r="L62">
            <v>10.290322580645162</v>
          </cell>
          <cell r="M62">
            <v>0</v>
          </cell>
          <cell r="N62">
            <v>-10.762411687060146</v>
          </cell>
          <cell r="O62">
            <v>93.269205658324267</v>
          </cell>
          <cell r="P62">
            <v>104.44120418246648</v>
          </cell>
          <cell r="Q62">
            <v>0.53258293838862558</v>
          </cell>
          <cell r="R62">
            <v>68.86933333333333</v>
          </cell>
          <cell r="S62">
            <v>56.266666666666666</v>
          </cell>
          <cell r="T62">
            <v>17.733333333333334</v>
          </cell>
          <cell r="U62">
            <v>7.5</v>
          </cell>
          <cell r="V62">
            <v>12.3</v>
          </cell>
          <cell r="W62">
            <v>2.1</v>
          </cell>
          <cell r="X62">
            <v>-2</v>
          </cell>
        </row>
        <row r="63">
          <cell r="A63">
            <v>62</v>
          </cell>
          <cell r="B63" t="str">
            <v>Boston University</v>
          </cell>
          <cell r="C63" t="str">
            <v>Navy</v>
          </cell>
          <cell r="D63">
            <v>-10.057218425016838</v>
          </cell>
          <cell r="E63">
            <v>95.398571191227774</v>
          </cell>
          <cell r="F63">
            <v>113.61816684038442</v>
          </cell>
          <cell r="G63">
            <v>0.5811130846654825</v>
          </cell>
          <cell r="H63">
            <v>65.190967741935481</v>
          </cell>
          <cell r="I63">
            <v>54.483870967741936</v>
          </cell>
          <cell r="J63">
            <v>17.516129032258064</v>
          </cell>
          <cell r="K63">
            <v>8.4516129032258061</v>
          </cell>
          <cell r="L63">
            <v>11.451612903225806</v>
          </cell>
          <cell r="M63">
            <v>0</v>
          </cell>
          <cell r="N63">
            <v>-5.546527511650936</v>
          </cell>
          <cell r="O63">
            <v>97.991274842462445</v>
          </cell>
          <cell r="P63">
            <v>107.53409618045538</v>
          </cell>
          <cell r="Q63">
            <v>0.53723404255319152</v>
          </cell>
          <cell r="R63">
            <v>65.310967741935485</v>
          </cell>
          <cell r="S63">
            <v>54.58064516129032</v>
          </cell>
          <cell r="T63">
            <v>21.967741935483872</v>
          </cell>
          <cell r="U63">
            <v>10.387096774193548</v>
          </cell>
          <cell r="V63">
            <v>11.451612903225806</v>
          </cell>
          <cell r="W63">
            <v>1.6</v>
          </cell>
          <cell r="X63">
            <v>7</v>
          </cell>
        </row>
        <row r="64">
          <cell r="A64">
            <v>63</v>
          </cell>
          <cell r="B64" t="str">
            <v>Houston Christian</v>
          </cell>
          <cell r="C64" t="str">
            <v>New Orleans</v>
          </cell>
          <cell r="D64">
            <v>-5.6140467500755999</v>
          </cell>
          <cell r="E64">
            <v>96.62278047387953</v>
          </cell>
          <cell r="F64">
            <v>95.066927859882838</v>
          </cell>
          <cell r="G64">
            <v>0.49750778816199376</v>
          </cell>
          <cell r="H64">
            <v>64.322666666666663</v>
          </cell>
          <cell r="I64">
            <v>53.5</v>
          </cell>
          <cell r="J64">
            <v>19.899999999999999</v>
          </cell>
          <cell r="K64">
            <v>10.466666666666667</v>
          </cell>
          <cell r="L64">
            <v>12.533333333333333</v>
          </cell>
          <cell r="M64">
            <v>0</v>
          </cell>
          <cell r="N64">
            <v>-1.1586624552888216</v>
          </cell>
          <cell r="O64">
            <v>96.09802749551703</v>
          </cell>
          <cell r="P64">
            <v>95.031315969008631</v>
          </cell>
          <cell r="Q64">
            <v>0.49971114962449453</v>
          </cell>
          <cell r="R64">
            <v>69.781935483870953</v>
          </cell>
          <cell r="S64">
            <v>55.838709677419352</v>
          </cell>
          <cell r="T64">
            <v>25.677419354838708</v>
          </cell>
          <cell r="U64">
            <v>11.935483870967742</v>
          </cell>
          <cell r="V64">
            <v>14.580645161290322</v>
          </cell>
          <cell r="W64">
            <v>2.4</v>
          </cell>
          <cell r="X64">
            <v>4.5</v>
          </cell>
        </row>
        <row r="65">
          <cell r="A65">
            <v>64</v>
          </cell>
          <cell r="B65" t="str">
            <v>Northwestern State</v>
          </cell>
          <cell r="C65" t="str">
            <v>Nicholls</v>
          </cell>
          <cell r="D65">
            <v>-4.5541197815205221</v>
          </cell>
          <cell r="E65">
            <v>95.510432351043235</v>
          </cell>
          <cell r="F65">
            <v>96.787900888556578</v>
          </cell>
          <cell r="G65">
            <v>0.49787750151607035</v>
          </cell>
          <cell r="H65">
            <v>65.61032258064516</v>
          </cell>
          <cell r="I65">
            <v>53.193548387096776</v>
          </cell>
          <cell r="J65">
            <v>21.548387096774192</v>
          </cell>
          <cell r="K65">
            <v>8.67741935483871</v>
          </cell>
          <cell r="L65">
            <v>11.612903225806452</v>
          </cell>
          <cell r="M65">
            <v>0</v>
          </cell>
          <cell r="N65">
            <v>-1.1315793773352603</v>
          </cell>
          <cell r="O65">
            <v>97.762237762237774</v>
          </cell>
          <cell r="P65">
            <v>90.40175092256905</v>
          </cell>
          <cell r="Q65">
            <v>0.51081530782029949</v>
          </cell>
          <cell r="R65">
            <v>68.4258064516129</v>
          </cell>
          <cell r="S65">
            <v>58.161290322580648</v>
          </cell>
          <cell r="T65">
            <v>20.322580645161292</v>
          </cell>
          <cell r="U65">
            <v>10.483870967741936</v>
          </cell>
          <cell r="V65">
            <v>11.806451612903226</v>
          </cell>
          <cell r="W65">
            <v>2.7</v>
          </cell>
          <cell r="X65">
            <v>2.5</v>
          </cell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  <row r="182"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</row>
        <row r="183"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</row>
        <row r="184"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</row>
        <row r="185"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</row>
        <row r="186"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</row>
        <row r="187">
          <cell r="D187"/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</row>
        <row r="188"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</row>
        <row r="189">
          <cell r="D189"/>
          <cell r="E189"/>
          <cell r="F189"/>
          <cell r="G189"/>
          <cell r="H189"/>
          <cell r="I189"/>
          <cell r="J189"/>
          <cell r="K189"/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</row>
        <row r="190">
          <cell r="D190"/>
          <cell r="E190"/>
          <cell r="F190"/>
          <cell r="G190"/>
          <cell r="H190"/>
          <cell r="I190"/>
          <cell r="J190"/>
          <cell r="K190"/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</row>
        <row r="191">
          <cell r="D191"/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</row>
        <row r="192">
          <cell r="D192"/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</row>
        <row r="193">
          <cell r="D193"/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</row>
        <row r="194"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</row>
        <row r="195">
          <cell r="D195"/>
          <cell r="E195"/>
          <cell r="F195"/>
          <cell r="G195"/>
          <cell r="H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</row>
        <row r="196">
          <cell r="D196"/>
          <cell r="E196"/>
          <cell r="F196"/>
          <cell r="G196"/>
          <cell r="H196"/>
          <cell r="I196"/>
          <cell r="J196"/>
          <cell r="K196"/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</row>
        <row r="197">
          <cell r="D197"/>
          <cell r="E197"/>
          <cell r="F197"/>
          <cell r="G197"/>
          <cell r="H197"/>
          <cell r="I197"/>
          <cell r="J197"/>
          <cell r="K197"/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Duke</v>
          </cell>
          <cell r="B3">
            <v>23.806844554428128</v>
          </cell>
          <cell r="C3">
            <v>24.836133178677578</v>
          </cell>
          <cell r="D3">
            <v>2</v>
          </cell>
          <cell r="E3">
            <v>24.810400963071341</v>
          </cell>
          <cell r="F3">
            <v>1</v>
          </cell>
          <cell r="G3">
            <v>2.5237751885742066</v>
          </cell>
        </row>
        <row r="4">
          <cell r="A4" t="str">
            <v>Arizona</v>
          </cell>
          <cell r="B4">
            <v>23.347924269841325</v>
          </cell>
          <cell r="C4">
            <v>24.411271302851425</v>
          </cell>
          <cell r="D4">
            <v>3</v>
          </cell>
          <cell r="E4">
            <v>24.384687627026175</v>
          </cell>
          <cell r="F4">
            <v>2</v>
          </cell>
          <cell r="G4">
            <v>2.4787923473690778</v>
          </cell>
        </row>
        <row r="5">
          <cell r="A5" t="str">
            <v>Michigan</v>
          </cell>
          <cell r="B5">
            <v>22.170536690416185</v>
          </cell>
          <cell r="C5">
            <v>27.233316346676521</v>
          </cell>
          <cell r="D5">
            <v>1</v>
          </cell>
          <cell r="E5">
            <v>24.226746855270012</v>
          </cell>
          <cell r="F5">
            <v>3</v>
          </cell>
          <cell r="G5">
            <v>2.4621035945061207</v>
          </cell>
        </row>
        <row r="6">
          <cell r="A6" t="str">
            <v>Florida</v>
          </cell>
          <cell r="B6">
            <v>23.898506089170024</v>
          </cell>
          <cell r="C6">
            <v>22.702632101886476</v>
          </cell>
          <cell r="D6">
            <v>4</v>
          </cell>
          <cell r="E6">
            <v>22.732528951568565</v>
          </cell>
          <cell r="F6">
            <v>4</v>
          </cell>
          <cell r="G6">
            <v>2.3042176158509182</v>
          </cell>
        </row>
        <row r="7">
          <cell r="A7" t="str">
            <v>Gonzaga</v>
          </cell>
          <cell r="B7">
            <v>23.269796454268604</v>
          </cell>
          <cell r="C7">
            <v>21.375316990344857</v>
          </cell>
          <cell r="D7">
            <v>5</v>
          </cell>
          <cell r="E7">
            <v>21.422678976942951</v>
          </cell>
          <cell r="F7">
            <v>5</v>
          </cell>
          <cell r="G7">
            <v>2.1658128058008188</v>
          </cell>
        </row>
        <row r="8">
          <cell r="A8" t="str">
            <v>Houston</v>
          </cell>
          <cell r="B8">
            <v>24.989412990794982</v>
          </cell>
          <cell r="C8">
            <v>20.925901359741733</v>
          </cell>
          <cell r="D8">
            <v>6</v>
          </cell>
          <cell r="E8">
            <v>21.027489150518065</v>
          </cell>
          <cell r="F8">
            <v>6</v>
          </cell>
          <cell r="G8">
            <v>2.1240552198790401</v>
          </cell>
        </row>
        <row r="9">
          <cell r="A9" t="str">
            <v>Purdue</v>
          </cell>
          <cell r="B9">
            <v>25.133558227306281</v>
          </cell>
          <cell r="C9">
            <v>20.708165610238872</v>
          </cell>
          <cell r="D9">
            <v>7</v>
          </cell>
          <cell r="E9">
            <v>20.818800425665557</v>
          </cell>
          <cell r="F9">
            <v>7</v>
          </cell>
          <cell r="G9">
            <v>2.1020042034402575</v>
          </cell>
        </row>
        <row r="10">
          <cell r="A10" t="str">
            <v>Arkansas</v>
          </cell>
          <cell r="B10">
            <v>19.897498939026178</v>
          </cell>
          <cell r="C10">
            <v>20.635942590922451</v>
          </cell>
          <cell r="D10">
            <v>8</v>
          </cell>
          <cell r="E10">
            <v>20.617481499625047</v>
          </cell>
          <cell r="F10">
            <v>8</v>
          </cell>
          <cell r="G10">
            <v>2.080731914049947</v>
          </cell>
        </row>
        <row r="11">
          <cell r="A11" t="str">
            <v>Michigan State</v>
          </cell>
          <cell r="B11">
            <v>20.512921474156744</v>
          </cell>
          <cell r="C11">
            <v>20.483033406143143</v>
          </cell>
          <cell r="D11">
            <v>9</v>
          </cell>
          <cell r="E11">
            <v>20.483780607843485</v>
          </cell>
          <cell r="F11">
            <v>9</v>
          </cell>
          <cell r="G11">
            <v>2.0666044590825603</v>
          </cell>
        </row>
        <row r="12">
          <cell r="A12" t="str">
            <v>Tennessee</v>
          </cell>
          <cell r="B12">
            <v>21.154185097948655</v>
          </cell>
          <cell r="C12">
            <v>20.459838551509868</v>
          </cell>
          <cell r="D12">
            <v>10</v>
          </cell>
          <cell r="E12">
            <v>20.477197215170836</v>
          </cell>
          <cell r="F12">
            <v>10</v>
          </cell>
          <cell r="G12">
            <v>2.0659088273461061</v>
          </cell>
        </row>
        <row r="13">
          <cell r="A13" t="str">
            <v>Texas Tech</v>
          </cell>
          <cell r="B13">
            <v>21.610552058212996</v>
          </cell>
          <cell r="C13">
            <v>20.11515012159569</v>
          </cell>
          <cell r="D13">
            <v>12</v>
          </cell>
          <cell r="E13">
            <v>18.15253517001112</v>
          </cell>
          <cell r="F13">
            <v>18</v>
          </cell>
          <cell r="G13">
            <v>1.8202742775703054</v>
          </cell>
        </row>
        <row r="14">
          <cell r="A14" t="str">
            <v>Alabama</v>
          </cell>
          <cell r="B14">
            <v>19.611532443464291</v>
          </cell>
          <cell r="C14">
            <v>20.126023478243596</v>
          </cell>
          <cell r="D14">
            <v>11</v>
          </cell>
          <cell r="E14">
            <v>20.113161202374116</v>
          </cell>
          <cell r="F14">
            <v>11</v>
          </cell>
          <cell r="G14">
            <v>2.0274430975460755</v>
          </cell>
        </row>
        <row r="15">
          <cell r="A15" t="str">
            <v>Illinois</v>
          </cell>
          <cell r="B15">
            <v>22.357214477641335</v>
          </cell>
          <cell r="C15">
            <v>19.543833181942492</v>
          </cell>
          <cell r="D15">
            <v>13</v>
          </cell>
          <cell r="E15">
            <v>19.614167714334965</v>
          </cell>
          <cell r="F15">
            <v>12</v>
          </cell>
          <cell r="G15">
            <v>1.9747171363549587</v>
          </cell>
        </row>
        <row r="16">
          <cell r="A16" t="str">
            <v>Iowa State</v>
          </cell>
          <cell r="B16">
            <v>20.841253854011949</v>
          </cell>
          <cell r="C16">
            <v>19.405742355019317</v>
          </cell>
          <cell r="D16">
            <v>14</v>
          </cell>
          <cell r="E16">
            <v>19.441630142494134</v>
          </cell>
          <cell r="F16">
            <v>13</v>
          </cell>
          <cell r="G16">
            <v>1.956486018043901</v>
          </cell>
        </row>
        <row r="17">
          <cell r="A17" t="str">
            <v>Vanderbilt</v>
          </cell>
          <cell r="B17">
            <v>19.814939133924728</v>
          </cell>
          <cell r="C17">
            <v>19.166858314475238</v>
          </cell>
          <cell r="D17">
            <v>15</v>
          </cell>
          <cell r="E17">
            <v>19.183060334961475</v>
          </cell>
          <cell r="F17">
            <v>14</v>
          </cell>
          <cell r="G17">
            <v>1.9291643355691752</v>
          </cell>
        </row>
        <row r="18">
          <cell r="A18" t="str">
            <v>UConn</v>
          </cell>
          <cell r="B18">
            <v>23.8885224238179</v>
          </cell>
          <cell r="C18">
            <v>18.716845496707997</v>
          </cell>
          <cell r="D18">
            <v>16</v>
          </cell>
          <cell r="E18">
            <v>18.846137419885743</v>
          </cell>
          <cell r="F18">
            <v>15</v>
          </cell>
          <cell r="G18">
            <v>1.8935635011484921</v>
          </cell>
        </row>
        <row r="19">
          <cell r="A19" t="str">
            <v>Kentucky</v>
          </cell>
          <cell r="B19">
            <v>21.963932506439889</v>
          </cell>
          <cell r="C19">
            <v>18.331674835451572</v>
          </cell>
          <cell r="D19">
            <v>17</v>
          </cell>
          <cell r="E19">
            <v>18.422481277226282</v>
          </cell>
          <cell r="F19">
            <v>16</v>
          </cell>
          <cell r="G19">
            <v>1.8487980325167885</v>
          </cell>
        </row>
        <row r="20">
          <cell r="A20" t="str">
            <v>Louisville</v>
          </cell>
          <cell r="B20">
            <v>21.158267596654795</v>
          </cell>
          <cell r="C20">
            <v>18.165901439701102</v>
          </cell>
          <cell r="D20">
            <v>18</v>
          </cell>
          <cell r="E20">
            <v>18.240710593624943</v>
          </cell>
          <cell r="F20">
            <v>17</v>
          </cell>
          <cell r="G20">
            <v>1.8295913008880684</v>
          </cell>
        </row>
        <row r="21">
          <cell r="A21" t="str">
            <v>Auburn</v>
          </cell>
          <cell r="B21">
            <v>20.255824923422399</v>
          </cell>
          <cell r="C21">
            <v>17.65354738280751</v>
          </cell>
          <cell r="D21">
            <v>19</v>
          </cell>
          <cell r="E21">
            <v>17.718604321322882</v>
          </cell>
          <cell r="F21">
            <v>19</v>
          </cell>
          <cell r="G21">
            <v>1.7744231359502582</v>
          </cell>
        </row>
        <row r="22">
          <cell r="A22" t="str">
            <v>Kansas</v>
          </cell>
          <cell r="B22">
            <v>19.619972109714087</v>
          </cell>
          <cell r="C22">
            <v>17.137704402337103</v>
          </cell>
          <cell r="D22">
            <v>20</v>
          </cell>
          <cell r="E22">
            <v>17.199761095021525</v>
          </cell>
          <cell r="F22">
            <v>20</v>
          </cell>
          <cell r="G22">
            <v>1.7195997595536252</v>
          </cell>
        </row>
        <row r="23">
          <cell r="A23" t="str">
            <v>Utah State</v>
          </cell>
          <cell r="B23">
            <v>17.85964083250806</v>
          </cell>
          <cell r="C23">
            <v>16.28630293203927</v>
          </cell>
          <cell r="D23">
            <v>21</v>
          </cell>
          <cell r="E23">
            <v>16.325636379550989</v>
          </cell>
          <cell r="F23">
            <v>21</v>
          </cell>
          <cell r="G23">
            <v>1.6272356968376818</v>
          </cell>
        </row>
        <row r="24">
          <cell r="A24" t="str">
            <v>BYU</v>
          </cell>
          <cell r="B24">
            <v>22.353677530978857</v>
          </cell>
          <cell r="C24">
            <v>16.134412383986493</v>
          </cell>
          <cell r="D24">
            <v>22</v>
          </cell>
          <cell r="E24">
            <v>16.289894012661303</v>
          </cell>
          <cell r="F24">
            <v>22</v>
          </cell>
          <cell r="G24">
            <v>1.6234589929433889</v>
          </cell>
        </row>
        <row r="25">
          <cell r="A25" t="str">
            <v>UCLA</v>
          </cell>
          <cell r="B25">
            <v>22.200725869750766</v>
          </cell>
          <cell r="C25">
            <v>15.762226532095985</v>
          </cell>
          <cell r="D25">
            <v>24</v>
          </cell>
          <cell r="E25">
            <v>15.923189015537355</v>
          </cell>
          <cell r="F25">
            <v>23</v>
          </cell>
          <cell r="G25">
            <v>1.5847112459078025</v>
          </cell>
        </row>
        <row r="26">
          <cell r="A26" t="str">
            <v>Nebraska</v>
          </cell>
          <cell r="B26">
            <v>16.206376355863735</v>
          </cell>
          <cell r="C26">
            <v>15.76984724239669</v>
          </cell>
          <cell r="D26">
            <v>23</v>
          </cell>
          <cell r="E26">
            <v>15.780760470233366</v>
          </cell>
          <cell r="F26">
            <v>24</v>
          </cell>
          <cell r="G26">
            <v>1.5696615866793517</v>
          </cell>
        </row>
        <row r="27">
          <cell r="A27" t="str">
            <v>Texas</v>
          </cell>
          <cell r="B27">
            <v>16.253714630756026</v>
          </cell>
          <cell r="C27">
            <v>15.541633639207751</v>
          </cell>
          <cell r="D27">
            <v>25</v>
          </cell>
          <cell r="E27">
            <v>15.559435663996457</v>
          </cell>
          <cell r="F27">
            <v>25</v>
          </cell>
          <cell r="G27">
            <v>1.5462753834041636</v>
          </cell>
        </row>
        <row r="28">
          <cell r="A28" t="str">
            <v>Wisconsin</v>
          </cell>
          <cell r="B28">
            <v>20.84233967694907</v>
          </cell>
          <cell r="C28">
            <v>15.325202130358283</v>
          </cell>
          <cell r="D28">
            <v>27</v>
          </cell>
          <cell r="E28">
            <v>15.463130569023052</v>
          </cell>
          <cell r="F28">
            <v>26</v>
          </cell>
          <cell r="G28">
            <v>1.5360993413880077</v>
          </cell>
        </row>
        <row r="29">
          <cell r="A29" t="str">
            <v>Santa Clara</v>
          </cell>
          <cell r="B29">
            <v>15.533209820599076</v>
          </cell>
          <cell r="C29">
            <v>15.413214568999148</v>
          </cell>
          <cell r="D29">
            <v>26</v>
          </cell>
          <cell r="E29">
            <v>15.416214450289146</v>
          </cell>
          <cell r="F29">
            <v>27</v>
          </cell>
          <cell r="G29">
            <v>1.5311419671639024</v>
          </cell>
        </row>
        <row r="30">
          <cell r="A30" t="str">
            <v>Iowa</v>
          </cell>
          <cell r="B30">
            <v>20.435850766301293</v>
          </cell>
          <cell r="C30">
            <v>15.091812718520567</v>
          </cell>
          <cell r="D30">
            <v>30</v>
          </cell>
          <cell r="E30">
            <v>15.225413669715085</v>
          </cell>
          <cell r="F30">
            <v>28</v>
          </cell>
          <cell r="G30">
            <v>1.5109810736995102</v>
          </cell>
        </row>
        <row r="31">
          <cell r="A31" t="str">
            <v>Georgia</v>
          </cell>
          <cell r="B31">
            <v>17.950699951149623</v>
          </cell>
          <cell r="C31">
            <v>15.124242184411418</v>
          </cell>
          <cell r="D31">
            <v>29</v>
          </cell>
          <cell r="E31">
            <v>15.194903628579874</v>
          </cell>
          <cell r="F31">
            <v>29</v>
          </cell>
          <cell r="G31">
            <v>1.5077572415586222</v>
          </cell>
        </row>
        <row r="32">
          <cell r="A32" t="str">
            <v>St. John's</v>
          </cell>
          <cell r="B32">
            <v>23.036885093583159</v>
          </cell>
          <cell r="C32">
            <v>14.890216055796916</v>
          </cell>
          <cell r="D32">
            <v>32</v>
          </cell>
          <cell r="E32">
            <v>15.093882781741572</v>
          </cell>
          <cell r="F32">
            <v>30</v>
          </cell>
          <cell r="G32">
            <v>1.497082911376838</v>
          </cell>
        </row>
        <row r="33">
          <cell r="A33" t="str">
            <v>Saint Mary's</v>
          </cell>
          <cell r="B33">
            <v>18.3754884225479</v>
          </cell>
          <cell r="C33">
            <v>15.007504364298324</v>
          </cell>
          <cell r="D33">
            <v>31</v>
          </cell>
          <cell r="E33">
            <v>15.091703965754563</v>
          </cell>
          <cell r="F33">
            <v>31</v>
          </cell>
          <cell r="G33">
            <v>1.4968526875965136</v>
          </cell>
        </row>
        <row r="34">
          <cell r="A34" t="str">
            <v>San Diego State</v>
          </cell>
          <cell r="B34">
            <v>18.448153521291179</v>
          </cell>
          <cell r="C34">
            <v>14.690857399010245</v>
          </cell>
          <cell r="D34">
            <v>33</v>
          </cell>
          <cell r="E34">
            <v>14.784789802067268</v>
          </cell>
          <cell r="F34">
            <v>32</v>
          </cell>
          <cell r="G34">
            <v>1.4644227167222028</v>
          </cell>
        </row>
        <row r="35">
          <cell r="A35" t="str">
            <v>Ohio State</v>
          </cell>
          <cell r="B35">
            <v>19.539372034863764</v>
          </cell>
          <cell r="C35">
            <v>14.163734734301153</v>
          </cell>
          <cell r="D35">
            <v>34</v>
          </cell>
          <cell r="E35">
            <v>14.298125666815217</v>
          </cell>
          <cell r="F35">
            <v>33</v>
          </cell>
          <cell r="G35">
            <v>1.41299953200442</v>
          </cell>
        </row>
        <row r="36">
          <cell r="A36" t="str">
            <v>SMU</v>
          </cell>
          <cell r="B36">
            <v>19.201852273032792</v>
          </cell>
          <cell r="C36">
            <v>13.924473735945678</v>
          </cell>
          <cell r="D36">
            <v>35</v>
          </cell>
          <cell r="E36">
            <v>14.056408199372855</v>
          </cell>
          <cell r="F36">
            <v>34</v>
          </cell>
          <cell r="G36">
            <v>1.3874585457729904</v>
          </cell>
        </row>
        <row r="37">
          <cell r="A37" t="str">
            <v>North Carolina</v>
          </cell>
          <cell r="B37">
            <v>18.770883806676974</v>
          </cell>
          <cell r="C37">
            <v>13.898346003559194</v>
          </cell>
          <cell r="D37">
            <v>36</v>
          </cell>
          <cell r="E37">
            <v>14.020159448637139</v>
          </cell>
          <cell r="F37">
            <v>35</v>
          </cell>
          <cell r="G37">
            <v>1.38362833501808</v>
          </cell>
        </row>
        <row r="38">
          <cell r="A38" t="str">
            <v>Baylor</v>
          </cell>
          <cell r="B38">
            <v>19.16475956028432</v>
          </cell>
          <cell r="C38">
            <v>13.594333704788003</v>
          </cell>
          <cell r="D38">
            <v>38</v>
          </cell>
          <cell r="E38">
            <v>13.733594351175411</v>
          </cell>
          <cell r="F38">
            <v>36</v>
          </cell>
          <cell r="G38">
            <v>1.3533485406526871</v>
          </cell>
        </row>
        <row r="39">
          <cell r="A39" t="str">
            <v>Texas A&amp;M</v>
          </cell>
          <cell r="B39">
            <v>16.014733241007438</v>
          </cell>
          <cell r="C39">
            <v>13.662462198687075</v>
          </cell>
          <cell r="D39">
            <v>37</v>
          </cell>
          <cell r="E39">
            <v>13.721268974745085</v>
          </cell>
          <cell r="F39">
            <v>37</v>
          </cell>
          <cell r="G39">
            <v>1.3520461843396117</v>
          </cell>
        </row>
        <row r="40">
          <cell r="A40" t="str">
            <v>Saint Louis</v>
          </cell>
          <cell r="B40">
            <v>13.200856043417884</v>
          </cell>
          <cell r="C40">
            <v>15.233690563633569</v>
          </cell>
          <cell r="D40">
            <v>28</v>
          </cell>
          <cell r="E40">
            <v>13.682869700628178</v>
          </cell>
          <cell r="F40">
            <v>38</v>
          </cell>
          <cell r="G40">
            <v>1.3479887393320402</v>
          </cell>
        </row>
        <row r="41">
          <cell r="A41" t="str">
            <v>Indiana</v>
          </cell>
          <cell r="B41">
            <v>18.769900205372554</v>
          </cell>
          <cell r="C41">
            <v>13.254378487488392</v>
          </cell>
          <cell r="D41">
            <v>39</v>
          </cell>
          <cell r="E41">
            <v>13.392266530435496</v>
          </cell>
          <cell r="F41">
            <v>39</v>
          </cell>
          <cell r="G41">
            <v>1.3172822635144787</v>
          </cell>
        </row>
        <row r="42">
          <cell r="A42" t="str">
            <v>Virginia</v>
          </cell>
          <cell r="B42">
            <v>17.976536937098711</v>
          </cell>
          <cell r="C42">
            <v>13.246952509294832</v>
          </cell>
          <cell r="D42">
            <v>40</v>
          </cell>
          <cell r="E42">
            <v>13.36519211998993</v>
          </cell>
          <cell r="F42">
            <v>40</v>
          </cell>
          <cell r="G42">
            <v>1.3144214560116898</v>
          </cell>
        </row>
        <row r="43">
          <cell r="A43" t="str">
            <v>Cincinnati</v>
          </cell>
          <cell r="B43">
            <v>17.830958402823203</v>
          </cell>
          <cell r="C43">
            <v>13.238861020824071</v>
          </cell>
          <cell r="D43">
            <v>41</v>
          </cell>
          <cell r="E43">
            <v>13.353663455374049</v>
          </cell>
          <cell r="F43">
            <v>41</v>
          </cell>
          <cell r="G43">
            <v>1.3132032839559562</v>
          </cell>
        </row>
        <row r="44">
          <cell r="A44" t="str">
            <v>NC State</v>
          </cell>
          <cell r="B44">
            <v>18.268501706355732</v>
          </cell>
          <cell r="C44">
            <v>12.969045832594812</v>
          </cell>
          <cell r="D44">
            <v>43</v>
          </cell>
          <cell r="E44">
            <v>13.101532229438835</v>
          </cell>
          <cell r="F44">
            <v>42</v>
          </cell>
          <cell r="G44">
            <v>1.2865619318093209</v>
          </cell>
        </row>
        <row r="45">
          <cell r="A45" t="str">
            <v>UCF</v>
          </cell>
          <cell r="B45">
            <v>12.869455518949275</v>
          </cell>
          <cell r="C45">
            <v>13.084315103423233</v>
          </cell>
          <cell r="D45">
            <v>42</v>
          </cell>
          <cell r="E45">
            <v>13.078943613811385</v>
          </cell>
          <cell r="F45">
            <v>43</v>
          </cell>
          <cell r="G45">
            <v>1.2841751141464008</v>
          </cell>
        </row>
        <row r="46">
          <cell r="A46" t="str">
            <v>Villanova</v>
          </cell>
          <cell r="B46">
            <v>15.786076207910773</v>
          </cell>
          <cell r="C46">
            <v>12.498606374270631</v>
          </cell>
          <cell r="D46">
            <v>44</v>
          </cell>
          <cell r="E46">
            <v>12.580793120111634</v>
          </cell>
          <cell r="F46">
            <v>44</v>
          </cell>
          <cell r="G46">
            <v>1.231538227638399</v>
          </cell>
        </row>
        <row r="47">
          <cell r="A47" t="str">
            <v>New Mexico</v>
          </cell>
          <cell r="B47">
            <v>12.32632888000543</v>
          </cell>
          <cell r="C47">
            <v>12.299217134880376</v>
          </cell>
          <cell r="D47">
            <v>45</v>
          </cell>
          <cell r="E47">
            <v>12.299894928508502</v>
          </cell>
          <cell r="F47">
            <v>45</v>
          </cell>
          <cell r="G47">
            <v>1.2018572247713646</v>
          </cell>
        </row>
        <row r="48">
          <cell r="A48" t="str">
            <v>TCU</v>
          </cell>
          <cell r="B48">
            <v>15.486595932014291</v>
          </cell>
          <cell r="C48">
            <v>12.099164594346965</v>
          </cell>
          <cell r="D48">
            <v>46</v>
          </cell>
          <cell r="E48">
            <v>12.183850377788648</v>
          </cell>
          <cell r="F48">
            <v>46</v>
          </cell>
          <cell r="G48">
            <v>1.1895954205106734</v>
          </cell>
        </row>
        <row r="49">
          <cell r="A49" t="str">
            <v>Oklahoma</v>
          </cell>
          <cell r="B49">
            <v>18.852287045547964</v>
          </cell>
          <cell r="C49">
            <v>11.969731798164364</v>
          </cell>
          <cell r="D49">
            <v>48</v>
          </cell>
          <cell r="E49">
            <v>12.141795679348954</v>
          </cell>
          <cell r="F49">
            <v>47</v>
          </cell>
          <cell r="G49">
            <v>1.1851517264525628</v>
          </cell>
        </row>
        <row r="50">
          <cell r="A50" t="str">
            <v>Washington</v>
          </cell>
          <cell r="B50">
            <v>17.70257354068773</v>
          </cell>
          <cell r="C50">
            <v>11.964534365123942</v>
          </cell>
          <cell r="D50">
            <v>49</v>
          </cell>
          <cell r="E50">
            <v>12.107985344513038</v>
          </cell>
          <cell r="F50">
            <v>48</v>
          </cell>
          <cell r="G50">
            <v>1.1815791700061402</v>
          </cell>
        </row>
        <row r="51">
          <cell r="A51" t="str">
            <v>LSU</v>
          </cell>
          <cell r="B51">
            <v>13.241259481143162</v>
          </cell>
          <cell r="C51">
            <v>12.072486673214609</v>
          </cell>
          <cell r="D51">
            <v>47</v>
          </cell>
          <cell r="E51">
            <v>12.101705993412821</v>
          </cell>
          <cell r="F51">
            <v>49</v>
          </cell>
          <cell r="G51">
            <v>1.1809156647092747</v>
          </cell>
        </row>
        <row r="52">
          <cell r="A52" t="str">
            <v>Missouri</v>
          </cell>
          <cell r="B52">
            <v>20.470260700429062</v>
          </cell>
          <cell r="C52">
            <v>11.704021516777358</v>
          </cell>
          <cell r="D52">
            <v>51</v>
          </cell>
          <cell r="E52">
            <v>11.923177496368652</v>
          </cell>
          <cell r="F52">
            <v>50</v>
          </cell>
          <cell r="G52">
            <v>1.1620515175163943</v>
          </cell>
        </row>
        <row r="53">
          <cell r="A53" t="str">
            <v>Arizona State</v>
          </cell>
          <cell r="B53">
            <v>14.405762229379153</v>
          </cell>
          <cell r="C53">
            <v>11.760539018037759</v>
          </cell>
          <cell r="D53">
            <v>50</v>
          </cell>
          <cell r="E53">
            <v>11.826669598321294</v>
          </cell>
          <cell r="F53">
            <v>51</v>
          </cell>
          <cell r="G53">
            <v>1.1518540463889115</v>
          </cell>
        </row>
        <row r="54">
          <cell r="A54" t="str">
            <v>Boise State</v>
          </cell>
          <cell r="B54">
            <v>14.656697145610531</v>
          </cell>
          <cell r="C54">
            <v>11.396013831172919</v>
          </cell>
          <cell r="D54">
            <v>53</v>
          </cell>
          <cell r="E54">
            <v>11.477530914033858</v>
          </cell>
          <cell r="F54">
            <v>52</v>
          </cell>
          <cell r="G54">
            <v>1.1149624372611135</v>
          </cell>
        </row>
        <row r="55">
          <cell r="A55" t="str">
            <v>Miami</v>
          </cell>
          <cell r="B55">
            <v>15.666562444013055</v>
          </cell>
          <cell r="C55">
            <v>11.340296554899307</v>
          </cell>
          <cell r="D55">
            <v>55</v>
          </cell>
          <cell r="E55">
            <v>11.448453202127151</v>
          </cell>
          <cell r="F55">
            <v>53</v>
          </cell>
          <cell r="G55">
            <v>1.1118899516550504</v>
          </cell>
        </row>
        <row r="56">
          <cell r="A56" t="str">
            <v>Stanford</v>
          </cell>
          <cell r="B56">
            <v>12.773932093692459</v>
          </cell>
          <cell r="C56">
            <v>11.360415655074988</v>
          </cell>
          <cell r="D56">
            <v>54</v>
          </cell>
          <cell r="E56">
            <v>11.395753566040424</v>
          </cell>
          <cell r="F56">
            <v>54</v>
          </cell>
          <cell r="G56">
            <v>1.1063214642224515</v>
          </cell>
        </row>
        <row r="57">
          <cell r="A57" t="str">
            <v>South Florida</v>
          </cell>
          <cell r="B57">
            <v>14.502100434073014</v>
          </cell>
          <cell r="C57">
            <v>10.667298758274656</v>
          </cell>
          <cell r="D57">
            <v>57</v>
          </cell>
          <cell r="E57">
            <v>10.763168800169614</v>
          </cell>
          <cell r="F57">
            <v>55</v>
          </cell>
          <cell r="G57">
            <v>1.0394796303811669</v>
          </cell>
        </row>
        <row r="58">
          <cell r="A58" t="str">
            <v>Clemson</v>
          </cell>
          <cell r="B58">
            <v>19.851444098386473</v>
          </cell>
          <cell r="C58">
            <v>10.478735012917248</v>
          </cell>
          <cell r="D58">
            <v>58</v>
          </cell>
          <cell r="E58">
            <v>10.713052740053978</v>
          </cell>
          <cell r="F58">
            <v>56</v>
          </cell>
          <cell r="G58">
            <v>1.0341841355419608</v>
          </cell>
        </row>
        <row r="59">
          <cell r="A59" t="str">
            <v>Wake Forest</v>
          </cell>
          <cell r="B59">
            <v>13.974759095963076</v>
          </cell>
          <cell r="C59">
            <v>10.338388918443105</v>
          </cell>
          <cell r="D59">
            <v>59</v>
          </cell>
          <cell r="E59">
            <v>10.429298172881104</v>
          </cell>
          <cell r="F59">
            <v>57</v>
          </cell>
          <cell r="G59">
            <v>1.0042013148134763</v>
          </cell>
        </row>
        <row r="60">
          <cell r="A60" t="str">
            <v>Akron</v>
          </cell>
          <cell r="B60">
            <v>14.017497672961843</v>
          </cell>
          <cell r="C60">
            <v>10.279367238822994</v>
          </cell>
          <cell r="D60">
            <v>60</v>
          </cell>
          <cell r="E60">
            <v>10.372820499676466</v>
          </cell>
          <cell r="F60">
            <v>58</v>
          </cell>
          <cell r="G60">
            <v>0.99823362249497716</v>
          </cell>
        </row>
        <row r="61">
          <cell r="A61" t="str">
            <v>Oklahoma State</v>
          </cell>
          <cell r="B61">
            <v>14.223680468275028</v>
          </cell>
          <cell r="C61">
            <v>10.232829176067415</v>
          </cell>
          <cell r="D61">
            <v>61</v>
          </cell>
          <cell r="E61">
            <v>10.332600458372605</v>
          </cell>
          <cell r="F61">
            <v>59</v>
          </cell>
          <cell r="G61">
            <v>0.99398378680027544</v>
          </cell>
        </row>
        <row r="62">
          <cell r="A62" t="str">
            <v>High Point</v>
          </cell>
          <cell r="B62">
            <v>13.396471442361008</v>
          </cell>
          <cell r="C62">
            <v>10.15371031036439</v>
          </cell>
          <cell r="D62">
            <v>63</v>
          </cell>
          <cell r="E62">
            <v>10.234779338664307</v>
          </cell>
          <cell r="F62">
            <v>60</v>
          </cell>
          <cell r="G62">
            <v>0.98364755459476283</v>
          </cell>
        </row>
        <row r="63">
          <cell r="A63" t="str">
            <v>Southern California</v>
          </cell>
          <cell r="B63">
            <v>19.752289936695011</v>
          </cell>
          <cell r="C63">
            <v>9.8897570431117678</v>
          </cell>
          <cell r="D63">
            <v>64</v>
          </cell>
          <cell r="E63">
            <v>10.136320365451349</v>
          </cell>
          <cell r="F63">
            <v>61</v>
          </cell>
          <cell r="G63">
            <v>0.97324392383608582</v>
          </cell>
        </row>
        <row r="64">
          <cell r="A64" t="str">
            <v>Northwestern</v>
          </cell>
          <cell r="B64">
            <v>14.502255506436576</v>
          </cell>
          <cell r="C64">
            <v>9.8433243882918617</v>
          </cell>
          <cell r="D64">
            <v>65</v>
          </cell>
          <cell r="E64">
            <v>9.9597976662454801</v>
          </cell>
          <cell r="F64">
            <v>62</v>
          </cell>
          <cell r="G64">
            <v>0.95459171852524305</v>
          </cell>
        </row>
        <row r="65">
          <cell r="A65" t="str">
            <v>VCU</v>
          </cell>
          <cell r="B65">
            <v>15.866511896233263</v>
          </cell>
          <cell r="C65">
            <v>9.7081281342328136</v>
          </cell>
          <cell r="D65">
            <v>67</v>
          </cell>
          <cell r="E65">
            <v>9.862087728282825</v>
          </cell>
          <cell r="F65">
            <v>63</v>
          </cell>
          <cell r="G65">
            <v>0.9442672342975027</v>
          </cell>
        </row>
        <row r="66">
          <cell r="A66" t="str">
            <v>Nevada</v>
          </cell>
          <cell r="B66">
            <v>14.187958711646898</v>
          </cell>
          <cell r="C66">
            <v>9.6989294044036622</v>
          </cell>
          <cell r="D66">
            <v>68</v>
          </cell>
          <cell r="E66">
            <v>9.811155137084743</v>
          </cell>
          <cell r="F66">
            <v>64</v>
          </cell>
          <cell r="G66">
            <v>0.93888546100537829</v>
          </cell>
        </row>
        <row r="67">
          <cell r="A67" t="str">
            <v>Colorado</v>
          </cell>
          <cell r="B67">
            <v>10.835928700083171</v>
          </cell>
          <cell r="C67">
            <v>9.5805247395710023</v>
          </cell>
          <cell r="D67">
            <v>69</v>
          </cell>
          <cell r="E67">
            <v>9.6119098385838058</v>
          </cell>
          <cell r="F67">
            <v>65</v>
          </cell>
          <cell r="G67">
            <v>0.91783228069724443</v>
          </cell>
        </row>
        <row r="68">
          <cell r="A68" t="str">
            <v>California</v>
          </cell>
          <cell r="B68">
            <v>11.900594442090167</v>
          </cell>
          <cell r="C68">
            <v>9.5370206903988457</v>
          </cell>
          <cell r="D68">
            <v>71</v>
          </cell>
          <cell r="E68">
            <v>9.5961100341911294</v>
          </cell>
          <cell r="F68">
            <v>66</v>
          </cell>
          <cell r="G68">
            <v>0.91616280024668972</v>
          </cell>
        </row>
        <row r="69">
          <cell r="A69" t="str">
            <v>Sam Houston</v>
          </cell>
          <cell r="B69">
            <v>2.8248760712375889</v>
          </cell>
          <cell r="C69">
            <v>9.7290266304130828</v>
          </cell>
          <cell r="D69">
            <v>66</v>
          </cell>
          <cell r="E69">
            <v>9.5564228664336959</v>
          </cell>
          <cell r="F69">
            <v>67</v>
          </cell>
          <cell r="G69">
            <v>0.91196927043693876</v>
          </cell>
        </row>
        <row r="70">
          <cell r="A70" t="str">
            <v>Belmont</v>
          </cell>
          <cell r="B70">
            <v>11.38734507771372</v>
          </cell>
          <cell r="C70">
            <v>9.4997080331216583</v>
          </cell>
          <cell r="D70">
            <v>72</v>
          </cell>
          <cell r="E70">
            <v>9.5468989592364597</v>
          </cell>
          <cell r="F70">
            <v>68</v>
          </cell>
          <cell r="G70">
            <v>0.91096293032768694</v>
          </cell>
        </row>
        <row r="71">
          <cell r="A71" t="str">
            <v>Seton Hall</v>
          </cell>
          <cell r="B71">
            <v>8.1076286972262395</v>
          </cell>
          <cell r="C71">
            <v>9.5419555760510146</v>
          </cell>
          <cell r="D71">
            <v>70</v>
          </cell>
          <cell r="E71">
            <v>9.5060974040803945</v>
          </cell>
          <cell r="F71">
            <v>69</v>
          </cell>
          <cell r="G71">
            <v>0.90665164918822827</v>
          </cell>
        </row>
        <row r="72">
          <cell r="A72" t="str">
            <v>Oregon</v>
          </cell>
          <cell r="B72">
            <v>18.28693102974616</v>
          </cell>
          <cell r="C72">
            <v>9.1075341852179399</v>
          </cell>
          <cell r="D72">
            <v>74</v>
          </cell>
          <cell r="E72">
            <v>9.3370191063311463</v>
          </cell>
          <cell r="F72">
            <v>70</v>
          </cell>
          <cell r="G72">
            <v>0.8887860537865353</v>
          </cell>
        </row>
        <row r="73">
          <cell r="A73" t="str">
            <v>Ole Miss</v>
          </cell>
          <cell r="B73">
            <v>15.32419956436574</v>
          </cell>
          <cell r="C73">
            <v>9.0723781733749895</v>
          </cell>
          <cell r="D73">
            <v>75</v>
          </cell>
          <cell r="E73">
            <v>9.2286737081497581</v>
          </cell>
          <cell r="F73">
            <v>71</v>
          </cell>
          <cell r="G73">
            <v>0.87733777761324039</v>
          </cell>
        </row>
        <row r="74">
          <cell r="A74" t="str">
            <v>Grand Canyon</v>
          </cell>
          <cell r="B74">
            <v>10.857794571237998</v>
          </cell>
          <cell r="C74">
            <v>8.8460142940404953</v>
          </cell>
          <cell r="D74">
            <v>76</v>
          </cell>
          <cell r="E74">
            <v>8.8963088009704325</v>
          </cell>
          <cell r="F74">
            <v>72</v>
          </cell>
          <cell r="G74">
            <v>0.84221856340046641</v>
          </cell>
        </row>
        <row r="75">
          <cell r="A75" t="str">
            <v>West Virginia</v>
          </cell>
          <cell r="B75">
            <v>15.314260744597942</v>
          </cell>
          <cell r="C75">
            <v>8.6603299549183639</v>
          </cell>
          <cell r="D75">
            <v>77</v>
          </cell>
          <cell r="E75">
            <v>8.8266782246603537</v>
          </cell>
          <cell r="F75">
            <v>73</v>
          </cell>
          <cell r="G75">
            <v>0.83486107447076674</v>
          </cell>
        </row>
        <row r="76">
          <cell r="A76" t="str">
            <v>George Washington</v>
          </cell>
          <cell r="B76">
            <v>12.609131256265183</v>
          </cell>
          <cell r="C76">
            <v>8.5712088322488693</v>
          </cell>
          <cell r="D76">
            <v>78</v>
          </cell>
          <cell r="E76">
            <v>8.6721568928492765</v>
          </cell>
          <cell r="F76">
            <v>74</v>
          </cell>
          <cell r="G76">
            <v>0.81853363545691071</v>
          </cell>
        </row>
        <row r="77">
          <cell r="A77" t="str">
            <v>Kansas State</v>
          </cell>
          <cell r="B77">
            <v>15.543271889111036</v>
          </cell>
          <cell r="C77">
            <v>8.3888888180162873</v>
          </cell>
          <cell r="D77">
            <v>79</v>
          </cell>
          <cell r="E77">
            <v>8.5677483947936555</v>
          </cell>
          <cell r="F77">
            <v>75</v>
          </cell>
          <cell r="G77">
            <v>0.80750135037011306</v>
          </cell>
        </row>
        <row r="78">
          <cell r="A78" t="str">
            <v>Colorado State</v>
          </cell>
          <cell r="B78">
            <v>14.00215292190866</v>
          </cell>
          <cell r="C78">
            <v>8.3665664485072035</v>
          </cell>
          <cell r="D78">
            <v>80</v>
          </cell>
          <cell r="E78">
            <v>8.5074561103422397</v>
          </cell>
          <cell r="F78">
            <v>76</v>
          </cell>
          <cell r="G78">
            <v>0.80113058857399977</v>
          </cell>
        </row>
        <row r="79">
          <cell r="A79" t="str">
            <v>Northern Iowa</v>
          </cell>
          <cell r="B79">
            <v>13.377766522114587</v>
          </cell>
          <cell r="C79">
            <v>8.1736850154775063</v>
          </cell>
          <cell r="D79">
            <v>81</v>
          </cell>
          <cell r="E79">
            <v>8.3037870531434343</v>
          </cell>
          <cell r="F79">
            <v>77</v>
          </cell>
          <cell r="G79">
            <v>0.77960997344955352</v>
          </cell>
        </row>
        <row r="80">
          <cell r="A80" t="str">
            <v>Miami (OH)</v>
          </cell>
          <cell r="B80">
            <v>13.525882252433213</v>
          </cell>
          <cell r="C80">
            <v>7.9920516399873573</v>
          </cell>
          <cell r="D80">
            <v>82</v>
          </cell>
          <cell r="E80">
            <v>8.1303974052985044</v>
          </cell>
          <cell r="F80">
            <v>78</v>
          </cell>
          <cell r="G80">
            <v>0.76128882084466043</v>
          </cell>
        </row>
        <row r="81">
          <cell r="A81" t="str">
            <v>Notre Dame</v>
          </cell>
          <cell r="B81">
            <v>16.090956511961046</v>
          </cell>
          <cell r="C81">
            <v>7.8638025985645132</v>
          </cell>
          <cell r="D81">
            <v>83</v>
          </cell>
          <cell r="E81">
            <v>8.0694814463994273</v>
          </cell>
          <cell r="F81">
            <v>79</v>
          </cell>
          <cell r="G81">
            <v>0.7548521587201632</v>
          </cell>
        </row>
        <row r="82">
          <cell r="A82" t="str">
            <v>Virginia Tech</v>
          </cell>
          <cell r="B82">
            <v>13.845209155066584</v>
          </cell>
          <cell r="C82">
            <v>7.7514813521790469</v>
          </cell>
          <cell r="D82">
            <v>85</v>
          </cell>
          <cell r="E82">
            <v>7.9038245472512356</v>
          </cell>
          <cell r="F82">
            <v>80</v>
          </cell>
          <cell r="G82">
            <v>0.73734808412822583</v>
          </cell>
        </row>
        <row r="83">
          <cell r="A83" t="str">
            <v>UNLV</v>
          </cell>
          <cell r="B83">
            <v>11.192165782512511</v>
          </cell>
          <cell r="C83">
            <v>7.7851847538389167</v>
          </cell>
          <cell r="D83">
            <v>84</v>
          </cell>
          <cell r="E83">
            <v>7.870359279555756</v>
          </cell>
          <cell r="F83">
            <v>81</v>
          </cell>
          <cell r="G83">
            <v>0.73381198907276535</v>
          </cell>
        </row>
        <row r="84">
          <cell r="A84" t="str">
            <v>Florida State</v>
          </cell>
          <cell r="B84">
            <v>14.489621953834808</v>
          </cell>
          <cell r="C84">
            <v>7.3764943482108096</v>
          </cell>
          <cell r="D84">
            <v>88</v>
          </cell>
          <cell r="E84">
            <v>7.5543225383514097</v>
          </cell>
          <cell r="F84">
            <v>82</v>
          </cell>
          <cell r="G84">
            <v>0.70041808444048692</v>
          </cell>
        </row>
        <row r="85">
          <cell r="A85" t="str">
            <v>Utah Valley</v>
          </cell>
          <cell r="B85">
            <v>10.000620853136329</v>
          </cell>
          <cell r="C85">
            <v>11.564577518350113</v>
          </cell>
          <cell r="D85">
            <v>52</v>
          </cell>
          <cell r="E85">
            <v>7.5254786017197688</v>
          </cell>
          <cell r="F85">
            <v>83</v>
          </cell>
          <cell r="G85">
            <v>0.6973703006118539</v>
          </cell>
        </row>
        <row r="86">
          <cell r="A86" t="str">
            <v>Minnesota</v>
          </cell>
          <cell r="B86">
            <v>15.757484874618889</v>
          </cell>
          <cell r="C86">
            <v>7.3062228866434911</v>
          </cell>
          <cell r="D86">
            <v>89</v>
          </cell>
          <cell r="E86">
            <v>7.5175044363428762</v>
          </cell>
          <cell r="F86">
            <v>84</v>
          </cell>
          <cell r="G86">
            <v>0.69652771339524355</v>
          </cell>
        </row>
        <row r="87">
          <cell r="A87" t="str">
            <v>Middle Tennessee</v>
          </cell>
          <cell r="B87">
            <v>8.0494590269813031</v>
          </cell>
          <cell r="C87">
            <v>7.4649110678223867</v>
          </cell>
          <cell r="D87">
            <v>86</v>
          </cell>
          <cell r="E87">
            <v>7.4795247668013589</v>
          </cell>
          <cell r="F87">
            <v>85</v>
          </cell>
          <cell r="G87">
            <v>0.69251460574895629</v>
          </cell>
        </row>
        <row r="88">
          <cell r="A88" t="str">
            <v>Wichita State</v>
          </cell>
          <cell r="B88">
            <v>9.0210071949947395</v>
          </cell>
          <cell r="C88">
            <v>7.411133170890075</v>
          </cell>
          <cell r="D88">
            <v>87</v>
          </cell>
          <cell r="E88">
            <v>7.4513800214926915</v>
          </cell>
          <cell r="F88">
            <v>86</v>
          </cell>
          <cell r="G88">
            <v>0.68954070171123016</v>
          </cell>
        </row>
        <row r="89">
          <cell r="A89" t="str">
            <v>Butler</v>
          </cell>
          <cell r="B89">
            <v>14.983715750485825</v>
          </cell>
          <cell r="C89">
            <v>7.1894350852487507</v>
          </cell>
          <cell r="D89">
            <v>90</v>
          </cell>
          <cell r="E89">
            <v>7.3842921018796774</v>
          </cell>
          <cell r="F89">
            <v>87</v>
          </cell>
          <cell r="G89">
            <v>0.68245188165506343</v>
          </cell>
        </row>
        <row r="90">
          <cell r="A90" t="str">
            <v>Providence</v>
          </cell>
          <cell r="B90">
            <v>15.934601567729755</v>
          </cell>
          <cell r="C90">
            <v>7.1644597196695488</v>
          </cell>
          <cell r="D90">
            <v>92</v>
          </cell>
          <cell r="E90">
            <v>7.3837132658710543</v>
          </cell>
          <cell r="F90">
            <v>88</v>
          </cell>
          <cell r="G90">
            <v>0.68239071916365179</v>
          </cell>
        </row>
        <row r="91">
          <cell r="A91" t="str">
            <v>McNeese</v>
          </cell>
          <cell r="B91">
            <v>12.435400478194667</v>
          </cell>
          <cell r="C91">
            <v>10.69937037123996</v>
          </cell>
          <cell r="D91">
            <v>56</v>
          </cell>
          <cell r="E91">
            <v>7.2427711239138262</v>
          </cell>
          <cell r="F91">
            <v>89</v>
          </cell>
          <cell r="G91">
            <v>0.66749812019160537</v>
          </cell>
        </row>
        <row r="92">
          <cell r="A92" t="str">
            <v>Utah</v>
          </cell>
          <cell r="B92">
            <v>14.027042917165174</v>
          </cell>
          <cell r="C92">
            <v>7.0028900744551041</v>
          </cell>
          <cell r="D92">
            <v>94</v>
          </cell>
          <cell r="E92">
            <v>7.1784938955228554</v>
          </cell>
          <cell r="F92">
            <v>90</v>
          </cell>
          <cell r="G92">
            <v>0.66070629077729259</v>
          </cell>
        </row>
        <row r="93">
          <cell r="A93" t="str">
            <v>Yale</v>
          </cell>
          <cell r="B93">
            <v>14.953359680962022</v>
          </cell>
          <cell r="C93">
            <v>6.9674875042015998</v>
          </cell>
          <cell r="D93">
            <v>95</v>
          </cell>
          <cell r="E93">
            <v>7.1671343086206107</v>
          </cell>
          <cell r="F93">
            <v>91</v>
          </cell>
          <cell r="G93">
            <v>0.65950598425524054</v>
          </cell>
        </row>
        <row r="94">
          <cell r="A94" t="str">
            <v>Kennesaw State</v>
          </cell>
          <cell r="B94">
            <v>5.8133777351374993</v>
          </cell>
          <cell r="C94">
            <v>7.1873050276013206</v>
          </cell>
          <cell r="D94">
            <v>91</v>
          </cell>
          <cell r="E94">
            <v>7.1529568452897259</v>
          </cell>
          <cell r="F94">
            <v>92</v>
          </cell>
          <cell r="G94">
            <v>0.65800792786915385</v>
          </cell>
        </row>
        <row r="95">
          <cell r="A95" t="str">
            <v>Creighton</v>
          </cell>
          <cell r="B95">
            <v>18.850264705579271</v>
          </cell>
          <cell r="C95">
            <v>6.8243889819491939</v>
          </cell>
          <cell r="D95">
            <v>97</v>
          </cell>
          <cell r="E95">
            <v>7.1250358750399458</v>
          </cell>
          <cell r="F95">
            <v>93</v>
          </cell>
          <cell r="G95">
            <v>0.65505766893973727</v>
          </cell>
        </row>
        <row r="96">
          <cell r="A96" t="str">
            <v>Dayton</v>
          </cell>
          <cell r="B96">
            <v>13.449405350407183</v>
          </cell>
          <cell r="C96">
            <v>6.9572005053110475</v>
          </cell>
          <cell r="D96">
            <v>96</v>
          </cell>
          <cell r="E96">
            <v>7.1195056264384515</v>
          </cell>
          <cell r="F96">
            <v>94</v>
          </cell>
          <cell r="G96">
            <v>0.65447331727958746</v>
          </cell>
        </row>
        <row r="97">
          <cell r="A97" t="str">
            <v>Western Kentucky</v>
          </cell>
          <cell r="B97">
            <v>4.0080511882242069</v>
          </cell>
          <cell r="C97">
            <v>7.147965534703566</v>
          </cell>
          <cell r="D97">
            <v>93</v>
          </cell>
          <cell r="E97">
            <v>7.0694676760415822</v>
          </cell>
          <cell r="F97">
            <v>95</v>
          </cell>
          <cell r="G97">
            <v>0.64918607587474308</v>
          </cell>
        </row>
        <row r="98">
          <cell r="A98" t="str">
            <v>Liberty</v>
          </cell>
          <cell r="B98">
            <v>12.531227606445631</v>
          </cell>
          <cell r="C98">
            <v>6.3624237152297827</v>
          </cell>
          <cell r="D98">
            <v>99</v>
          </cell>
          <cell r="E98">
            <v>6.5166438125101793</v>
          </cell>
          <cell r="F98">
            <v>96</v>
          </cell>
          <cell r="G98">
            <v>0.59077214809259737</v>
          </cell>
        </row>
        <row r="99">
          <cell r="A99" t="str">
            <v>Xavier</v>
          </cell>
          <cell r="B99">
            <v>15.270434470611017</v>
          </cell>
          <cell r="C99">
            <v>6.2889743083404381</v>
          </cell>
          <cell r="D99">
            <v>100</v>
          </cell>
          <cell r="E99">
            <v>6.513510812397203</v>
          </cell>
          <cell r="F99">
            <v>97</v>
          </cell>
          <cell r="G99">
            <v>0.5904411008017445</v>
          </cell>
        </row>
        <row r="100">
          <cell r="A100" t="str">
            <v>Seattle</v>
          </cell>
          <cell r="B100">
            <v>8.0547252401815363</v>
          </cell>
          <cell r="C100">
            <v>6.4395957141588962</v>
          </cell>
          <cell r="D100">
            <v>98</v>
          </cell>
          <cell r="E100">
            <v>6.4799739523094617</v>
          </cell>
          <cell r="F100">
            <v>98</v>
          </cell>
          <cell r="G100">
            <v>0.58689744096280205</v>
          </cell>
        </row>
        <row r="101">
          <cell r="A101" t="str">
            <v>Mississippi State</v>
          </cell>
          <cell r="B101">
            <v>18.518577700746054</v>
          </cell>
          <cell r="C101">
            <v>6.0756478467432942</v>
          </cell>
          <cell r="D101">
            <v>102</v>
          </cell>
          <cell r="E101">
            <v>6.3867210930933629</v>
          </cell>
          <cell r="F101">
            <v>99</v>
          </cell>
          <cell r="G101">
            <v>0.57704391230191709</v>
          </cell>
        </row>
        <row r="102">
          <cell r="A102" t="str">
            <v>Illinois State</v>
          </cell>
          <cell r="B102">
            <v>13.317375704818167</v>
          </cell>
          <cell r="C102">
            <v>6.1247227420400758</v>
          </cell>
          <cell r="D102">
            <v>101</v>
          </cell>
          <cell r="E102">
            <v>6.3045390661095277</v>
          </cell>
          <cell r="F102">
            <v>100</v>
          </cell>
          <cell r="G102">
            <v>0.56836017900835356</v>
          </cell>
        </row>
        <row r="103">
          <cell r="A103" t="str">
            <v>South Carolina</v>
          </cell>
          <cell r="B103">
            <v>13.624333765068965</v>
          </cell>
          <cell r="C103">
            <v>6.0651253746086535</v>
          </cell>
          <cell r="D103">
            <v>103</v>
          </cell>
          <cell r="E103">
            <v>6.2541055843701612</v>
          </cell>
          <cell r="F103">
            <v>101</v>
          </cell>
          <cell r="G103">
            <v>0.56303114393141862</v>
          </cell>
        </row>
        <row r="104">
          <cell r="A104" t="str">
            <v>Syracuse</v>
          </cell>
          <cell r="B104">
            <v>13.526154656844779</v>
          </cell>
          <cell r="C104">
            <v>5.8741754948911904</v>
          </cell>
          <cell r="D104">
            <v>106</v>
          </cell>
          <cell r="E104">
            <v>6.06547497394003</v>
          </cell>
          <cell r="F104">
            <v>102</v>
          </cell>
          <cell r="G104">
            <v>0.54309956068755993</v>
          </cell>
        </row>
        <row r="105">
          <cell r="A105" t="str">
            <v>Murray State</v>
          </cell>
          <cell r="B105">
            <v>10.972565370614436</v>
          </cell>
          <cell r="C105">
            <v>5.8751594332166288</v>
          </cell>
          <cell r="D105">
            <v>105</v>
          </cell>
          <cell r="E105">
            <v>6.0025945816515742</v>
          </cell>
          <cell r="F105">
            <v>103</v>
          </cell>
          <cell r="G105">
            <v>0.53645532744012492</v>
          </cell>
        </row>
        <row r="106">
          <cell r="A106" t="str">
            <v>Washington State</v>
          </cell>
          <cell r="B106">
            <v>13.573021075172218</v>
          </cell>
          <cell r="C106">
            <v>5.7920608012330685</v>
          </cell>
          <cell r="D106">
            <v>107</v>
          </cell>
          <cell r="E106">
            <v>5.986584808081548</v>
          </cell>
          <cell r="F106">
            <v>104</v>
          </cell>
          <cell r="G106">
            <v>0.5347636606745948</v>
          </cell>
        </row>
        <row r="107">
          <cell r="A107" t="str">
            <v>Davidson</v>
          </cell>
          <cell r="B107">
            <v>9.0242862806618511</v>
          </cell>
          <cell r="C107">
            <v>5.9029607003670872</v>
          </cell>
          <cell r="D107">
            <v>104</v>
          </cell>
          <cell r="E107">
            <v>5.9809938398744569</v>
          </cell>
          <cell r="F107">
            <v>105</v>
          </cell>
          <cell r="G107">
            <v>0.53417289309991911</v>
          </cell>
        </row>
        <row r="108">
          <cell r="A108" t="str">
            <v>Bradley</v>
          </cell>
          <cell r="B108">
            <v>14.741901139432152</v>
          </cell>
          <cell r="C108">
            <v>5.5336646807690375</v>
          </cell>
          <cell r="D108">
            <v>108</v>
          </cell>
          <cell r="E108">
            <v>5.763870592235615</v>
          </cell>
          <cell r="F108">
            <v>106</v>
          </cell>
          <cell r="G108">
            <v>0.51123064595019962</v>
          </cell>
        </row>
        <row r="109">
          <cell r="A109" t="str">
            <v>Tulsa</v>
          </cell>
          <cell r="B109">
            <v>6.910260899305193</v>
          </cell>
          <cell r="C109">
            <v>10.174034949083156</v>
          </cell>
          <cell r="D109">
            <v>62</v>
          </cell>
          <cell r="E109">
            <v>5.5924405978387064</v>
          </cell>
          <cell r="F109">
            <v>107</v>
          </cell>
          <cell r="G109">
            <v>0.4931165593975198</v>
          </cell>
        </row>
        <row r="110">
          <cell r="A110" t="str">
            <v>Memphis</v>
          </cell>
          <cell r="B110">
            <v>15.968957252141987</v>
          </cell>
          <cell r="C110">
            <v>5.2058227400431463</v>
          </cell>
          <cell r="D110">
            <v>114</v>
          </cell>
          <cell r="E110">
            <v>5.4749011028456174</v>
          </cell>
          <cell r="F110">
            <v>108</v>
          </cell>
          <cell r="G110">
            <v>0.48069679240660701</v>
          </cell>
        </row>
        <row r="111">
          <cell r="A111" t="str">
            <v>Montana State</v>
          </cell>
          <cell r="B111">
            <v>5.7522786722706289</v>
          </cell>
          <cell r="C111">
            <v>5.4435209345834519</v>
          </cell>
          <cell r="D111">
            <v>110</v>
          </cell>
          <cell r="E111">
            <v>5.451239878025631</v>
          </cell>
          <cell r="F111">
            <v>109</v>
          </cell>
          <cell r="G111">
            <v>0.47819663789257655</v>
          </cell>
        </row>
        <row r="112">
          <cell r="A112" t="str">
            <v>Winthrop</v>
          </cell>
          <cell r="B112">
            <v>9.6122619299645855</v>
          </cell>
          <cell r="C112">
            <v>5.3122718600484227</v>
          </cell>
          <cell r="D112">
            <v>113</v>
          </cell>
          <cell r="E112">
            <v>5.4197716117963273</v>
          </cell>
          <cell r="F112">
            <v>110</v>
          </cell>
          <cell r="G112">
            <v>0.47487155525376701</v>
          </cell>
        </row>
        <row r="113">
          <cell r="A113" t="str">
            <v>UT Rio Grande Valley</v>
          </cell>
          <cell r="B113">
            <v>2.1309102215605353</v>
          </cell>
          <cell r="C113">
            <v>5.4938191383835129</v>
          </cell>
          <cell r="D113">
            <v>109</v>
          </cell>
          <cell r="E113">
            <v>5.409746415462938</v>
          </cell>
          <cell r="F113">
            <v>111</v>
          </cell>
          <cell r="G113">
            <v>0.47381224661452054</v>
          </cell>
        </row>
        <row r="114">
          <cell r="A114" t="str">
            <v>Bowling Green</v>
          </cell>
          <cell r="B114">
            <v>5.4136655374198615</v>
          </cell>
          <cell r="C114">
            <v>5.3729019295316993</v>
          </cell>
          <cell r="D114">
            <v>111</v>
          </cell>
          <cell r="E114">
            <v>5.3739210197289031</v>
          </cell>
          <cell r="F114">
            <v>112</v>
          </cell>
          <cell r="G114">
            <v>0.47002676950829242</v>
          </cell>
        </row>
        <row r="115">
          <cell r="A115" t="str">
            <v>New Mexico State</v>
          </cell>
          <cell r="B115">
            <v>5.4820861231191262</v>
          </cell>
          <cell r="C115">
            <v>5.3512384169753</v>
          </cell>
          <cell r="D115">
            <v>112</v>
          </cell>
          <cell r="E115">
            <v>5.354509609628896</v>
          </cell>
          <cell r="F115">
            <v>113</v>
          </cell>
          <cell r="G115">
            <v>0.46797567008489166</v>
          </cell>
        </row>
        <row r="116">
          <cell r="A116" t="str">
            <v>San Francisco</v>
          </cell>
          <cell r="B116">
            <v>15.972807869851753</v>
          </cell>
          <cell r="C116">
            <v>4.9938249127648628</v>
          </cell>
          <cell r="D116">
            <v>117</v>
          </cell>
          <cell r="E116">
            <v>5.2682994866920358</v>
          </cell>
          <cell r="F116">
            <v>114</v>
          </cell>
          <cell r="G116">
            <v>0.45886630953168611</v>
          </cell>
        </row>
        <row r="117">
          <cell r="A117" t="str">
            <v>Marquette</v>
          </cell>
          <cell r="B117">
            <v>19.034473302508317</v>
          </cell>
          <cell r="C117">
            <v>4.8893367092400508</v>
          </cell>
          <cell r="D117">
            <v>120</v>
          </cell>
          <cell r="E117">
            <v>5.2429651240717581</v>
          </cell>
          <cell r="F117">
            <v>115</v>
          </cell>
          <cell r="G117">
            <v>0.45618936353472023</v>
          </cell>
        </row>
        <row r="118">
          <cell r="A118" t="str">
            <v>UC Irvine</v>
          </cell>
          <cell r="B118">
            <v>9.7110414694150613</v>
          </cell>
          <cell r="C118">
            <v>5.0988725039963647</v>
          </cell>
          <cell r="D118">
            <v>115</v>
          </cell>
          <cell r="E118">
            <v>5.2141767281318323</v>
          </cell>
          <cell r="F118">
            <v>116</v>
          </cell>
          <cell r="G118">
            <v>0.45314744839260535</v>
          </cell>
        </row>
        <row r="119">
          <cell r="A119" t="str">
            <v>Duquesne</v>
          </cell>
          <cell r="B119">
            <v>12.10720888603219</v>
          </cell>
          <cell r="C119">
            <v>4.9477089381275636</v>
          </cell>
          <cell r="D119">
            <v>119</v>
          </cell>
          <cell r="E119">
            <v>5.1266964368251795</v>
          </cell>
          <cell r="F119">
            <v>117</v>
          </cell>
          <cell r="G119">
            <v>0.44390387597135506</v>
          </cell>
        </row>
        <row r="120">
          <cell r="A120" t="str">
            <v>Pittsburgh</v>
          </cell>
          <cell r="B120">
            <v>15.627088080075735</v>
          </cell>
          <cell r="C120">
            <v>4.8497028528904318</v>
          </cell>
          <cell r="D120">
            <v>121</v>
          </cell>
          <cell r="E120">
            <v>5.1191374835700643</v>
          </cell>
          <cell r="F120">
            <v>118</v>
          </cell>
          <cell r="G120">
            <v>0.44310516198905275</v>
          </cell>
        </row>
        <row r="121">
          <cell r="A121" t="str">
            <v>DePaul</v>
          </cell>
          <cell r="B121">
            <v>13.592775810899269</v>
          </cell>
          <cell r="C121">
            <v>4.7898401131879051</v>
          </cell>
          <cell r="D121">
            <v>122</v>
          </cell>
          <cell r="E121">
            <v>5.0099135056306894</v>
          </cell>
          <cell r="F121">
            <v>119</v>
          </cell>
          <cell r="G121">
            <v>0.43156405101263251</v>
          </cell>
        </row>
        <row r="122">
          <cell r="A122" t="str">
            <v>Jacksonville State</v>
          </cell>
          <cell r="B122">
            <v>5.2401185217502464</v>
          </cell>
          <cell r="C122">
            <v>4.9962612367547736</v>
          </cell>
          <cell r="D122">
            <v>116</v>
          </cell>
          <cell r="E122">
            <v>5.0023576688796609</v>
          </cell>
          <cell r="F122">
            <v>120</v>
          </cell>
          <cell r="G122">
            <v>0.43076566633457458</v>
          </cell>
        </row>
        <row r="123">
          <cell r="A123" t="str">
            <v>Southern Illinois</v>
          </cell>
          <cell r="B123">
            <v>4.9268342073308489</v>
          </cell>
          <cell r="C123">
            <v>4.9752702514573022</v>
          </cell>
          <cell r="D123">
            <v>118</v>
          </cell>
          <cell r="E123">
            <v>4.9740593503541417</v>
          </cell>
          <cell r="F123">
            <v>121</v>
          </cell>
          <cell r="G123">
            <v>0.42777553504004895</v>
          </cell>
        </row>
        <row r="124">
          <cell r="A124" t="str">
            <v>Florida Atlantic</v>
          </cell>
          <cell r="B124">
            <v>9.6848517837220296</v>
          </cell>
          <cell r="C124">
            <v>4.753194417820378</v>
          </cell>
          <cell r="D124">
            <v>123</v>
          </cell>
          <cell r="E124">
            <v>4.8764858519679199</v>
          </cell>
          <cell r="F124">
            <v>122</v>
          </cell>
          <cell r="G124">
            <v>0.41746546764937026</v>
          </cell>
        </row>
        <row r="125">
          <cell r="A125" t="str">
            <v>Georgetown</v>
          </cell>
          <cell r="B125">
            <v>13.480335110241374</v>
          </cell>
          <cell r="C125">
            <v>4.5416674079596788</v>
          </cell>
          <cell r="D125">
            <v>126</v>
          </cell>
          <cell r="E125">
            <v>4.7651341005167209</v>
          </cell>
          <cell r="F125">
            <v>123</v>
          </cell>
          <cell r="G125">
            <v>0.40569952627676836</v>
          </cell>
        </row>
        <row r="126">
          <cell r="A126" t="str">
            <v>Maryland</v>
          </cell>
          <cell r="B126">
            <v>19.085855817119466</v>
          </cell>
          <cell r="C126">
            <v>4.3493210028457288</v>
          </cell>
          <cell r="D126">
            <v>130</v>
          </cell>
          <cell r="E126">
            <v>4.7177343732025729</v>
          </cell>
          <cell r="F126">
            <v>124</v>
          </cell>
          <cell r="G126">
            <v>0.40069105173202801</v>
          </cell>
        </row>
        <row r="127">
          <cell r="A127" t="str">
            <v>UIC</v>
          </cell>
          <cell r="B127">
            <v>8.1779835340698366</v>
          </cell>
          <cell r="C127">
            <v>4.6092086129138732</v>
          </cell>
          <cell r="D127">
            <v>124</v>
          </cell>
          <cell r="E127">
            <v>4.6984279859427724</v>
          </cell>
          <cell r="F127">
            <v>125</v>
          </cell>
          <cell r="G127">
            <v>0.39865104950794877</v>
          </cell>
        </row>
        <row r="128">
          <cell r="A128" t="str">
            <v>Kent State</v>
          </cell>
          <cell r="B128">
            <v>8.6774133528160959</v>
          </cell>
          <cell r="C128">
            <v>4.4607524650674488</v>
          </cell>
          <cell r="D128">
            <v>128</v>
          </cell>
          <cell r="E128">
            <v>4.5661689872611655</v>
          </cell>
          <cell r="F128">
            <v>126</v>
          </cell>
          <cell r="G128">
            <v>0.38467595163830437</v>
          </cell>
        </row>
        <row r="129">
          <cell r="A129" t="str">
            <v>Fresno State</v>
          </cell>
          <cell r="B129">
            <v>4.3610610087658825</v>
          </cell>
          <cell r="C129">
            <v>4.5292041921041966</v>
          </cell>
          <cell r="D129">
            <v>127</v>
          </cell>
          <cell r="E129">
            <v>4.5250006125207385</v>
          </cell>
          <cell r="F129">
            <v>127</v>
          </cell>
          <cell r="G129">
            <v>0.38032591064399224</v>
          </cell>
        </row>
        <row r="130">
          <cell r="A130" t="str">
            <v>Stephen F. Austin</v>
          </cell>
          <cell r="B130">
            <v>4.4708840344629214E-2</v>
          </cell>
          <cell r="C130">
            <v>4.5440251628280262</v>
          </cell>
          <cell r="D130">
            <v>125</v>
          </cell>
          <cell r="E130">
            <v>4.4315422547659411</v>
          </cell>
          <cell r="F130">
            <v>128</v>
          </cell>
          <cell r="G130">
            <v>0.37045066805650118</v>
          </cell>
        </row>
        <row r="131">
          <cell r="A131" t="str">
            <v>Wyoming</v>
          </cell>
          <cell r="B131">
            <v>9.2936311138903847</v>
          </cell>
          <cell r="C131">
            <v>9.4208006069337848</v>
          </cell>
          <cell r="D131">
            <v>73</v>
          </cell>
          <cell r="E131">
            <v>4.4176213696076996</v>
          </cell>
          <cell r="F131">
            <v>129</v>
          </cell>
          <cell r="G131">
            <v>0.36897972290752989</v>
          </cell>
        </row>
        <row r="132">
          <cell r="A132" t="str">
            <v>Pacific</v>
          </cell>
          <cell r="B132">
            <v>3.5350309061542493</v>
          </cell>
          <cell r="C132">
            <v>4.3669679537761201</v>
          </cell>
          <cell r="D132">
            <v>129</v>
          </cell>
          <cell r="E132">
            <v>4.3461695275855732</v>
          </cell>
          <cell r="F132">
            <v>130</v>
          </cell>
          <cell r="G132">
            <v>0.36142979061423142</v>
          </cell>
        </row>
        <row r="133">
          <cell r="A133" t="str">
            <v>Penn State</v>
          </cell>
          <cell r="B133">
            <v>13.199945506304053</v>
          </cell>
          <cell r="C133">
            <v>3.9773998808965474</v>
          </cell>
          <cell r="D133">
            <v>131</v>
          </cell>
          <cell r="E133">
            <v>4.2079635215317346</v>
          </cell>
          <cell r="F133">
            <v>131</v>
          </cell>
          <cell r="G133">
            <v>0.3468263044240425</v>
          </cell>
        </row>
        <row r="134">
          <cell r="A134" t="str">
            <v>California Baptist</v>
          </cell>
          <cell r="B134">
            <v>8.4002017292656532</v>
          </cell>
          <cell r="C134">
            <v>3.8636320454592692</v>
          </cell>
          <cell r="D134">
            <v>132</v>
          </cell>
          <cell r="E134">
            <v>3.9770462875544288</v>
          </cell>
          <cell r="F134">
            <v>132</v>
          </cell>
          <cell r="G134">
            <v>0.32242652084191253</v>
          </cell>
        </row>
        <row r="135">
          <cell r="A135" t="str">
            <v>Portland State</v>
          </cell>
          <cell r="B135">
            <v>4.0411677395733916</v>
          </cell>
          <cell r="C135">
            <v>3.8567300697201858</v>
          </cell>
          <cell r="D135">
            <v>133</v>
          </cell>
          <cell r="E135">
            <v>3.8613410114665161</v>
          </cell>
          <cell r="F135">
            <v>133</v>
          </cell>
          <cell r="G135">
            <v>0.31020056590892936</v>
          </cell>
        </row>
        <row r="136">
          <cell r="A136" t="str">
            <v>Northern Colorado</v>
          </cell>
          <cell r="B136">
            <v>5.2861079713044568</v>
          </cell>
          <cell r="C136">
            <v>3.7772099778709234</v>
          </cell>
          <cell r="D136">
            <v>134</v>
          </cell>
          <cell r="E136">
            <v>3.8149324277067618</v>
          </cell>
          <cell r="F136">
            <v>134</v>
          </cell>
          <cell r="G136">
            <v>0.30529682017896603</v>
          </cell>
        </row>
        <row r="137">
          <cell r="A137" t="str">
            <v>St. Thomas - Minnesota</v>
          </cell>
          <cell r="B137">
            <v>9.9550098974439436</v>
          </cell>
          <cell r="C137">
            <v>3.6155519835790018</v>
          </cell>
          <cell r="D137">
            <v>137</v>
          </cell>
          <cell r="E137">
            <v>3.7740384314256255</v>
          </cell>
          <cell r="F137">
            <v>135</v>
          </cell>
          <cell r="G137">
            <v>0.30097577128243275</v>
          </cell>
        </row>
        <row r="138">
          <cell r="A138" t="str">
            <v>St. Bonaventure</v>
          </cell>
          <cell r="B138">
            <v>10.149747374958512</v>
          </cell>
          <cell r="C138">
            <v>3.6105522360477047</v>
          </cell>
          <cell r="D138">
            <v>138</v>
          </cell>
          <cell r="E138">
            <v>3.7740321145204749</v>
          </cell>
          <cell r="F138">
            <v>136</v>
          </cell>
          <cell r="G138">
            <v>0.30097510380900111</v>
          </cell>
        </row>
        <row r="139">
          <cell r="A139" t="str">
            <v>Toledo</v>
          </cell>
          <cell r="B139">
            <v>7.0650703430890545</v>
          </cell>
          <cell r="C139">
            <v>3.6763859984778464</v>
          </cell>
          <cell r="D139">
            <v>135</v>
          </cell>
          <cell r="E139">
            <v>3.7611031070931267</v>
          </cell>
          <cell r="F139">
            <v>137</v>
          </cell>
          <cell r="G139">
            <v>0.29960896505129347</v>
          </cell>
        </row>
        <row r="140">
          <cell r="A140" t="str">
            <v>North Dakota State</v>
          </cell>
          <cell r="B140">
            <v>6.6499404773091211</v>
          </cell>
          <cell r="C140">
            <v>3.6370864500663345</v>
          </cell>
          <cell r="D140">
            <v>136</v>
          </cell>
          <cell r="E140">
            <v>3.7124078007474042</v>
          </cell>
          <cell r="F140">
            <v>138</v>
          </cell>
          <cell r="G140">
            <v>0.29446359363038893</v>
          </cell>
        </row>
        <row r="141">
          <cell r="A141" t="str">
            <v>Idaho</v>
          </cell>
          <cell r="B141">
            <v>6.7522602313339091</v>
          </cell>
          <cell r="C141">
            <v>3.6020757038189268</v>
          </cell>
          <cell r="D141">
            <v>139</v>
          </cell>
          <cell r="E141">
            <v>3.6808303170068015</v>
          </cell>
          <cell r="F141">
            <v>139</v>
          </cell>
          <cell r="G141">
            <v>0.29112697056389814</v>
          </cell>
        </row>
        <row r="142">
          <cell r="A142" t="str">
            <v>UNC Wilmington</v>
          </cell>
          <cell r="B142">
            <v>11.452044273918382</v>
          </cell>
          <cell r="C142">
            <v>3.4308933113060371</v>
          </cell>
          <cell r="D142">
            <v>143</v>
          </cell>
          <cell r="E142">
            <v>3.6314220853713457</v>
          </cell>
          <cell r="F142">
            <v>140</v>
          </cell>
          <cell r="G142">
            <v>0.28590626815760067</v>
          </cell>
        </row>
        <row r="143">
          <cell r="A143" t="str">
            <v>North Texas</v>
          </cell>
          <cell r="B143">
            <v>11.526309182378027</v>
          </cell>
          <cell r="C143">
            <v>3.4150393799156453</v>
          </cell>
          <cell r="D143">
            <v>144</v>
          </cell>
          <cell r="E143">
            <v>3.6178211249772052</v>
          </cell>
          <cell r="F143">
            <v>141</v>
          </cell>
          <cell r="G143">
            <v>0.28446912773975397</v>
          </cell>
        </row>
        <row r="144">
          <cell r="A144" t="str">
            <v>Florida International</v>
          </cell>
          <cell r="B144">
            <v>2.7413022335596025</v>
          </cell>
          <cell r="C144">
            <v>3.5998417983300812</v>
          </cell>
          <cell r="D144">
            <v>140</v>
          </cell>
          <cell r="E144">
            <v>3.5783783092108195</v>
          </cell>
          <cell r="F144">
            <v>142</v>
          </cell>
          <cell r="G144">
            <v>0.28030141729219071</v>
          </cell>
        </row>
        <row r="145">
          <cell r="A145" t="str">
            <v>George Mason</v>
          </cell>
          <cell r="B145">
            <v>12.882788610671113</v>
          </cell>
          <cell r="C145">
            <v>3.3028176280436972</v>
          </cell>
          <cell r="D145">
            <v>148</v>
          </cell>
          <cell r="E145">
            <v>3.5423169026093828</v>
          </cell>
          <cell r="F145">
            <v>143</v>
          </cell>
          <cell r="G145">
            <v>0.27649100218550049</v>
          </cell>
        </row>
        <row r="146">
          <cell r="A146" t="str">
            <v>Missouri State</v>
          </cell>
          <cell r="B146">
            <v>5.8362417833099247</v>
          </cell>
          <cell r="C146">
            <v>3.468276566240049</v>
          </cell>
          <cell r="D146">
            <v>141</v>
          </cell>
          <cell r="E146">
            <v>3.5274756966667957</v>
          </cell>
          <cell r="F146">
            <v>144</v>
          </cell>
          <cell r="G146">
            <v>0.2749228116833895</v>
          </cell>
        </row>
        <row r="147">
          <cell r="A147" t="str">
            <v>Abilene Christian</v>
          </cell>
          <cell r="B147">
            <v>4.6587729498792365</v>
          </cell>
          <cell r="C147">
            <v>3.4506770163239446</v>
          </cell>
          <cell r="D147">
            <v>142</v>
          </cell>
          <cell r="E147">
            <v>3.480879414662827</v>
          </cell>
          <cell r="F147">
            <v>145</v>
          </cell>
          <cell r="G147">
            <v>0.26999923288831146</v>
          </cell>
        </row>
        <row r="148">
          <cell r="A148" t="str">
            <v>UT Arlington</v>
          </cell>
          <cell r="B148">
            <v>6.1401425942335406</v>
          </cell>
          <cell r="C148">
            <v>3.3972193947379736</v>
          </cell>
          <cell r="D148">
            <v>145</v>
          </cell>
          <cell r="E148">
            <v>3.465792474725363</v>
          </cell>
          <cell r="F148">
            <v>146</v>
          </cell>
          <cell r="G148">
            <v>0.26840507699509264</v>
          </cell>
        </row>
        <row r="149">
          <cell r="A149" t="str">
            <v>Loyola Marymount</v>
          </cell>
          <cell r="B149">
            <v>7.9556497051635517</v>
          </cell>
          <cell r="C149">
            <v>3.3227916876848971</v>
          </cell>
          <cell r="D149">
            <v>147</v>
          </cell>
          <cell r="E149">
            <v>3.4386131381218634</v>
          </cell>
          <cell r="F149">
            <v>147</v>
          </cell>
          <cell r="G149">
            <v>0.26553318250887847</v>
          </cell>
        </row>
        <row r="150">
          <cell r="A150" t="str">
            <v>Tarleton</v>
          </cell>
          <cell r="B150">
            <v>1.756369952207554</v>
          </cell>
          <cell r="C150">
            <v>3.3924434419274037</v>
          </cell>
          <cell r="D150">
            <v>146</v>
          </cell>
          <cell r="E150">
            <v>3.3515416046844075</v>
          </cell>
          <cell r="F150">
            <v>148</v>
          </cell>
          <cell r="G150">
            <v>0.25633280133573955</v>
          </cell>
        </row>
        <row r="151">
          <cell r="A151" t="str">
            <v>Richmond</v>
          </cell>
          <cell r="B151">
            <v>4.7143576609582825</v>
          </cell>
          <cell r="C151">
            <v>3.1918861704698562</v>
          </cell>
          <cell r="D151">
            <v>149</v>
          </cell>
          <cell r="E151">
            <v>3.2299479577320667</v>
          </cell>
          <cell r="F151">
            <v>149</v>
          </cell>
          <cell r="G151">
            <v>0.24348465388698473</v>
          </cell>
        </row>
        <row r="152">
          <cell r="A152" t="str">
            <v>East Tennessee State</v>
          </cell>
          <cell r="B152">
            <v>10.948431749931771</v>
          </cell>
          <cell r="C152">
            <v>3.0130770833827745</v>
          </cell>
          <cell r="D152">
            <v>150</v>
          </cell>
          <cell r="E152">
            <v>3.2114609500464995</v>
          </cell>
          <cell r="F152">
            <v>150</v>
          </cell>
          <cell r="G152">
            <v>0.24153123110064847</v>
          </cell>
        </row>
        <row r="153">
          <cell r="A153" t="str">
            <v>UC Santa Barbara</v>
          </cell>
          <cell r="B153">
            <v>10.200974139185588</v>
          </cell>
          <cell r="C153">
            <v>2.9752071719328934</v>
          </cell>
          <cell r="D153">
            <v>151</v>
          </cell>
          <cell r="E153">
            <v>3.1558513461142108</v>
          </cell>
          <cell r="F153">
            <v>151</v>
          </cell>
          <cell r="G153">
            <v>0.23565526299872172</v>
          </cell>
        </row>
        <row r="154">
          <cell r="A154" t="str">
            <v>Cornell</v>
          </cell>
          <cell r="B154">
            <v>12.240510571584281</v>
          </cell>
          <cell r="C154">
            <v>2.8923673446215532</v>
          </cell>
          <cell r="D154">
            <v>153</v>
          </cell>
          <cell r="E154">
            <v>3.1260709252956214</v>
          </cell>
          <cell r="F154">
            <v>152</v>
          </cell>
          <cell r="G154">
            <v>0.23250852591702884</v>
          </cell>
        </row>
        <row r="155">
          <cell r="A155" t="str">
            <v>Rutgers</v>
          </cell>
          <cell r="B155">
            <v>12.398819364854372</v>
          </cell>
          <cell r="C155">
            <v>2.77891799148829</v>
          </cell>
          <cell r="D155">
            <v>154</v>
          </cell>
          <cell r="E155">
            <v>3.0194155258224424</v>
          </cell>
          <cell r="F155">
            <v>153</v>
          </cell>
          <cell r="G155">
            <v>0.22123882282822888</v>
          </cell>
        </row>
        <row r="156">
          <cell r="A156" t="str">
            <v>Hawaii</v>
          </cell>
          <cell r="B156">
            <v>6.6079361622356876</v>
          </cell>
          <cell r="C156">
            <v>2.9110713365567813</v>
          </cell>
          <cell r="D156">
            <v>152</v>
          </cell>
          <cell r="E156">
            <v>3.0034929571987541</v>
          </cell>
          <cell r="F156">
            <v>154</v>
          </cell>
          <cell r="G156">
            <v>0.21955637054089638</v>
          </cell>
        </row>
        <row r="157">
          <cell r="A157" t="str">
            <v>William &amp; Mary</v>
          </cell>
          <cell r="B157">
            <v>8.8460788154082941</v>
          </cell>
          <cell r="C157">
            <v>2.7469507050523765</v>
          </cell>
          <cell r="D157">
            <v>155</v>
          </cell>
          <cell r="E157">
            <v>2.8994289078112745</v>
          </cell>
          <cell r="F157">
            <v>155</v>
          </cell>
          <cell r="G157">
            <v>0.20856048149441606</v>
          </cell>
        </row>
        <row r="158">
          <cell r="A158" t="str">
            <v>UC San Diego</v>
          </cell>
          <cell r="B158">
            <v>13.658747039986601</v>
          </cell>
          <cell r="C158">
            <v>2.5628914935550946</v>
          </cell>
          <cell r="D158">
            <v>157</v>
          </cell>
          <cell r="E158">
            <v>2.8402878822158826</v>
          </cell>
          <cell r="F158">
            <v>156</v>
          </cell>
          <cell r="G158">
            <v>0.20231136703683256</v>
          </cell>
        </row>
        <row r="159">
          <cell r="A159" t="str">
            <v>Weber State</v>
          </cell>
          <cell r="B159">
            <v>1.9611137486645602</v>
          </cell>
          <cell r="C159">
            <v>2.6754604201358281</v>
          </cell>
          <cell r="D159">
            <v>156</v>
          </cell>
          <cell r="E159">
            <v>2.6576017533490464</v>
          </cell>
          <cell r="F159">
            <v>157</v>
          </cell>
          <cell r="G159">
            <v>0.18300790522485716</v>
          </cell>
        </row>
        <row r="160">
          <cell r="A160" t="str">
            <v>Texas A&amp;M-CC</v>
          </cell>
          <cell r="B160">
            <v>5.2676380276133958</v>
          </cell>
          <cell r="C160">
            <v>2.5559581573103003</v>
          </cell>
          <cell r="D160">
            <v>158</v>
          </cell>
          <cell r="E160">
            <v>2.6237501540678778</v>
          </cell>
          <cell r="F160">
            <v>158</v>
          </cell>
          <cell r="G160">
            <v>0.17943098858618534</v>
          </cell>
        </row>
        <row r="161">
          <cell r="A161" t="str">
            <v>Rhode Island</v>
          </cell>
          <cell r="B161">
            <v>10.26520529831047</v>
          </cell>
          <cell r="C161">
            <v>2.3582361999190011</v>
          </cell>
          <cell r="D161">
            <v>161</v>
          </cell>
          <cell r="E161">
            <v>2.5559104273787883</v>
          </cell>
          <cell r="F161">
            <v>159</v>
          </cell>
          <cell r="G161">
            <v>0.1722627291151434</v>
          </cell>
        </row>
        <row r="162">
          <cell r="A162" t="str">
            <v>Wright State</v>
          </cell>
          <cell r="B162">
            <v>8.2226290065142429</v>
          </cell>
          <cell r="C162">
            <v>2.4028267614002425</v>
          </cell>
          <cell r="D162">
            <v>159</v>
          </cell>
          <cell r="E162">
            <v>2.5483218175280928</v>
          </cell>
          <cell r="F162">
            <v>160</v>
          </cell>
          <cell r="G162">
            <v>0.17146088147970712</v>
          </cell>
        </row>
        <row r="163">
          <cell r="A163" t="str">
            <v>Montana</v>
          </cell>
          <cell r="B163">
            <v>7.2388141003298552</v>
          </cell>
          <cell r="C163">
            <v>2.3669379405231736</v>
          </cell>
          <cell r="D163">
            <v>160</v>
          </cell>
          <cell r="E163">
            <v>2.4887348445183406</v>
          </cell>
          <cell r="F163">
            <v>161</v>
          </cell>
          <cell r="G163">
            <v>0.16516464615456433</v>
          </cell>
        </row>
        <row r="164">
          <cell r="A164" t="str">
            <v>UAB</v>
          </cell>
          <cell r="B164">
            <v>11.893851724735462</v>
          </cell>
          <cell r="C164">
            <v>2.049123589390982</v>
          </cell>
          <cell r="D164">
            <v>162</v>
          </cell>
          <cell r="E164">
            <v>2.2952417927745943</v>
          </cell>
          <cell r="F164">
            <v>162</v>
          </cell>
          <cell r="G164">
            <v>0.14471927485907549</v>
          </cell>
        </row>
        <row r="165">
          <cell r="A165" t="str">
            <v>Mercer</v>
          </cell>
          <cell r="B165">
            <v>4.2261109018042715</v>
          </cell>
          <cell r="C165">
            <v>1.9751447982851733</v>
          </cell>
          <cell r="D165">
            <v>163</v>
          </cell>
          <cell r="E165">
            <v>2.0314189508731508</v>
          </cell>
          <cell r="F165">
            <v>163</v>
          </cell>
          <cell r="G165">
            <v>0.11684253246292174</v>
          </cell>
        </row>
        <row r="166">
          <cell r="A166" t="str">
            <v>UMass</v>
          </cell>
          <cell r="B166">
            <v>3.4899893142971776</v>
          </cell>
          <cell r="C166">
            <v>1.8639920364443252</v>
          </cell>
          <cell r="D166">
            <v>164</v>
          </cell>
          <cell r="E166">
            <v>1.9046419683906466</v>
          </cell>
          <cell r="F166">
            <v>164</v>
          </cell>
          <cell r="G166">
            <v>0.10344668979458027</v>
          </cell>
        </row>
        <row r="167">
          <cell r="A167" t="str">
            <v>San Diego</v>
          </cell>
          <cell r="B167">
            <v>3.3518950872348374</v>
          </cell>
          <cell r="C167">
            <v>1.8300465035109039</v>
          </cell>
          <cell r="D167">
            <v>165</v>
          </cell>
          <cell r="E167">
            <v>1.8680927181040023</v>
          </cell>
          <cell r="F167">
            <v>165</v>
          </cell>
          <cell r="G167">
            <v>9.9584726866465231E-2</v>
          </cell>
        </row>
        <row r="168">
          <cell r="A168" t="str">
            <v>Oregon State</v>
          </cell>
          <cell r="B168">
            <v>14.211715497060888</v>
          </cell>
          <cell r="C168">
            <v>1.5283526489187866</v>
          </cell>
          <cell r="D168">
            <v>170</v>
          </cell>
          <cell r="E168">
            <v>1.8454367201223394</v>
          </cell>
          <cell r="F168">
            <v>166</v>
          </cell>
          <cell r="G168">
            <v>9.7190789272166497E-2</v>
          </cell>
        </row>
        <row r="169">
          <cell r="A169" t="str">
            <v>Louisiana Tech</v>
          </cell>
          <cell r="B169">
            <v>5.8923615444656878</v>
          </cell>
          <cell r="C169">
            <v>1.6617503153680075</v>
          </cell>
          <cell r="D169">
            <v>167</v>
          </cell>
          <cell r="E169">
            <v>1.7675155960954496</v>
          </cell>
          <cell r="F169">
            <v>167</v>
          </cell>
          <cell r="G169">
            <v>8.8957282703664667E-2</v>
          </cell>
        </row>
        <row r="170">
          <cell r="A170" t="str">
            <v>Eastern Washington</v>
          </cell>
          <cell r="B170">
            <v>4.5611014700271113</v>
          </cell>
          <cell r="C170">
            <v>1.6373088273550773</v>
          </cell>
          <cell r="D170">
            <v>168</v>
          </cell>
          <cell r="E170">
            <v>1.7104036434218781</v>
          </cell>
          <cell r="F170">
            <v>168</v>
          </cell>
          <cell r="G170">
            <v>8.2922569481155922E-2</v>
          </cell>
        </row>
        <row r="171">
          <cell r="A171" t="str">
            <v>Utah Tech</v>
          </cell>
          <cell r="B171">
            <v>2.6815136307772209</v>
          </cell>
          <cell r="C171">
            <v>1.6754242322795374</v>
          </cell>
          <cell r="D171">
            <v>166</v>
          </cell>
          <cell r="E171">
            <v>1.7005764672419794</v>
          </cell>
          <cell r="F171">
            <v>169</v>
          </cell>
          <cell r="G171">
            <v>8.1884184567726045E-2</v>
          </cell>
        </row>
        <row r="172">
          <cell r="A172" t="str">
            <v>Columbia</v>
          </cell>
          <cell r="B172">
            <v>6.0613304816433882</v>
          </cell>
          <cell r="C172">
            <v>1.4347193004066621</v>
          </cell>
          <cell r="D172">
            <v>171</v>
          </cell>
          <cell r="E172">
            <v>1.5503845799375802</v>
          </cell>
          <cell r="F172">
            <v>170</v>
          </cell>
          <cell r="G172">
            <v>6.6014214696273513E-2</v>
          </cell>
        </row>
        <row r="173">
          <cell r="A173" t="str">
            <v>Drake</v>
          </cell>
          <cell r="B173">
            <v>11.638031355552167</v>
          </cell>
          <cell r="C173">
            <v>1.2496303524122452</v>
          </cell>
          <cell r="D173">
            <v>173</v>
          </cell>
          <cell r="E173">
            <v>1.5093403774907435</v>
          </cell>
          <cell r="F173">
            <v>171</v>
          </cell>
          <cell r="G173">
            <v>6.167729432114738E-2</v>
          </cell>
        </row>
        <row r="174">
          <cell r="A174" t="str">
            <v>Portland</v>
          </cell>
          <cell r="B174">
            <v>3.6753800784627519</v>
          </cell>
          <cell r="C174">
            <v>1.3315116529654087</v>
          </cell>
          <cell r="D174">
            <v>172</v>
          </cell>
          <cell r="E174">
            <v>1.3901083636028424</v>
          </cell>
          <cell r="F174">
            <v>172</v>
          </cell>
          <cell r="G174">
            <v>4.9078687951160216E-2</v>
          </cell>
        </row>
        <row r="175">
          <cell r="A175" t="str">
            <v>CSU Fullerton</v>
          </cell>
          <cell r="B175">
            <v>-7.2289295991476736</v>
          </cell>
          <cell r="C175">
            <v>1.5531364101896863</v>
          </cell>
          <cell r="D175">
            <v>169</v>
          </cell>
          <cell r="E175">
            <v>1.333584759956252</v>
          </cell>
          <cell r="F175">
            <v>173</v>
          </cell>
          <cell r="G175">
            <v>4.3106142409607258E-2</v>
          </cell>
        </row>
        <row r="176">
          <cell r="A176" t="str">
            <v>Austin Peay</v>
          </cell>
          <cell r="B176">
            <v>4.0889739876354199</v>
          </cell>
          <cell r="C176">
            <v>1.1877507900036002</v>
          </cell>
          <cell r="D176">
            <v>174</v>
          </cell>
          <cell r="E176">
            <v>1.2602813699443958</v>
          </cell>
          <cell r="F176">
            <v>174</v>
          </cell>
          <cell r="G176">
            <v>3.5360566987109598E-2</v>
          </cell>
        </row>
        <row r="177">
          <cell r="A177" t="str">
            <v>UTEP</v>
          </cell>
          <cell r="B177">
            <v>3.2977056297508884</v>
          </cell>
          <cell r="C177">
            <v>1.1796027540187921</v>
          </cell>
          <cell r="D177">
            <v>175</v>
          </cell>
          <cell r="E177">
            <v>1.2325553259120947</v>
          </cell>
          <cell r="F177">
            <v>175</v>
          </cell>
          <cell r="G177">
            <v>3.2430904863912514E-2</v>
          </cell>
        </row>
        <row r="178">
          <cell r="A178" t="str">
            <v>Idaho State</v>
          </cell>
          <cell r="B178">
            <v>5.3521542826006785</v>
          </cell>
          <cell r="C178">
            <v>1.0693320778491546</v>
          </cell>
          <cell r="D178">
            <v>177</v>
          </cell>
          <cell r="E178">
            <v>1.1764026329679429</v>
          </cell>
          <cell r="F178">
            <v>176</v>
          </cell>
          <cell r="G178">
            <v>2.6497551463681875E-2</v>
          </cell>
        </row>
        <row r="179">
          <cell r="A179" t="str">
            <v>Northern Kentucky</v>
          </cell>
          <cell r="B179">
            <v>1.5128202582854133</v>
          </cell>
          <cell r="C179">
            <v>1.0933491362392449</v>
          </cell>
          <cell r="D179">
            <v>176</v>
          </cell>
          <cell r="E179">
            <v>1.1038359142903991</v>
          </cell>
          <cell r="F179">
            <v>177</v>
          </cell>
          <cell r="G179">
            <v>1.8829816143539454E-2</v>
          </cell>
        </row>
        <row r="180">
          <cell r="A180" t="str">
            <v>San Jose State</v>
          </cell>
          <cell r="B180">
            <v>6.9683420651099723</v>
          </cell>
          <cell r="C180">
            <v>0.93007559873140622</v>
          </cell>
          <cell r="D180">
            <v>178</v>
          </cell>
          <cell r="E180">
            <v>1.0810322603908704</v>
          </cell>
          <cell r="F180">
            <v>178</v>
          </cell>
          <cell r="G180">
            <v>1.6420276541636133E-2</v>
          </cell>
        </row>
        <row r="181">
          <cell r="A181" t="str">
            <v>Troy</v>
          </cell>
          <cell r="B181">
            <v>8.6787585448606048</v>
          </cell>
          <cell r="C181">
            <v>0.88289454252880595</v>
          </cell>
          <cell r="D181">
            <v>179</v>
          </cell>
          <cell r="E181">
            <v>1.0777911425871012</v>
          </cell>
          <cell r="F181">
            <v>179</v>
          </cell>
          <cell r="G181">
            <v>1.6077805035226482E-2</v>
          </cell>
        </row>
        <row r="182">
          <cell r="A182" t="str">
            <v>Campbell</v>
          </cell>
          <cell r="B182">
            <v>7.7316653144052143</v>
          </cell>
          <cell r="C182">
            <v>0.77953414872373439</v>
          </cell>
          <cell r="D182">
            <v>180</v>
          </cell>
          <cell r="E182">
            <v>0.95333742786577147</v>
          </cell>
          <cell r="F182">
            <v>180</v>
          </cell>
          <cell r="G182">
            <v>2.9274495901624462E-3</v>
          </cell>
        </row>
        <row r="183">
          <cell r="A183" t="str">
            <v>Oakland</v>
          </cell>
          <cell r="B183">
            <v>6.4695957108994113</v>
          </cell>
          <cell r="C183">
            <v>0.69164300440642745</v>
          </cell>
          <cell r="D183">
            <v>182</v>
          </cell>
          <cell r="E183">
            <v>0.83609182206875221</v>
          </cell>
          <cell r="F183">
            <v>181</v>
          </cell>
          <cell r="G183">
            <v>-9.4612637082314988E-3</v>
          </cell>
        </row>
        <row r="184">
          <cell r="A184" t="str">
            <v>Hofstra</v>
          </cell>
          <cell r="B184">
            <v>4.9840939446210539</v>
          </cell>
          <cell r="C184">
            <v>0.7023211841416227</v>
          </cell>
          <cell r="D184">
            <v>181</v>
          </cell>
          <cell r="E184">
            <v>0.80936550315360856</v>
          </cell>
          <cell r="F184">
            <v>182</v>
          </cell>
          <cell r="G184">
            <v>-1.2285290249016156E-2</v>
          </cell>
        </row>
        <row r="185">
          <cell r="A185" t="str">
            <v>CSU Northridge</v>
          </cell>
          <cell r="B185">
            <v>6.6453279658500097</v>
          </cell>
          <cell r="C185">
            <v>0.56577175143585379</v>
          </cell>
          <cell r="D185">
            <v>183</v>
          </cell>
          <cell r="E185">
            <v>0.71776065679620782</v>
          </cell>
          <cell r="F185">
            <v>183</v>
          </cell>
          <cell r="G185">
            <v>-2.196468224456774E-2</v>
          </cell>
        </row>
        <row r="186">
          <cell r="A186" t="str">
            <v>Robert Morris</v>
          </cell>
          <cell r="B186">
            <v>9.3468193830940063</v>
          </cell>
          <cell r="C186">
            <v>0.47053860183133411</v>
          </cell>
          <cell r="D186">
            <v>187</v>
          </cell>
          <cell r="E186">
            <v>0.69244562136290111</v>
          </cell>
          <cell r="F186">
            <v>184</v>
          </cell>
          <cell r="G186">
            <v>-2.4639586041515785E-2</v>
          </cell>
        </row>
        <row r="187">
          <cell r="A187" t="str">
            <v>Valparaiso</v>
          </cell>
          <cell r="B187">
            <v>4.1024395871147687</v>
          </cell>
          <cell r="C187">
            <v>0.55739434966170032</v>
          </cell>
          <cell r="D187">
            <v>184</v>
          </cell>
          <cell r="E187">
            <v>0.64602048059802708</v>
          </cell>
          <cell r="F187">
            <v>185</v>
          </cell>
          <cell r="G187">
            <v>-2.9545081261262672E-2</v>
          </cell>
        </row>
        <row r="188">
          <cell r="A188" t="str">
            <v>Tennessee State</v>
          </cell>
          <cell r="B188">
            <v>4.6695105181924941</v>
          </cell>
          <cell r="C188">
            <v>0.489013119113826</v>
          </cell>
          <cell r="D188">
            <v>185</v>
          </cell>
          <cell r="E188">
            <v>0.59352555409079277</v>
          </cell>
          <cell r="F188">
            <v>186</v>
          </cell>
          <cell r="G188">
            <v>-3.5091938132336305E-2</v>
          </cell>
        </row>
        <row r="189">
          <cell r="A189" t="str">
            <v>Arkansas State</v>
          </cell>
          <cell r="B189">
            <v>10.32698899515729</v>
          </cell>
          <cell r="C189">
            <v>0.24459222852645962</v>
          </cell>
          <cell r="D189">
            <v>190</v>
          </cell>
          <cell r="E189">
            <v>0.49665214769223065</v>
          </cell>
          <cell r="F189">
            <v>187</v>
          </cell>
          <cell r="G189">
            <v>-4.5328030563709099E-2</v>
          </cell>
        </row>
        <row r="190">
          <cell r="A190" t="str">
            <v>Temple</v>
          </cell>
          <cell r="B190">
            <v>7.8504390694144872</v>
          </cell>
          <cell r="C190">
            <v>0.25957582387477601</v>
          </cell>
          <cell r="D190">
            <v>189</v>
          </cell>
          <cell r="E190">
            <v>0.44934740501326897</v>
          </cell>
          <cell r="F190">
            <v>188</v>
          </cell>
          <cell r="G190">
            <v>-5.0326468592325223E-2</v>
          </cell>
        </row>
        <row r="191">
          <cell r="A191" t="str">
            <v>Western Carolina</v>
          </cell>
          <cell r="B191">
            <v>-2.0856588670615377</v>
          </cell>
          <cell r="C191">
            <v>0.47814579455102157</v>
          </cell>
          <cell r="D191">
            <v>186</v>
          </cell>
          <cell r="E191">
            <v>0.41405067801070755</v>
          </cell>
          <cell r="F191">
            <v>189</v>
          </cell>
          <cell r="G191">
            <v>-5.4056084113809709E-2</v>
          </cell>
        </row>
        <row r="192">
          <cell r="A192" t="str">
            <v>UC Davis</v>
          </cell>
          <cell r="B192">
            <v>1.6068695599259029</v>
          </cell>
          <cell r="C192">
            <v>0.37363852788262275</v>
          </cell>
          <cell r="D192">
            <v>188</v>
          </cell>
          <cell r="E192">
            <v>0.40446930368370482</v>
          </cell>
          <cell r="F192">
            <v>190</v>
          </cell>
          <cell r="G192">
            <v>-5.5068496465939379E-2</v>
          </cell>
        </row>
        <row r="193">
          <cell r="A193" t="str">
            <v>South Dakota State</v>
          </cell>
          <cell r="B193">
            <v>7.2431333970691121</v>
          </cell>
          <cell r="C193">
            <v>0.21201596900212225</v>
          </cell>
          <cell r="D193">
            <v>191</v>
          </cell>
          <cell r="E193">
            <v>0.38779390470379715</v>
          </cell>
          <cell r="F193">
            <v>191</v>
          </cell>
          <cell r="G193">
            <v>-5.6830496292662597E-2</v>
          </cell>
        </row>
        <row r="194">
          <cell r="A194" t="str">
            <v>Boston College</v>
          </cell>
          <cell r="B194">
            <v>10.806740653842446</v>
          </cell>
          <cell r="C194">
            <v>6.430471546789622E-2</v>
          </cell>
          <cell r="D194">
            <v>193</v>
          </cell>
          <cell r="E194">
            <v>0.33286561392726022</v>
          </cell>
          <cell r="F194">
            <v>192</v>
          </cell>
          <cell r="G194">
            <v>-6.2634473693567741E-2</v>
          </cell>
        </row>
        <row r="195">
          <cell r="A195" t="str">
            <v>Fordham</v>
          </cell>
          <cell r="B195">
            <v>6.7577083276114465</v>
          </cell>
          <cell r="C195">
            <v>9.4922071445911721E-2</v>
          </cell>
          <cell r="D195">
            <v>192</v>
          </cell>
          <cell r="E195">
            <v>0.26149172785005026</v>
          </cell>
          <cell r="F195">
            <v>193</v>
          </cell>
          <cell r="G195">
            <v>-7.0176168800961392E-2</v>
          </cell>
        </row>
        <row r="196">
          <cell r="A196" t="str">
            <v>Ohio</v>
          </cell>
          <cell r="B196">
            <v>10.971514953340339</v>
          </cell>
          <cell r="C196">
            <v>-0.12632229068752759</v>
          </cell>
          <cell r="D196">
            <v>196</v>
          </cell>
          <cell r="E196">
            <v>0.15112364041316934</v>
          </cell>
          <cell r="F196">
            <v>194</v>
          </cell>
          <cell r="G196">
            <v>-8.1838171681604566E-2</v>
          </cell>
        </row>
        <row r="197">
          <cell r="A197" t="str">
            <v>Sacramento State</v>
          </cell>
          <cell r="B197">
            <v>3.894048967658652</v>
          </cell>
          <cell r="C197">
            <v>-5.574452577538018E-2</v>
          </cell>
          <cell r="D197">
            <v>195</v>
          </cell>
          <cell r="E197">
            <v>4.3000311560470711E-2</v>
          </cell>
          <cell r="F197">
            <v>195</v>
          </cell>
          <cell r="G197">
            <v>-9.3262982981936499E-2</v>
          </cell>
        </row>
        <row r="198">
          <cell r="A198" t="str">
            <v>St. Joseph's</v>
          </cell>
          <cell r="B198">
            <v>13.717931283626486</v>
          </cell>
          <cell r="C198">
            <v>-0.36987782983197237</v>
          </cell>
          <cell r="D198">
            <v>200</v>
          </cell>
          <cell r="E198">
            <v>-1.7682601995510583E-2</v>
          </cell>
          <cell r="F198">
            <v>196</v>
          </cell>
          <cell r="G198">
            <v>-9.9675020456993751E-2</v>
          </cell>
        </row>
        <row r="199">
          <cell r="A199" t="str">
            <v>Central Arkansas</v>
          </cell>
          <cell r="B199">
            <v>-2.8044829720709332</v>
          </cell>
          <cell r="C199">
            <v>1.5640896902931356E-2</v>
          </cell>
          <cell r="D199">
            <v>194</v>
          </cell>
          <cell r="E199">
            <v>-5.4862199821415325E-2</v>
          </cell>
          <cell r="F199">
            <v>197</v>
          </cell>
          <cell r="G199">
            <v>-0.10360358882323296</v>
          </cell>
        </row>
        <row r="200">
          <cell r="A200" t="str">
            <v>Lamar</v>
          </cell>
          <cell r="B200">
            <v>3.7898435317739021</v>
          </cell>
          <cell r="C200">
            <v>-0.30941570058895607</v>
          </cell>
          <cell r="D200">
            <v>198</v>
          </cell>
          <cell r="E200">
            <v>-0.20693421977988455</v>
          </cell>
          <cell r="F200">
            <v>198</v>
          </cell>
          <cell r="G200">
            <v>-0.11967222221180311</v>
          </cell>
        </row>
        <row r="201">
          <cell r="A201" t="str">
            <v>Radford</v>
          </cell>
          <cell r="B201">
            <v>11.500175544773906</v>
          </cell>
          <cell r="C201">
            <v>-0.51690293787443364</v>
          </cell>
          <cell r="D201">
            <v>202</v>
          </cell>
          <cell r="E201">
            <v>-0.21647597580822486</v>
          </cell>
          <cell r="F201">
            <v>199</v>
          </cell>
          <cell r="G201">
            <v>-0.12068044831115034</v>
          </cell>
        </row>
        <row r="202">
          <cell r="A202" t="str">
            <v>Incarnate Word</v>
          </cell>
          <cell r="B202">
            <v>3.4851643994280979</v>
          </cell>
          <cell r="C202">
            <v>-0.32775972075236348</v>
          </cell>
          <cell r="D202">
            <v>199</v>
          </cell>
          <cell r="E202">
            <v>-0.23243661774785188</v>
          </cell>
          <cell r="F202">
            <v>200</v>
          </cell>
          <cell r="G202">
            <v>-0.12236692360124081</v>
          </cell>
        </row>
        <row r="203">
          <cell r="A203" t="str">
            <v>Southern Utah</v>
          </cell>
          <cell r="B203">
            <v>-0.85868020363852504</v>
          </cell>
          <cell r="C203">
            <v>-0.2409021835456148</v>
          </cell>
          <cell r="D203">
            <v>197</v>
          </cell>
          <cell r="E203">
            <v>-0.25634663404793756</v>
          </cell>
          <cell r="F203">
            <v>201</v>
          </cell>
          <cell r="G203">
            <v>-0.12489336657441719</v>
          </cell>
        </row>
        <row r="204">
          <cell r="A204" t="str">
            <v>Rice</v>
          </cell>
          <cell r="B204">
            <v>5.2635459972994534</v>
          </cell>
          <cell r="C204">
            <v>-0.46753852969586901</v>
          </cell>
          <cell r="D204">
            <v>201</v>
          </cell>
          <cell r="E204">
            <v>-0.32426141652098583</v>
          </cell>
          <cell r="F204">
            <v>202</v>
          </cell>
          <cell r="G204">
            <v>-0.1320695567869358</v>
          </cell>
        </row>
        <row r="205">
          <cell r="A205" t="str">
            <v>Youngstown State</v>
          </cell>
          <cell r="B205">
            <v>7.074926011375049</v>
          </cell>
          <cell r="C205">
            <v>-0.59264657965799006</v>
          </cell>
          <cell r="D205">
            <v>203</v>
          </cell>
          <cell r="E205">
            <v>-0.40095726488216393</v>
          </cell>
          <cell r="F205">
            <v>203</v>
          </cell>
          <cell r="G205">
            <v>-0.14017359505826082</v>
          </cell>
        </row>
        <row r="206">
          <cell r="A206" t="str">
            <v>Lipscomb</v>
          </cell>
          <cell r="B206">
            <v>9.3932974825499684</v>
          </cell>
          <cell r="C206">
            <v>-0.73711301642103766</v>
          </cell>
          <cell r="D206">
            <v>204</v>
          </cell>
          <cell r="E206">
            <v>-0.48385275394676219</v>
          </cell>
          <cell r="F206">
            <v>204</v>
          </cell>
          <cell r="G206">
            <v>-0.14893271605704173</v>
          </cell>
        </row>
        <row r="207">
          <cell r="A207" t="str">
            <v>Southeast Missouri State</v>
          </cell>
          <cell r="B207">
            <v>5.4277423396745084</v>
          </cell>
          <cell r="C207">
            <v>-0.74290793092136787</v>
          </cell>
          <cell r="D207">
            <v>205</v>
          </cell>
          <cell r="E207">
            <v>-0.58864167415647084</v>
          </cell>
          <cell r="F207">
            <v>205</v>
          </cell>
          <cell r="G207">
            <v>-0.16000519830916007</v>
          </cell>
        </row>
        <row r="208">
          <cell r="A208" t="str">
            <v>Furman</v>
          </cell>
          <cell r="B208">
            <v>9.7417903789513538</v>
          </cell>
          <cell r="C208">
            <v>-0.86422889239058553</v>
          </cell>
          <cell r="D208">
            <v>206</v>
          </cell>
          <cell r="E208">
            <v>-0.59907841060703682</v>
          </cell>
          <cell r="F208">
            <v>206</v>
          </cell>
          <cell r="G208">
            <v>-0.16110799218171515</v>
          </cell>
        </row>
        <row r="209">
          <cell r="A209" t="str">
            <v>Charlotte</v>
          </cell>
          <cell r="B209">
            <v>5.1348821179057866</v>
          </cell>
          <cell r="C209">
            <v>-1.0562833248895447</v>
          </cell>
          <cell r="D209">
            <v>208</v>
          </cell>
          <cell r="E209">
            <v>-0.90150418881966121</v>
          </cell>
          <cell r="F209">
            <v>207</v>
          </cell>
          <cell r="G209">
            <v>-0.19306369947539634</v>
          </cell>
        </row>
        <row r="210">
          <cell r="A210" t="str">
            <v>Charleston</v>
          </cell>
          <cell r="B210">
            <v>10.158178405440189</v>
          </cell>
          <cell r="C210">
            <v>-1.1936145488092145</v>
          </cell>
          <cell r="D210">
            <v>212</v>
          </cell>
          <cell r="E210">
            <v>-0.90981972495297903</v>
          </cell>
          <cell r="F210">
            <v>208</v>
          </cell>
          <cell r="G210">
            <v>-0.19394235750592806</v>
          </cell>
        </row>
        <row r="211">
          <cell r="A211" t="str">
            <v>Marshall</v>
          </cell>
          <cell r="B211">
            <v>2.7500123349197647</v>
          </cell>
          <cell r="C211">
            <v>-1.1046403535084797</v>
          </cell>
          <cell r="D211">
            <v>209</v>
          </cell>
          <cell r="E211">
            <v>-1.0082740362977736</v>
          </cell>
          <cell r="F211">
            <v>209</v>
          </cell>
          <cell r="G211">
            <v>-0.20434549567004068</v>
          </cell>
        </row>
        <row r="212">
          <cell r="A212" t="str">
            <v>Pepperdine</v>
          </cell>
          <cell r="B212">
            <v>4.5307464261683457</v>
          </cell>
          <cell r="C212">
            <v>-1.1654144792224013</v>
          </cell>
          <cell r="D212">
            <v>210</v>
          </cell>
          <cell r="E212">
            <v>-1.0230104565876323</v>
          </cell>
          <cell r="F212">
            <v>210</v>
          </cell>
          <cell r="G212">
            <v>-0.20590261403515675</v>
          </cell>
        </row>
        <row r="213">
          <cell r="A213" t="str">
            <v>Buffalo</v>
          </cell>
          <cell r="B213">
            <v>-1.3203775832630009</v>
          </cell>
          <cell r="C213">
            <v>-1.024729948811349</v>
          </cell>
          <cell r="D213">
            <v>207</v>
          </cell>
          <cell r="E213">
            <v>-1.0321211396726404</v>
          </cell>
          <cell r="F213">
            <v>211</v>
          </cell>
          <cell r="G213">
            <v>-0.20686529097238965</v>
          </cell>
        </row>
        <row r="214">
          <cell r="A214" t="str">
            <v>Samford</v>
          </cell>
          <cell r="B214">
            <v>11.451234349297978</v>
          </cell>
          <cell r="C214">
            <v>-1.4159197909392804</v>
          </cell>
          <cell r="D214">
            <v>219</v>
          </cell>
          <cell r="E214">
            <v>-1.0942409374333488</v>
          </cell>
          <cell r="F214">
            <v>212</v>
          </cell>
          <cell r="G214">
            <v>-0.21342915628213927</v>
          </cell>
        </row>
        <row r="215">
          <cell r="A215" t="str">
            <v>Indiana State</v>
          </cell>
          <cell r="B215">
            <v>8.8774779405919997</v>
          </cell>
          <cell r="C215">
            <v>-1.3526438181544573</v>
          </cell>
          <cell r="D215">
            <v>217</v>
          </cell>
          <cell r="E215">
            <v>-1.0968907741857956</v>
          </cell>
          <cell r="F215">
            <v>213</v>
          </cell>
          <cell r="G215">
            <v>-0.21370915029633236</v>
          </cell>
        </row>
        <row r="216">
          <cell r="A216" t="str">
            <v>Nicholls</v>
          </cell>
          <cell r="B216">
            <v>1.0226165627622905</v>
          </cell>
          <cell r="C216">
            <v>-1.186815170671095</v>
          </cell>
          <cell r="D216">
            <v>211</v>
          </cell>
          <cell r="E216">
            <v>-1.1315793773352603</v>
          </cell>
          <cell r="F216">
            <v>214</v>
          </cell>
          <cell r="G216">
            <v>-0.2173745086372196</v>
          </cell>
        </row>
        <row r="217">
          <cell r="A217" t="str">
            <v>New Orleans</v>
          </cell>
          <cell r="B217">
            <v>1.348849061961795</v>
          </cell>
          <cell r="C217">
            <v>-1.2229576223978118</v>
          </cell>
          <cell r="D217">
            <v>213</v>
          </cell>
          <cell r="E217">
            <v>-1.1586624552888216</v>
          </cell>
          <cell r="F217">
            <v>215</v>
          </cell>
          <cell r="G217">
            <v>-0.22023623198901496</v>
          </cell>
        </row>
        <row r="218">
          <cell r="A218" t="str">
            <v>Northern Arizona</v>
          </cell>
          <cell r="B218">
            <v>4.0594954007386894</v>
          </cell>
          <cell r="C218">
            <v>-1.3094111107285267</v>
          </cell>
          <cell r="D218">
            <v>215</v>
          </cell>
          <cell r="E218">
            <v>-1.1751884479418462</v>
          </cell>
          <cell r="F218">
            <v>216</v>
          </cell>
          <cell r="G218">
            <v>-0.22198244485181629</v>
          </cell>
        </row>
        <row r="219">
          <cell r="A219" t="str">
            <v>UNC Asheville</v>
          </cell>
          <cell r="B219">
            <v>4.2597310343300681</v>
          </cell>
          <cell r="C219">
            <v>-1.3416087258334382</v>
          </cell>
          <cell r="D219">
            <v>216</v>
          </cell>
          <cell r="E219">
            <v>-1.2015752318293504</v>
          </cell>
          <cell r="F219">
            <v>217</v>
          </cell>
          <cell r="G219">
            <v>-0.22477059455027845</v>
          </cell>
        </row>
        <row r="220">
          <cell r="A220" t="str">
            <v>Denver</v>
          </cell>
          <cell r="B220">
            <v>0.36918564567312445</v>
          </cell>
          <cell r="C220">
            <v>-1.257884081249778</v>
          </cell>
          <cell r="D220">
            <v>214</v>
          </cell>
          <cell r="E220">
            <v>-1.2172073380767052</v>
          </cell>
          <cell r="F220">
            <v>218</v>
          </cell>
          <cell r="G220">
            <v>-0.22642235523872406</v>
          </cell>
        </row>
        <row r="221">
          <cell r="A221" t="str">
            <v>Detroit</v>
          </cell>
          <cell r="B221">
            <v>3.0738830602115068</v>
          </cell>
          <cell r="C221">
            <v>-1.3805295508682565</v>
          </cell>
          <cell r="D221">
            <v>218</v>
          </cell>
          <cell r="E221">
            <v>-1.2691692355912623</v>
          </cell>
          <cell r="F221">
            <v>219</v>
          </cell>
          <cell r="G221">
            <v>-0.23191288979967684</v>
          </cell>
        </row>
        <row r="222">
          <cell r="A222" t="str">
            <v>Cal Poly</v>
          </cell>
          <cell r="B222">
            <v>7.8024418664198771</v>
          </cell>
          <cell r="C222">
            <v>-1.5895478732574158</v>
          </cell>
          <cell r="D222">
            <v>221</v>
          </cell>
          <cell r="E222">
            <v>-1.3547481297654831</v>
          </cell>
          <cell r="F222">
            <v>220</v>
          </cell>
          <cell r="G222">
            <v>-0.24095555180061787</v>
          </cell>
        </row>
        <row r="223">
          <cell r="A223" t="str">
            <v>Pennsylvania</v>
          </cell>
          <cell r="B223">
            <v>5.1621152313096248</v>
          </cell>
          <cell r="C223">
            <v>-1.536530269988956</v>
          </cell>
          <cell r="D223">
            <v>220</v>
          </cell>
          <cell r="E223">
            <v>-1.3690641324564914</v>
          </cell>
          <cell r="F223">
            <v>221</v>
          </cell>
          <cell r="G223">
            <v>-0.24246824689662841</v>
          </cell>
        </row>
        <row r="224">
          <cell r="A224" t="str">
            <v>Purdue Fort Wayne</v>
          </cell>
          <cell r="B224">
            <v>7.7812777392935741</v>
          </cell>
          <cell r="C224">
            <v>-1.6263224335171944</v>
          </cell>
          <cell r="D224">
            <v>222</v>
          </cell>
          <cell r="E224">
            <v>-1.3911324291969249</v>
          </cell>
          <cell r="F224">
            <v>222</v>
          </cell>
          <cell r="G224">
            <v>-0.24480008525801172</v>
          </cell>
        </row>
        <row r="225">
          <cell r="A225" t="str">
            <v>Elon</v>
          </cell>
          <cell r="B225">
            <v>6.6277636094692962</v>
          </cell>
          <cell r="C225">
            <v>-1.670940311999987</v>
          </cell>
          <cell r="D225">
            <v>223</v>
          </cell>
          <cell r="E225">
            <v>-1.4634727139632548</v>
          </cell>
          <cell r="F225">
            <v>223</v>
          </cell>
          <cell r="G225">
            <v>-0.25244389452320309</v>
          </cell>
        </row>
        <row r="226">
          <cell r="A226" t="str">
            <v>Georgia Tech</v>
          </cell>
          <cell r="B226">
            <v>14.526399974517997</v>
          </cell>
          <cell r="C226">
            <v>-1.9419091209153614</v>
          </cell>
          <cell r="D226">
            <v>225</v>
          </cell>
          <cell r="E226">
            <v>-1.5302013935295271</v>
          </cell>
          <cell r="F226">
            <v>224</v>
          </cell>
          <cell r="G226">
            <v>-0.25949475561353802</v>
          </cell>
        </row>
        <row r="227">
          <cell r="A227" t="str">
            <v>UT Martin</v>
          </cell>
          <cell r="B227">
            <v>1.4009433721796851</v>
          </cell>
          <cell r="C227">
            <v>-1.6888930265691264</v>
          </cell>
          <cell r="D227">
            <v>224</v>
          </cell>
          <cell r="E227">
            <v>-1.611647116600406</v>
          </cell>
          <cell r="F227">
            <v>225</v>
          </cell>
          <cell r="G227">
            <v>-0.26810068762818717</v>
          </cell>
        </row>
        <row r="228">
          <cell r="A228" t="str">
            <v>La Salle</v>
          </cell>
          <cell r="B228">
            <v>4.492068858636137</v>
          </cell>
          <cell r="C228">
            <v>-2.0596494720447138</v>
          </cell>
          <cell r="D228">
            <v>227</v>
          </cell>
          <cell r="E228">
            <v>-1.8958565137776926</v>
          </cell>
          <cell r="F228">
            <v>226</v>
          </cell>
          <cell r="G228">
            <v>-0.29813156779980293</v>
          </cell>
        </row>
        <row r="229">
          <cell r="A229" t="str">
            <v>Long Beach State</v>
          </cell>
          <cell r="B229">
            <v>1.2208684660189704</v>
          </cell>
          <cell r="C229">
            <v>-1.9815671685983323</v>
          </cell>
          <cell r="D229">
            <v>226</v>
          </cell>
          <cell r="E229">
            <v>-1.9015062777328995</v>
          </cell>
          <cell r="F229">
            <v>227</v>
          </cell>
          <cell r="G229">
            <v>-0.29872854800531978</v>
          </cell>
        </row>
        <row r="230">
          <cell r="A230" t="str">
            <v>Eastern Michigan</v>
          </cell>
          <cell r="B230">
            <v>3.6803978199142771</v>
          </cell>
          <cell r="C230">
            <v>-2.1355926521082282</v>
          </cell>
          <cell r="D230">
            <v>228</v>
          </cell>
          <cell r="E230">
            <v>-1.9901928903076658</v>
          </cell>
          <cell r="F230">
            <v>228</v>
          </cell>
          <cell r="G230">
            <v>-0.30809958591437936</v>
          </cell>
        </row>
        <row r="231">
          <cell r="A231" t="str">
            <v>Wofford</v>
          </cell>
          <cell r="B231">
            <v>8.0631803230915775</v>
          </cell>
          <cell r="C231">
            <v>-2.4670660087755616</v>
          </cell>
          <cell r="D231">
            <v>229</v>
          </cell>
          <cell r="E231">
            <v>-2.2038098504788826</v>
          </cell>
          <cell r="F231">
            <v>229</v>
          </cell>
          <cell r="G231">
            <v>-0.33067134250385255</v>
          </cell>
        </row>
        <row r="232">
          <cell r="A232" t="str">
            <v>North Dakota</v>
          </cell>
          <cell r="B232">
            <v>3.4690131796803656</v>
          </cell>
          <cell r="C232">
            <v>-2.5611235022481851</v>
          </cell>
          <cell r="D232">
            <v>230</v>
          </cell>
          <cell r="E232">
            <v>-2.4103700851999714</v>
          </cell>
          <cell r="F232">
            <v>230</v>
          </cell>
          <cell r="G232">
            <v>-0.35249745282511102</v>
          </cell>
        </row>
        <row r="233">
          <cell r="A233" t="str">
            <v>Green Bay</v>
          </cell>
          <cell r="B233">
            <v>2.6830598195711364</v>
          </cell>
          <cell r="C233">
            <v>-2.6439136672012671</v>
          </cell>
          <cell r="D233">
            <v>231</v>
          </cell>
          <cell r="E233">
            <v>-2.5107393300319569</v>
          </cell>
          <cell r="F233">
            <v>231</v>
          </cell>
          <cell r="G233">
            <v>-0.36310293172342034</v>
          </cell>
        </row>
        <row r="234">
          <cell r="A234" t="str">
            <v>Omaha</v>
          </cell>
          <cell r="B234">
            <v>9.0740641308806893</v>
          </cell>
          <cell r="C234">
            <v>-2.8352748540045498</v>
          </cell>
          <cell r="D234">
            <v>234</v>
          </cell>
          <cell r="E234">
            <v>-2.5375413793824184</v>
          </cell>
          <cell r="F234">
            <v>232</v>
          </cell>
          <cell r="G234">
            <v>-0.36593496029246642</v>
          </cell>
        </row>
        <row r="235">
          <cell r="A235" t="str">
            <v>Chattanooga</v>
          </cell>
          <cell r="B235">
            <v>11.016449731589821</v>
          </cell>
          <cell r="C235">
            <v>-2.8967352032533897</v>
          </cell>
          <cell r="D235">
            <v>235</v>
          </cell>
          <cell r="E235">
            <v>-2.5489055798823093</v>
          </cell>
          <cell r="F235">
            <v>233</v>
          </cell>
          <cell r="G235">
            <v>-0.36713575430859652</v>
          </cell>
        </row>
        <row r="236">
          <cell r="A236" t="str">
            <v>Evansville</v>
          </cell>
          <cell r="B236">
            <v>4.3691824347942907</v>
          </cell>
          <cell r="C236">
            <v>-2.7420800627693245</v>
          </cell>
          <cell r="D236">
            <v>232</v>
          </cell>
          <cell r="E236">
            <v>-2.5642985003302341</v>
          </cell>
          <cell r="F236">
            <v>234</v>
          </cell>
          <cell r="G236">
            <v>-0.36876224151856901</v>
          </cell>
        </row>
        <row r="237">
          <cell r="A237" t="str">
            <v>Queens University</v>
          </cell>
          <cell r="B237">
            <v>6.4572474756565583</v>
          </cell>
          <cell r="C237">
            <v>-2.8023103756473211</v>
          </cell>
          <cell r="D237">
            <v>233</v>
          </cell>
          <cell r="E237">
            <v>-2.5708214293647238</v>
          </cell>
          <cell r="F237">
            <v>235</v>
          </cell>
          <cell r="G237">
            <v>-0.36945148438720127</v>
          </cell>
        </row>
        <row r="238">
          <cell r="A238" t="str">
            <v>Brown</v>
          </cell>
          <cell r="B238">
            <v>9.5482789765623082</v>
          </cell>
          <cell r="C238">
            <v>-2.9361367709394264</v>
          </cell>
          <cell r="D238">
            <v>237</v>
          </cell>
          <cell r="E238">
            <v>-2.6240263772518828</v>
          </cell>
          <cell r="F238">
            <v>236</v>
          </cell>
          <cell r="G238">
            <v>-0.3750733654031187</v>
          </cell>
        </row>
        <row r="239">
          <cell r="A239" t="str">
            <v>Towson</v>
          </cell>
          <cell r="B239">
            <v>9.9522452346244599</v>
          </cell>
          <cell r="C239">
            <v>-2.9989144715455516</v>
          </cell>
          <cell r="D239">
            <v>238</v>
          </cell>
          <cell r="E239">
            <v>-2.6751354788913009</v>
          </cell>
          <cell r="F239">
            <v>237</v>
          </cell>
          <cell r="G239">
            <v>-0.38047378960533068</v>
          </cell>
        </row>
        <row r="240">
          <cell r="A240" t="str">
            <v>Tulane</v>
          </cell>
          <cell r="B240">
            <v>9.7375892223179346</v>
          </cell>
          <cell r="C240">
            <v>-3.0082822623224637</v>
          </cell>
          <cell r="D240">
            <v>239</v>
          </cell>
          <cell r="E240">
            <v>-2.6896354752064533</v>
          </cell>
          <cell r="F240">
            <v>238</v>
          </cell>
          <cell r="G240">
            <v>-0.38200592631915503</v>
          </cell>
        </row>
        <row r="241">
          <cell r="A241" t="str">
            <v>Lindenwood</v>
          </cell>
          <cell r="B241">
            <v>-1.2050091767509699</v>
          </cell>
          <cell r="C241">
            <v>-2.929639062305708</v>
          </cell>
          <cell r="D241">
            <v>236</v>
          </cell>
          <cell r="E241">
            <v>-2.8865233151668392</v>
          </cell>
          <cell r="F241">
            <v>239</v>
          </cell>
          <cell r="G241">
            <v>-0.40281000664803424</v>
          </cell>
        </row>
        <row r="242">
          <cell r="A242" t="str">
            <v>Milwaukee</v>
          </cell>
          <cell r="B242">
            <v>6.5120857155422751</v>
          </cell>
          <cell r="C242">
            <v>-3.1767221560585375</v>
          </cell>
          <cell r="D242">
            <v>240</v>
          </cell>
          <cell r="E242">
            <v>-2.9345019592685166</v>
          </cell>
          <cell r="F242">
            <v>240</v>
          </cell>
          <cell r="G242">
            <v>-0.40787965221965933</v>
          </cell>
        </row>
        <row r="243">
          <cell r="A243" t="str">
            <v>Monmouth</v>
          </cell>
          <cell r="B243">
            <v>6.6832992405279015</v>
          </cell>
          <cell r="C243">
            <v>-3.3683173180043182</v>
          </cell>
          <cell r="D243">
            <v>241</v>
          </cell>
          <cell r="E243">
            <v>-3.1170269040410123</v>
          </cell>
          <cell r="F243">
            <v>241</v>
          </cell>
          <cell r="G243">
            <v>-0.42716608257429806</v>
          </cell>
        </row>
        <row r="244">
          <cell r="A244" t="str">
            <v>Dartmouth</v>
          </cell>
          <cell r="B244">
            <v>8.6555887772307827</v>
          </cell>
          <cell r="C244">
            <v>-3.458542687534397</v>
          </cell>
          <cell r="D244">
            <v>243</v>
          </cell>
          <cell r="E244">
            <v>-3.1556894009152674</v>
          </cell>
          <cell r="F244">
            <v>242</v>
          </cell>
          <cell r="G244">
            <v>-0.43125134091655459</v>
          </cell>
        </row>
        <row r="245">
          <cell r="A245" t="str">
            <v>Charleston Southern</v>
          </cell>
          <cell r="B245">
            <v>4.1236566887513826</v>
          </cell>
          <cell r="C245">
            <v>-3.45409942324416</v>
          </cell>
          <cell r="D245">
            <v>242</v>
          </cell>
          <cell r="E245">
            <v>-3.2646555204442715</v>
          </cell>
          <cell r="F245">
            <v>243</v>
          </cell>
          <cell r="G245">
            <v>-0.44276520538001646</v>
          </cell>
        </row>
        <row r="246">
          <cell r="A246" t="str">
            <v>Central Michigan</v>
          </cell>
          <cell r="B246">
            <v>2.7315809547352998</v>
          </cell>
          <cell r="C246">
            <v>-3.5502044142712412</v>
          </cell>
          <cell r="D246">
            <v>244</v>
          </cell>
          <cell r="E246">
            <v>-3.3931597800460778</v>
          </cell>
          <cell r="F246">
            <v>244</v>
          </cell>
          <cell r="G246">
            <v>-0.45634356014228628</v>
          </cell>
        </row>
        <row r="247">
          <cell r="A247" t="str">
            <v>Harvard</v>
          </cell>
          <cell r="B247">
            <v>5.4378845535956453</v>
          </cell>
          <cell r="C247">
            <v>-3.6927802724301357</v>
          </cell>
          <cell r="D247">
            <v>246</v>
          </cell>
          <cell r="E247">
            <v>-3.464513651779491</v>
          </cell>
          <cell r="F247">
            <v>245</v>
          </cell>
          <cell r="G247">
            <v>-0.46388314044149181</v>
          </cell>
        </row>
        <row r="248">
          <cell r="A248" t="str">
            <v>Appalachian State</v>
          </cell>
          <cell r="B248">
            <v>4.5618817241180807</v>
          </cell>
          <cell r="C248">
            <v>-3.6924876058728282</v>
          </cell>
          <cell r="D248">
            <v>245</v>
          </cell>
          <cell r="E248">
            <v>-3.4861283726230554</v>
          </cell>
          <cell r="F248">
            <v>246</v>
          </cell>
          <cell r="G248">
            <v>-0.46616705187455088</v>
          </cell>
        </row>
        <row r="249">
          <cell r="A249" t="str">
            <v>South Alabama</v>
          </cell>
          <cell r="B249">
            <v>6.7567986142480976</v>
          </cell>
          <cell r="C249">
            <v>-3.8354820960312828</v>
          </cell>
          <cell r="D249">
            <v>250</v>
          </cell>
          <cell r="E249">
            <v>-3.5706750782742978</v>
          </cell>
          <cell r="F249">
            <v>247</v>
          </cell>
          <cell r="G249">
            <v>-0.47510064805938601</v>
          </cell>
        </row>
        <row r="250">
          <cell r="A250" t="str">
            <v>South Carolina Upstate</v>
          </cell>
          <cell r="B250">
            <v>0.78178503883038497</v>
          </cell>
          <cell r="C250">
            <v>-3.7474664238205522</v>
          </cell>
          <cell r="D250">
            <v>247</v>
          </cell>
          <cell r="E250">
            <v>-3.6342351372542789</v>
          </cell>
          <cell r="F250">
            <v>248</v>
          </cell>
          <cell r="G250">
            <v>-0.48181669803481308</v>
          </cell>
        </row>
        <row r="251">
          <cell r="A251" t="str">
            <v>Stony Brook</v>
          </cell>
          <cell r="B251">
            <v>2.9610672296415865</v>
          </cell>
          <cell r="C251">
            <v>-3.8145590559861118</v>
          </cell>
          <cell r="D251">
            <v>248</v>
          </cell>
          <cell r="E251">
            <v>-3.6451683988454189</v>
          </cell>
          <cell r="F251">
            <v>249</v>
          </cell>
          <cell r="G251">
            <v>-0.482971957051543</v>
          </cell>
        </row>
        <row r="252">
          <cell r="A252" t="str">
            <v>UC Riverside</v>
          </cell>
          <cell r="B252">
            <v>4.4307067015422144</v>
          </cell>
          <cell r="C252">
            <v>-3.8831220707920386</v>
          </cell>
          <cell r="D252">
            <v>251</v>
          </cell>
          <cell r="E252">
            <v>-3.6752763514836819</v>
          </cell>
          <cell r="F252">
            <v>250</v>
          </cell>
          <cell r="G252">
            <v>-0.48615330266105627</v>
          </cell>
        </row>
        <row r="253">
          <cell r="A253" t="str">
            <v>Presbyterian</v>
          </cell>
          <cell r="B253">
            <v>6.7546360380526451</v>
          </cell>
          <cell r="C253">
            <v>-4.0128912398060326</v>
          </cell>
          <cell r="D253">
            <v>253</v>
          </cell>
          <cell r="E253">
            <v>-3.7437030578595651</v>
          </cell>
          <cell r="F253">
            <v>251</v>
          </cell>
          <cell r="G253">
            <v>-0.49338358512223274</v>
          </cell>
        </row>
        <row r="254">
          <cell r="A254" t="str">
            <v>Western Michigan</v>
          </cell>
          <cell r="B254">
            <v>2.3269731455630396</v>
          </cell>
          <cell r="C254">
            <v>-3.9019067826246436</v>
          </cell>
          <cell r="D254">
            <v>252</v>
          </cell>
          <cell r="E254">
            <v>-3.7461847844199512</v>
          </cell>
          <cell r="F254">
            <v>252</v>
          </cell>
          <cell r="G254">
            <v>-0.49364581583555145</v>
          </cell>
        </row>
        <row r="255">
          <cell r="A255" t="str">
            <v>Florida Gulf Coast</v>
          </cell>
          <cell r="B255">
            <v>9.6741628903046966</v>
          </cell>
          <cell r="C255">
            <v>-4.1338511988246056</v>
          </cell>
          <cell r="D255">
            <v>255</v>
          </cell>
          <cell r="E255">
            <v>-3.7886508465963731</v>
          </cell>
          <cell r="F255">
            <v>253</v>
          </cell>
          <cell r="G255">
            <v>-0.49813297648979604</v>
          </cell>
        </row>
        <row r="256">
          <cell r="A256" t="str">
            <v>Morehead State</v>
          </cell>
          <cell r="B256">
            <v>-3.065989073727394</v>
          </cell>
          <cell r="C256">
            <v>-3.8155766163076925</v>
          </cell>
          <cell r="D256">
            <v>249</v>
          </cell>
          <cell r="E256">
            <v>-3.7968369277431853</v>
          </cell>
          <cell r="F256">
            <v>254</v>
          </cell>
          <cell r="G256">
            <v>-0.49899795570736105</v>
          </cell>
        </row>
        <row r="257">
          <cell r="A257" t="str">
            <v>Oral Roberts</v>
          </cell>
          <cell r="B257">
            <v>-2.1033887741303108</v>
          </cell>
          <cell r="C257">
            <v>-4.0397496422866404</v>
          </cell>
          <cell r="D257">
            <v>254</v>
          </cell>
          <cell r="E257">
            <v>-3.991340620582732</v>
          </cell>
          <cell r="F257">
            <v>255</v>
          </cell>
          <cell r="G257">
            <v>-0.51955011601808276</v>
          </cell>
        </row>
        <row r="258">
          <cell r="A258" t="str">
            <v>UNC Greensboro</v>
          </cell>
          <cell r="B258">
            <v>4.4980816898088696</v>
          </cell>
          <cell r="C258">
            <v>-4.3116719180919745</v>
          </cell>
          <cell r="D258">
            <v>256</v>
          </cell>
          <cell r="E258">
            <v>-4.0914280778944532</v>
          </cell>
          <cell r="F258">
            <v>256</v>
          </cell>
          <cell r="G258">
            <v>-0.53012581994294306</v>
          </cell>
        </row>
        <row r="259">
          <cell r="A259" t="str">
            <v>Longwood</v>
          </cell>
          <cell r="B259">
            <v>5.3803672043579747</v>
          </cell>
          <cell r="C259">
            <v>-4.3838129864977571</v>
          </cell>
          <cell r="D259">
            <v>257</v>
          </cell>
          <cell r="E259">
            <v>-4.1397084817263634</v>
          </cell>
          <cell r="F259">
            <v>257</v>
          </cell>
          <cell r="G259">
            <v>-0.53522735084414996</v>
          </cell>
        </row>
        <row r="260">
          <cell r="A260" t="str">
            <v>Eastern Kentucky</v>
          </cell>
          <cell r="B260">
            <v>6.5461546417398955</v>
          </cell>
          <cell r="C260">
            <v>-4.5800769126352279</v>
          </cell>
          <cell r="D260">
            <v>259</v>
          </cell>
          <cell r="E260">
            <v>-4.3019211237758492</v>
          </cell>
          <cell r="F260">
            <v>258</v>
          </cell>
          <cell r="G260">
            <v>-0.55236748929168544</v>
          </cell>
        </row>
        <row r="261">
          <cell r="A261" t="str">
            <v>SIU Edwardsville</v>
          </cell>
          <cell r="B261">
            <v>4.7016091695836062</v>
          </cell>
          <cell r="C261">
            <v>-4.5689405688979594</v>
          </cell>
          <cell r="D261">
            <v>258</v>
          </cell>
          <cell r="E261">
            <v>-4.33717682543592</v>
          </cell>
          <cell r="F261">
            <v>259</v>
          </cell>
          <cell r="G261">
            <v>-0.55609276988562506</v>
          </cell>
        </row>
        <row r="262">
          <cell r="A262" t="str">
            <v>James Madison</v>
          </cell>
          <cell r="B262">
            <v>8.8451157148218069</v>
          </cell>
          <cell r="C262">
            <v>-4.725362977415454</v>
          </cell>
          <cell r="D262">
            <v>262</v>
          </cell>
          <cell r="E262">
            <v>-4.3861010101095221</v>
          </cell>
          <cell r="F262">
            <v>260</v>
          </cell>
          <cell r="G262">
            <v>-0.56126232564985779</v>
          </cell>
        </row>
        <row r="263">
          <cell r="A263" t="str">
            <v>Bellarmine</v>
          </cell>
          <cell r="B263">
            <v>3.9185400106471415</v>
          </cell>
          <cell r="C263">
            <v>-4.6056350890085032</v>
          </cell>
          <cell r="D263">
            <v>260</v>
          </cell>
          <cell r="E263">
            <v>-4.3925307115171117</v>
          </cell>
          <cell r="F263">
            <v>261</v>
          </cell>
          <cell r="G263">
            <v>-0.56194171765599243</v>
          </cell>
        </row>
        <row r="264">
          <cell r="A264" t="str">
            <v>East Texas A&amp;M</v>
          </cell>
          <cell r="B264">
            <v>4.8856332906904045</v>
          </cell>
          <cell r="C264">
            <v>-4.7692638933983842</v>
          </cell>
          <cell r="D264">
            <v>263</v>
          </cell>
          <cell r="E264">
            <v>-4.5278914637961645</v>
          </cell>
          <cell r="F264">
            <v>262</v>
          </cell>
          <cell r="G264">
            <v>-0.57624456116505585</v>
          </cell>
        </row>
        <row r="265">
          <cell r="A265" t="str">
            <v>Northwestern State</v>
          </cell>
          <cell r="B265">
            <v>-0.82523048766766471</v>
          </cell>
          <cell r="C265">
            <v>-4.649732327516749</v>
          </cell>
          <cell r="D265">
            <v>261</v>
          </cell>
          <cell r="E265">
            <v>-4.5541197815205221</v>
          </cell>
          <cell r="F265">
            <v>263</v>
          </cell>
          <cell r="G265">
            <v>-0.57901596659536936</v>
          </cell>
        </row>
        <row r="266">
          <cell r="A266" t="str">
            <v>Hampton</v>
          </cell>
          <cell r="B266">
            <v>5.2323842532796263</v>
          </cell>
          <cell r="C266">
            <v>-4.9215077370955687</v>
          </cell>
          <cell r="D266">
            <v>264</v>
          </cell>
          <cell r="E266">
            <v>-4.6676604373361883</v>
          </cell>
          <cell r="F266">
            <v>264</v>
          </cell>
          <cell r="G266">
            <v>-0.59101319773294492</v>
          </cell>
        </row>
        <row r="267">
          <cell r="A267" t="str">
            <v>East Carolina</v>
          </cell>
          <cell r="B267">
            <v>6.4240099894635714</v>
          </cell>
          <cell r="C267">
            <v>-5.0477019432466639</v>
          </cell>
          <cell r="D267">
            <v>266</v>
          </cell>
          <cell r="E267">
            <v>-4.7609091449289078</v>
          </cell>
          <cell r="F267">
            <v>265</v>
          </cell>
          <cell r="G267">
            <v>-0.60086628771409067</v>
          </cell>
        </row>
        <row r="268">
          <cell r="A268" t="str">
            <v>South Dakota</v>
          </cell>
          <cell r="B268">
            <v>4.4454792532084602</v>
          </cell>
          <cell r="C268">
            <v>-5.0222435417874056</v>
          </cell>
          <cell r="D268">
            <v>265</v>
          </cell>
          <cell r="E268">
            <v>-4.7855504719125088</v>
          </cell>
          <cell r="F268">
            <v>266</v>
          </cell>
          <cell r="G268">
            <v>-0.603470004358451</v>
          </cell>
        </row>
        <row r="269">
          <cell r="A269" t="str">
            <v>IU Indianapolis</v>
          </cell>
          <cell r="B269">
            <v>-0.74560873374708347</v>
          </cell>
          <cell r="C269">
            <v>-5.0515436968817777</v>
          </cell>
          <cell r="D269">
            <v>267</v>
          </cell>
          <cell r="E269">
            <v>-4.9438953228034102</v>
          </cell>
          <cell r="F269">
            <v>267</v>
          </cell>
          <cell r="G269">
            <v>-0.6202014540927846</v>
          </cell>
        </row>
        <row r="270">
          <cell r="A270" t="str">
            <v>Princeton</v>
          </cell>
          <cell r="B270">
            <v>8.2694461687289547</v>
          </cell>
          <cell r="C270">
            <v>-5.3305659351882131</v>
          </cell>
          <cell r="D270">
            <v>271</v>
          </cell>
          <cell r="E270">
            <v>-4.9905656325902834</v>
          </cell>
          <cell r="F270">
            <v>268</v>
          </cell>
          <cell r="G270">
            <v>-0.62513285500599047</v>
          </cell>
        </row>
        <row r="271">
          <cell r="A271" t="str">
            <v>Drexel</v>
          </cell>
          <cell r="B271">
            <v>8.5961475241484617</v>
          </cell>
          <cell r="C271">
            <v>-5.3395683312349229</v>
          </cell>
          <cell r="D271">
            <v>272</v>
          </cell>
          <cell r="E271">
            <v>-4.9911754348503381</v>
          </cell>
          <cell r="F271">
            <v>269</v>
          </cell>
          <cell r="G271">
            <v>-0.62519728953483422</v>
          </cell>
        </row>
        <row r="272">
          <cell r="A272" t="str">
            <v>Georgia Southern</v>
          </cell>
          <cell r="B272">
            <v>6.2416733937474866</v>
          </cell>
          <cell r="C272">
            <v>-5.2816948418070258</v>
          </cell>
          <cell r="D272">
            <v>270</v>
          </cell>
          <cell r="E272">
            <v>-4.993610635918162</v>
          </cell>
          <cell r="F272">
            <v>270</v>
          </cell>
          <cell r="G272">
            <v>-0.62545460414929788</v>
          </cell>
        </row>
        <row r="273">
          <cell r="A273" t="str">
            <v>Ball State</v>
          </cell>
          <cell r="B273">
            <v>3.6347613551576479</v>
          </cell>
          <cell r="C273">
            <v>-5.2584479742201111</v>
          </cell>
          <cell r="D273">
            <v>269</v>
          </cell>
          <cell r="E273">
            <v>-5.0361177409856674</v>
          </cell>
          <cell r="F273">
            <v>271</v>
          </cell>
          <cell r="G273">
            <v>-0.62994610158535291</v>
          </cell>
        </row>
        <row r="274">
          <cell r="A274" t="str">
            <v>Old Dominion</v>
          </cell>
          <cell r="B274">
            <v>1.8325836044662163</v>
          </cell>
          <cell r="C274">
            <v>-5.3415464350017583</v>
          </cell>
          <cell r="D274">
            <v>273</v>
          </cell>
          <cell r="E274">
            <v>-5.1621931840150586</v>
          </cell>
          <cell r="F274">
            <v>272</v>
          </cell>
          <cell r="G274">
            <v>-0.64326781634849017</v>
          </cell>
        </row>
        <row r="275">
          <cell r="A275" t="str">
            <v>Southern Miss</v>
          </cell>
          <cell r="B275">
            <v>-4.4342206108279685</v>
          </cell>
          <cell r="C275">
            <v>-5.2018894487697596</v>
          </cell>
          <cell r="D275">
            <v>268</v>
          </cell>
          <cell r="E275">
            <v>-5.1826977278212141</v>
          </cell>
          <cell r="F275">
            <v>273</v>
          </cell>
          <cell r="G275">
            <v>-0.64543442133809292</v>
          </cell>
        </row>
        <row r="276">
          <cell r="A276" t="str">
            <v>Texas State</v>
          </cell>
          <cell r="B276">
            <v>5.4098942948285957</v>
          </cell>
          <cell r="C276">
            <v>-5.4823719821197301</v>
          </cell>
          <cell r="D276">
            <v>274</v>
          </cell>
          <cell r="E276">
            <v>-5.2100653251960214</v>
          </cell>
          <cell r="F276">
            <v>274</v>
          </cell>
          <cell r="G276">
            <v>-0.64832620832863774</v>
          </cell>
        </row>
        <row r="277">
          <cell r="A277" t="str">
            <v>Long Island University</v>
          </cell>
          <cell r="B277">
            <v>3.698218370419375</v>
          </cell>
          <cell r="C277">
            <v>-5.6509632427256671</v>
          </cell>
          <cell r="D277">
            <v>275</v>
          </cell>
          <cell r="E277">
            <v>-5.4172337023970414</v>
          </cell>
          <cell r="F277">
            <v>275</v>
          </cell>
          <cell r="G277">
            <v>-0.67021657779869104</v>
          </cell>
        </row>
        <row r="278">
          <cell r="A278" t="str">
            <v>North Carolina A&amp;T</v>
          </cell>
          <cell r="B278">
            <v>0.91757829662251011</v>
          </cell>
          <cell r="C278">
            <v>-5.6633704989922435</v>
          </cell>
          <cell r="D278">
            <v>276</v>
          </cell>
          <cell r="E278">
            <v>-5.4988467791018749</v>
          </cell>
          <cell r="F278">
            <v>276</v>
          </cell>
          <cell r="G278">
            <v>-0.67884019317278399</v>
          </cell>
        </row>
        <row r="279">
          <cell r="A279" t="str">
            <v>Loyola Chicago</v>
          </cell>
          <cell r="B279">
            <v>15.024806730033681</v>
          </cell>
          <cell r="C279">
            <v>-6.0529636111509699</v>
          </cell>
          <cell r="D279">
            <v>282</v>
          </cell>
          <cell r="E279">
            <v>-5.5260193526213532</v>
          </cell>
          <cell r="F279">
            <v>277</v>
          </cell>
          <cell r="G279">
            <v>-0.68171137304024221</v>
          </cell>
        </row>
        <row r="280">
          <cell r="A280" t="str">
            <v>Navy</v>
          </cell>
          <cell r="B280">
            <v>7.3002255705591983</v>
          </cell>
          <cell r="C280">
            <v>-5.8759314368358115</v>
          </cell>
          <cell r="D280">
            <v>280</v>
          </cell>
          <cell r="E280">
            <v>-5.546527511650936</v>
          </cell>
          <cell r="F280">
            <v>278</v>
          </cell>
          <cell r="G280">
            <v>-0.68387836003108282</v>
          </cell>
        </row>
        <row r="281">
          <cell r="A281" t="str">
            <v>Delaware</v>
          </cell>
          <cell r="B281">
            <v>5.7926239410891469</v>
          </cell>
          <cell r="C281">
            <v>-5.8429579983404363</v>
          </cell>
          <cell r="D281">
            <v>279</v>
          </cell>
          <cell r="E281">
            <v>-5.5520684498546959</v>
          </cell>
          <cell r="F281">
            <v>279</v>
          </cell>
          <cell r="G281">
            <v>-0.68446384120407744</v>
          </cell>
        </row>
        <row r="282">
          <cell r="A282" t="str">
            <v>Houston Christian</v>
          </cell>
          <cell r="B282">
            <v>1.8325836044662163</v>
          </cell>
          <cell r="C282">
            <v>-5.8049859899356466</v>
          </cell>
          <cell r="D282">
            <v>278</v>
          </cell>
          <cell r="E282">
            <v>-5.6140467500755999</v>
          </cell>
          <cell r="F282">
            <v>280</v>
          </cell>
          <cell r="G282">
            <v>-0.69101275522894812</v>
          </cell>
        </row>
        <row r="283">
          <cell r="A283" t="str">
            <v>Eastern Illinois</v>
          </cell>
          <cell r="B283">
            <v>-2.2167706150566584</v>
          </cell>
          <cell r="C283">
            <v>-5.7740287473813101</v>
          </cell>
          <cell r="D283">
            <v>277</v>
          </cell>
          <cell r="E283">
            <v>-5.6850972940731941</v>
          </cell>
          <cell r="F283">
            <v>281</v>
          </cell>
          <cell r="G283">
            <v>-0.69852028451584536</v>
          </cell>
        </row>
        <row r="284">
          <cell r="A284" t="str">
            <v>Coastal Carolina</v>
          </cell>
          <cell r="B284">
            <v>0.85877308709267797</v>
          </cell>
          <cell r="C284">
            <v>-5.9139609372475892</v>
          </cell>
          <cell r="D284">
            <v>281</v>
          </cell>
          <cell r="E284">
            <v>-5.744642586639082</v>
          </cell>
          <cell r="F284">
            <v>282</v>
          </cell>
          <cell r="G284">
            <v>-0.70481211569240043</v>
          </cell>
        </row>
        <row r="285">
          <cell r="A285" t="str">
            <v>Jacksonville</v>
          </cell>
          <cell r="B285">
            <v>5.9439659336500501</v>
          </cell>
          <cell r="C285">
            <v>-6.3387159675042888</v>
          </cell>
          <cell r="D285">
            <v>285</v>
          </cell>
          <cell r="E285">
            <v>-6.0316489199754306</v>
          </cell>
          <cell r="F285">
            <v>283</v>
          </cell>
          <cell r="G285">
            <v>-0.73513853308225963</v>
          </cell>
        </row>
        <row r="286">
          <cell r="A286" t="str">
            <v>Tennessee Tech</v>
          </cell>
          <cell r="B286">
            <v>0.86894268247047002</v>
          </cell>
          <cell r="C286">
            <v>-6.2325050811826799</v>
          </cell>
          <cell r="D286">
            <v>284</v>
          </cell>
          <cell r="E286">
            <v>-6.0549688870913512</v>
          </cell>
          <cell r="F286">
            <v>284</v>
          </cell>
          <cell r="G286">
            <v>-0.73760262872800419</v>
          </cell>
        </row>
        <row r="287">
          <cell r="A287" t="str">
            <v>Northern Illinois</v>
          </cell>
          <cell r="B287">
            <v>-3.0895367418586686</v>
          </cell>
          <cell r="C287">
            <v>-6.1402361385980546</v>
          </cell>
          <cell r="D287">
            <v>283</v>
          </cell>
          <cell r="E287">
            <v>-6.0639686536795701</v>
          </cell>
          <cell r="F287">
            <v>285</v>
          </cell>
          <cell r="G287">
            <v>-0.73855358571488638</v>
          </cell>
        </row>
        <row r="288">
          <cell r="A288" t="str">
            <v>Colgate</v>
          </cell>
          <cell r="B288">
            <v>8.5784130605395497</v>
          </cell>
          <cell r="C288">
            <v>-6.4521605566591038</v>
          </cell>
          <cell r="D288">
            <v>289</v>
          </cell>
          <cell r="E288">
            <v>-6.0763962162291367</v>
          </cell>
          <cell r="F288">
            <v>286</v>
          </cell>
          <cell r="G288">
            <v>-0.73986673948621817</v>
          </cell>
        </row>
        <row r="289">
          <cell r="A289" t="str">
            <v>American University</v>
          </cell>
          <cell r="B289">
            <v>4.8701876704307425</v>
          </cell>
          <cell r="C289">
            <v>-6.4074295362873128</v>
          </cell>
          <cell r="D289">
            <v>287</v>
          </cell>
          <cell r="E289">
            <v>-6.1254891061193613</v>
          </cell>
          <cell r="F289">
            <v>287</v>
          </cell>
          <cell r="G289">
            <v>-0.74505412142437411</v>
          </cell>
        </row>
        <row r="290">
          <cell r="A290" t="str">
            <v>Little Rock</v>
          </cell>
          <cell r="B290">
            <v>3.6928467732351073</v>
          </cell>
          <cell r="C290">
            <v>-6.3806600516587002</v>
          </cell>
          <cell r="D290">
            <v>286</v>
          </cell>
          <cell r="E290">
            <v>-6.1288223810363549</v>
          </cell>
          <cell r="F290">
            <v>288</v>
          </cell>
          <cell r="G290">
            <v>-0.74540633067785234</v>
          </cell>
        </row>
        <row r="291">
          <cell r="A291" t="str">
            <v>Cleveland State</v>
          </cell>
          <cell r="B291">
            <v>3.552663213005014</v>
          </cell>
          <cell r="C291">
            <v>-6.4447526276891951</v>
          </cell>
          <cell r="D291">
            <v>288</v>
          </cell>
          <cell r="E291">
            <v>-6.1948172316718395</v>
          </cell>
          <cell r="F291">
            <v>289</v>
          </cell>
          <cell r="G291">
            <v>-0.75237965200734247</v>
          </cell>
        </row>
        <row r="292">
          <cell r="A292" t="str">
            <v>Southern</v>
          </cell>
          <cell r="B292">
            <v>6.1234177691279479</v>
          </cell>
          <cell r="C292">
            <v>-6.8894457972736376</v>
          </cell>
          <cell r="D292">
            <v>290</v>
          </cell>
          <cell r="E292">
            <v>-6.5641242081135971</v>
          </cell>
          <cell r="F292">
            <v>290</v>
          </cell>
          <cell r="G292">
            <v>-0.79140233621910316</v>
          </cell>
        </row>
        <row r="293">
          <cell r="A293" t="str">
            <v>CSU Bakersfield</v>
          </cell>
          <cell r="B293">
            <v>2.5410484218929725</v>
          </cell>
          <cell r="C293">
            <v>-7.0185027020013333</v>
          </cell>
          <cell r="D293">
            <v>291</v>
          </cell>
          <cell r="E293">
            <v>-6.7795139239039761</v>
          </cell>
          <cell r="F293">
            <v>291</v>
          </cell>
          <cell r="G293">
            <v>-0.81416141037126555</v>
          </cell>
        </row>
        <row r="294">
          <cell r="A294" t="str">
            <v>SE Louisiana</v>
          </cell>
          <cell r="B294">
            <v>4.51471306531253</v>
          </cell>
          <cell r="C294">
            <v>-7.1096624237631278</v>
          </cell>
          <cell r="D294">
            <v>292</v>
          </cell>
          <cell r="E294">
            <v>-6.8190530365362365</v>
          </cell>
          <cell r="F294">
            <v>292</v>
          </cell>
          <cell r="G294">
            <v>-0.81833929599132038</v>
          </cell>
        </row>
        <row r="295">
          <cell r="A295" t="str">
            <v>Howard</v>
          </cell>
          <cell r="B295">
            <v>1.29155653018701</v>
          </cell>
          <cell r="C295">
            <v>-7.248778559661825</v>
          </cell>
          <cell r="D295">
            <v>293</v>
          </cell>
          <cell r="E295">
            <v>-7.0352701824156041</v>
          </cell>
          <cell r="F295">
            <v>293</v>
          </cell>
          <cell r="G295">
            <v>-0.84118580023587097</v>
          </cell>
        </row>
        <row r="296">
          <cell r="A296" t="str">
            <v>Northeastern</v>
          </cell>
          <cell r="B296">
            <v>6.431044722121281</v>
          </cell>
          <cell r="C296">
            <v>-7.4762991702357358</v>
          </cell>
          <cell r="D296">
            <v>294</v>
          </cell>
          <cell r="E296">
            <v>-7.1286155729268099</v>
          </cell>
          <cell r="F296">
            <v>294</v>
          </cell>
          <cell r="G296">
            <v>-0.85104910618161378</v>
          </cell>
        </row>
        <row r="297">
          <cell r="A297" t="str">
            <v>The Citadel</v>
          </cell>
          <cell r="B297">
            <v>-4.3037084260011351</v>
          </cell>
          <cell r="C297">
            <v>-7.9400764622361661</v>
          </cell>
          <cell r="D297">
            <v>295</v>
          </cell>
          <cell r="E297">
            <v>-7.8491672613302903</v>
          </cell>
          <cell r="F297">
            <v>295</v>
          </cell>
          <cell r="G297">
            <v>-0.92718593215152445</v>
          </cell>
        </row>
        <row r="298">
          <cell r="A298" t="str">
            <v>West Georgia</v>
          </cell>
          <cell r="B298">
            <v>1.3899251097547758</v>
          </cell>
          <cell r="C298">
            <v>-8.1471412508896055</v>
          </cell>
          <cell r="D298">
            <v>296</v>
          </cell>
          <cell r="E298">
            <v>-7.9087145918734958</v>
          </cell>
          <cell r="F298">
            <v>296</v>
          </cell>
          <cell r="G298">
            <v>-0.93347797867019433</v>
          </cell>
        </row>
        <row r="299">
          <cell r="A299" t="str">
            <v>Air Force</v>
          </cell>
          <cell r="B299">
            <v>4.2467002733750787</v>
          </cell>
          <cell r="C299">
            <v>-8.3185559186068225</v>
          </cell>
          <cell r="D299">
            <v>297</v>
          </cell>
          <cell r="E299">
            <v>-8.004424513807276</v>
          </cell>
          <cell r="F299">
            <v>297</v>
          </cell>
          <cell r="G299">
            <v>-0.9435911319486382</v>
          </cell>
        </row>
        <row r="300">
          <cell r="A300" t="str">
            <v>UTSA</v>
          </cell>
          <cell r="B300">
            <v>7.437046694316864</v>
          </cell>
          <cell r="C300">
            <v>-8.5504779912623157</v>
          </cell>
          <cell r="D300">
            <v>299</v>
          </cell>
          <cell r="E300">
            <v>-8.150789874122836</v>
          </cell>
          <cell r="F300">
            <v>298</v>
          </cell>
          <cell r="G300">
            <v>-0.95905677327002659</v>
          </cell>
        </row>
        <row r="301">
          <cell r="A301" t="str">
            <v>Le Moyne</v>
          </cell>
          <cell r="B301">
            <v>2.9215894335795198</v>
          </cell>
          <cell r="C301">
            <v>-8.4875580899390783</v>
          </cell>
          <cell r="D301">
            <v>298</v>
          </cell>
          <cell r="E301">
            <v>-8.202329401851113</v>
          </cell>
          <cell r="F301">
            <v>299</v>
          </cell>
          <cell r="G301">
            <v>-0.9645026782847157</v>
          </cell>
        </row>
        <row r="302">
          <cell r="A302" t="str">
            <v>Vermont</v>
          </cell>
          <cell r="B302">
            <v>6.6626892702945142</v>
          </cell>
          <cell r="C302">
            <v>-8.7274117593254523</v>
          </cell>
          <cell r="D302">
            <v>300</v>
          </cell>
          <cell r="E302">
            <v>-8.3426592335849534</v>
          </cell>
          <cell r="F302">
            <v>300</v>
          </cell>
          <cell r="G302">
            <v>-0.97933057772490617</v>
          </cell>
        </row>
        <row r="303">
          <cell r="A303" t="str">
            <v>Albany</v>
          </cell>
          <cell r="B303">
            <v>4.3879801597093353</v>
          </cell>
          <cell r="C303">
            <v>-8.7867135257394651</v>
          </cell>
          <cell r="D303">
            <v>301</v>
          </cell>
          <cell r="E303">
            <v>-8.4573461836032457</v>
          </cell>
          <cell r="F303">
            <v>301</v>
          </cell>
          <cell r="G303">
            <v>-0.99144893161275816</v>
          </cell>
        </row>
        <row r="304">
          <cell r="A304" t="str">
            <v>Norfolk State</v>
          </cell>
          <cell r="B304">
            <v>5.436743031004343</v>
          </cell>
          <cell r="C304">
            <v>-9.2446999108507786</v>
          </cell>
          <cell r="D304">
            <v>303</v>
          </cell>
          <cell r="E304">
            <v>-8.8776638373044001</v>
          </cell>
          <cell r="F304">
            <v>302</v>
          </cell>
          <cell r="G304">
            <v>-1.0358616400512488</v>
          </cell>
        </row>
        <row r="305">
          <cell r="A305" t="str">
            <v>Georgia State</v>
          </cell>
          <cell r="B305">
            <v>4.2236427966317782</v>
          </cell>
          <cell r="C305">
            <v>-9.3124330589906776</v>
          </cell>
          <cell r="D305">
            <v>305</v>
          </cell>
          <cell r="E305">
            <v>-8.9740311626001166</v>
          </cell>
          <cell r="F305">
            <v>303</v>
          </cell>
          <cell r="G305">
            <v>-1.0460442576112499</v>
          </cell>
        </row>
        <row r="306">
          <cell r="A306" t="str">
            <v>Mercyhurst</v>
          </cell>
          <cell r="B306">
            <v>0.12893557395795002</v>
          </cell>
          <cell r="C306">
            <v>-9.2409182354135542</v>
          </cell>
          <cell r="D306">
            <v>302</v>
          </cell>
          <cell r="E306">
            <v>-9.0066718901792679</v>
          </cell>
          <cell r="F306">
            <v>304</v>
          </cell>
          <cell r="G306">
            <v>-1.0494932279422076</v>
          </cell>
        </row>
        <row r="307">
          <cell r="A307" t="str">
            <v>UMBC</v>
          </cell>
          <cell r="B307">
            <v>3.041554422080345</v>
          </cell>
          <cell r="C307">
            <v>-9.3267286971136834</v>
          </cell>
          <cell r="D307">
            <v>306</v>
          </cell>
          <cell r="E307">
            <v>-9.0175216191338325</v>
          </cell>
          <cell r="F307">
            <v>305</v>
          </cell>
          <cell r="G307">
            <v>-1.0506396605139843</v>
          </cell>
        </row>
        <row r="308">
          <cell r="A308" t="str">
            <v>Louisiana</v>
          </cell>
          <cell r="B308">
            <v>1.3462760774168561</v>
          </cell>
          <cell r="C308">
            <v>-9.3052445645293211</v>
          </cell>
          <cell r="D308">
            <v>304</v>
          </cell>
          <cell r="E308">
            <v>-9.038956548480666</v>
          </cell>
          <cell r="F308">
            <v>306</v>
          </cell>
          <cell r="G308">
            <v>-1.0529045743454586</v>
          </cell>
        </row>
        <row r="309">
          <cell r="A309" t="str">
            <v>North Florida</v>
          </cell>
          <cell r="B309">
            <v>2.865313312896669</v>
          </cell>
          <cell r="C309">
            <v>-9.8879901244081605</v>
          </cell>
          <cell r="D309">
            <v>307</v>
          </cell>
          <cell r="E309">
            <v>-9.5691575384755403</v>
          </cell>
          <cell r="F309">
            <v>307</v>
          </cell>
          <cell r="G309">
            <v>-1.108928064615472</v>
          </cell>
        </row>
        <row r="310">
          <cell r="A310" t="str">
            <v>Marist</v>
          </cell>
          <cell r="B310">
            <v>8.0528738547149157</v>
          </cell>
          <cell r="C310">
            <v>-10.356347827192337</v>
          </cell>
          <cell r="D310">
            <v>310</v>
          </cell>
          <cell r="E310">
            <v>-9.8961172851446548</v>
          </cell>
          <cell r="F310">
            <v>308</v>
          </cell>
          <cell r="G310">
            <v>-1.1434761445547046</v>
          </cell>
        </row>
        <row r="311">
          <cell r="A311" t="str">
            <v>VMI</v>
          </cell>
          <cell r="B311">
            <v>2.3097739189960778</v>
          </cell>
          <cell r="C311">
            <v>-10.229398576648363</v>
          </cell>
          <cell r="D311">
            <v>308</v>
          </cell>
          <cell r="E311">
            <v>-9.9159192642572513</v>
          </cell>
          <cell r="F311">
            <v>309</v>
          </cell>
          <cell r="G311">
            <v>-1.1455685133074529</v>
          </cell>
        </row>
        <row r="312">
          <cell r="A312" t="str">
            <v>Boston University</v>
          </cell>
          <cell r="B312">
            <v>7.3510399785875897</v>
          </cell>
          <cell r="C312">
            <v>-10.50358402510926</v>
          </cell>
          <cell r="D312">
            <v>313</v>
          </cell>
          <cell r="E312">
            <v>-10.057218425016838</v>
          </cell>
          <cell r="F312">
            <v>310</v>
          </cell>
          <cell r="G312">
            <v>-1.1604988365383702</v>
          </cell>
        </row>
        <row r="313">
          <cell r="A313" t="str">
            <v>Stetson</v>
          </cell>
          <cell r="B313">
            <v>-0.67774691316149105</v>
          </cell>
          <cell r="C313">
            <v>-10.304329457662616</v>
          </cell>
          <cell r="D313">
            <v>309</v>
          </cell>
          <cell r="E313">
            <v>-10.063664894050087</v>
          </cell>
          <cell r="F313">
            <v>311</v>
          </cell>
          <cell r="G313">
            <v>-1.1611800002894292</v>
          </cell>
        </row>
        <row r="314">
          <cell r="A314" t="str">
            <v>Saint Peter's</v>
          </cell>
          <cell r="B314">
            <v>4.0669347086210985</v>
          </cell>
          <cell r="C314">
            <v>-10.491475434884679</v>
          </cell>
          <cell r="D314">
            <v>312</v>
          </cell>
          <cell r="E314">
            <v>-10.127515181297035</v>
          </cell>
          <cell r="F314">
            <v>312</v>
          </cell>
          <cell r="G314">
            <v>-1.1679267171266641</v>
          </cell>
        </row>
        <row r="315">
          <cell r="A315" t="str">
            <v>Kansas City</v>
          </cell>
          <cell r="B315">
            <v>0.25734278902593138</v>
          </cell>
          <cell r="C315">
            <v>-10.453928093033749</v>
          </cell>
          <cell r="D315">
            <v>311</v>
          </cell>
          <cell r="E315">
            <v>-10.186146320982258</v>
          </cell>
          <cell r="F315">
            <v>313</v>
          </cell>
          <cell r="G315">
            <v>-1.1741219546793262</v>
          </cell>
        </row>
        <row r="316">
          <cell r="A316" t="str">
            <v>Southern Indiana</v>
          </cell>
          <cell r="B316">
            <v>3.1110757061181658</v>
          </cell>
          <cell r="C316">
            <v>-10.621949155910769</v>
          </cell>
          <cell r="D316">
            <v>314</v>
          </cell>
          <cell r="E316">
            <v>-10.278623534360046</v>
          </cell>
          <cell r="F316">
            <v>314</v>
          </cell>
          <cell r="G316">
            <v>-1.1838935250113969</v>
          </cell>
        </row>
        <row r="317">
          <cell r="A317" t="str">
            <v>UMass Lowell</v>
          </cell>
          <cell r="B317">
            <v>2.5368504732789625</v>
          </cell>
          <cell r="C317">
            <v>-10.850752121858978</v>
          </cell>
          <cell r="D317">
            <v>315</v>
          </cell>
          <cell r="E317">
            <v>-10.516062056980529</v>
          </cell>
          <cell r="F317">
            <v>315</v>
          </cell>
          <cell r="G317">
            <v>-1.2089823781308215</v>
          </cell>
        </row>
        <row r="318">
          <cell r="A318" t="str">
            <v>Siena</v>
          </cell>
          <cell r="B318">
            <v>9.4070441913861114</v>
          </cell>
          <cell r="C318">
            <v>-11.079059213212838</v>
          </cell>
          <cell r="D318">
            <v>318</v>
          </cell>
          <cell r="E318">
            <v>-10.566906628097865</v>
          </cell>
          <cell r="F318">
            <v>316</v>
          </cell>
          <cell r="G318">
            <v>-1.2143548508138746</v>
          </cell>
        </row>
        <row r="319">
          <cell r="A319" t="str">
            <v>Quinnipiac</v>
          </cell>
          <cell r="B319">
            <v>5.6548105336735999</v>
          </cell>
          <cell r="C319">
            <v>-11.000281612319446</v>
          </cell>
          <cell r="D319">
            <v>316</v>
          </cell>
          <cell r="E319">
            <v>-10.583904308669618</v>
          </cell>
          <cell r="F319">
            <v>317</v>
          </cell>
          <cell r="G319">
            <v>-1.2161509044050487</v>
          </cell>
        </row>
        <row r="320">
          <cell r="A320" t="str">
            <v>Lehigh Mountain</v>
          </cell>
          <cell r="B320">
            <v>3.6949409526490777</v>
          </cell>
          <cell r="C320">
            <v>-11.13311303679628</v>
          </cell>
          <cell r="D320">
            <v>319</v>
          </cell>
          <cell r="E320">
            <v>-10.762411687060146</v>
          </cell>
          <cell r="F320">
            <v>318</v>
          </cell>
          <cell r="G320">
            <v>-1.2350128201032522</v>
          </cell>
        </row>
        <row r="321">
          <cell r="A321" t="str">
            <v>Prairie View A&amp;M</v>
          </cell>
          <cell r="B321">
            <v>0.35459686654895983</v>
          </cell>
          <cell r="C321">
            <v>-11.048945675519168</v>
          </cell>
          <cell r="D321">
            <v>317</v>
          </cell>
          <cell r="E321">
            <v>-10.763857111967464</v>
          </cell>
          <cell r="F321">
            <v>319</v>
          </cell>
          <cell r="G321">
            <v>-1.2351655503881052</v>
          </cell>
        </row>
        <row r="322">
          <cell r="A322" t="str">
            <v>Central Connecticut</v>
          </cell>
          <cell r="B322">
            <v>6.4606220782581207</v>
          </cell>
          <cell r="C322">
            <v>-11.370875837411395</v>
          </cell>
          <cell r="D322">
            <v>320</v>
          </cell>
          <cell r="E322">
            <v>-10.925088389519656</v>
          </cell>
          <cell r="F322">
            <v>320</v>
          </cell>
          <cell r="G322">
            <v>-1.2522019933212922</v>
          </cell>
        </row>
        <row r="323">
          <cell r="A323" t="str">
            <v>Merrimack</v>
          </cell>
          <cell r="B323">
            <v>7.051953563983175</v>
          </cell>
          <cell r="C323">
            <v>-11.442796141123107</v>
          </cell>
          <cell r="D323">
            <v>321</v>
          </cell>
          <cell r="E323">
            <v>-10.980427398495449</v>
          </cell>
          <cell r="F323">
            <v>321</v>
          </cell>
          <cell r="G323">
            <v>-1.2580493691078549</v>
          </cell>
        </row>
        <row r="324">
          <cell r="A324" t="str">
            <v>North Carolina Central</v>
          </cell>
          <cell r="B324">
            <v>2.8651439119599189</v>
          </cell>
          <cell r="C324">
            <v>-11.5152825887742</v>
          </cell>
          <cell r="D324">
            <v>322</v>
          </cell>
          <cell r="E324">
            <v>-11.155771926255847</v>
          </cell>
          <cell r="F324">
            <v>322</v>
          </cell>
          <cell r="G324">
            <v>-1.2765770833714207</v>
          </cell>
        </row>
        <row r="325">
          <cell r="A325" t="str">
            <v>North Alabama</v>
          </cell>
          <cell r="B325">
            <v>7.6133101191911416</v>
          </cell>
          <cell r="C325">
            <v>-11.641549402404211</v>
          </cell>
          <cell r="D325">
            <v>324</v>
          </cell>
          <cell r="E325">
            <v>-11.160177914364326</v>
          </cell>
          <cell r="F325">
            <v>323</v>
          </cell>
          <cell r="G325">
            <v>-1.2770426404650193</v>
          </cell>
        </row>
        <row r="326">
          <cell r="A326" t="str">
            <v>Wagner</v>
          </cell>
          <cell r="B326">
            <v>-3.2143612197228788</v>
          </cell>
          <cell r="C326">
            <v>-11.578404496938097</v>
          </cell>
          <cell r="D326">
            <v>323</v>
          </cell>
          <cell r="E326">
            <v>-11.369303415007717</v>
          </cell>
          <cell r="F326">
            <v>324</v>
          </cell>
          <cell r="G326">
            <v>-1.2991398086551806</v>
          </cell>
        </row>
        <row r="327">
          <cell r="A327" t="str">
            <v>Iona</v>
          </cell>
          <cell r="B327">
            <v>6.0918722633607372</v>
          </cell>
          <cell r="C327">
            <v>-11.841660030239733</v>
          </cell>
          <cell r="D327">
            <v>325</v>
          </cell>
          <cell r="E327">
            <v>-11.393321722899721</v>
          </cell>
          <cell r="F327">
            <v>325</v>
          </cell>
          <cell r="G327">
            <v>-1.3016776942191115</v>
          </cell>
        </row>
        <row r="328">
          <cell r="A328" t="str">
            <v>Loyola (MD)</v>
          </cell>
          <cell r="B328">
            <v>4.7301769467469432</v>
          </cell>
          <cell r="C328">
            <v>-11.912491252073295</v>
          </cell>
          <cell r="D328">
            <v>326</v>
          </cell>
          <cell r="E328">
            <v>-11.496424547102789</v>
          </cell>
          <cell r="F328">
            <v>326</v>
          </cell>
          <cell r="G328">
            <v>-1.3125720157642435</v>
          </cell>
        </row>
        <row r="329">
          <cell r="A329" t="str">
            <v>Bethune-Cookman</v>
          </cell>
          <cell r="B329">
            <v>6.8601819199753917</v>
          </cell>
          <cell r="C329">
            <v>-12.043265315687846</v>
          </cell>
          <cell r="D329">
            <v>327</v>
          </cell>
          <cell r="E329">
            <v>-11.570679134796263</v>
          </cell>
          <cell r="F329">
            <v>327</v>
          </cell>
          <cell r="G329">
            <v>-1.3204180991357388</v>
          </cell>
        </row>
        <row r="330">
          <cell r="A330" t="str">
            <v>Fairfield</v>
          </cell>
          <cell r="B330">
            <v>2.7841993056044969</v>
          </cell>
          <cell r="C330">
            <v>-12.060805090866591</v>
          </cell>
          <cell r="D330">
            <v>328</v>
          </cell>
          <cell r="E330">
            <v>-11.689679980954812</v>
          </cell>
          <cell r="F330">
            <v>328</v>
          </cell>
          <cell r="G330">
            <v>-1.3329922792536435</v>
          </cell>
        </row>
        <row r="331">
          <cell r="A331" t="str">
            <v>Fairleigh Dickinson</v>
          </cell>
          <cell r="B331">
            <v>0.40152395020027842</v>
          </cell>
          <cell r="C331">
            <v>-12.306033202485331</v>
          </cell>
          <cell r="D331">
            <v>329</v>
          </cell>
          <cell r="E331">
            <v>-11.98834427366819</v>
          </cell>
          <cell r="F331">
            <v>329</v>
          </cell>
          <cell r="G331">
            <v>-1.3645505305820502</v>
          </cell>
        </row>
        <row r="332">
          <cell r="A332" t="str">
            <v>Grambling</v>
          </cell>
          <cell r="B332">
            <v>1.3566321282868876</v>
          </cell>
          <cell r="C332">
            <v>-12.576571864260055</v>
          </cell>
          <cell r="D332">
            <v>330</v>
          </cell>
          <cell r="E332">
            <v>-12.228241764446381</v>
          </cell>
          <cell r="F332">
            <v>330</v>
          </cell>
          <cell r="G332">
            <v>-1.3898992096566452</v>
          </cell>
        </row>
        <row r="333">
          <cell r="A333" t="str">
            <v>Gardner-Webb</v>
          </cell>
          <cell r="B333">
            <v>3.34020568035772</v>
          </cell>
          <cell r="C333">
            <v>-12.730256957838099</v>
          </cell>
          <cell r="D333">
            <v>334</v>
          </cell>
          <cell r="E333">
            <v>-12.328495391883203</v>
          </cell>
          <cell r="F333">
            <v>331</v>
          </cell>
          <cell r="G333">
            <v>-1.4004924718859268</v>
          </cell>
        </row>
        <row r="334">
          <cell r="A334" t="str">
            <v>Texas Southern</v>
          </cell>
          <cell r="B334">
            <v>1.0954485835368148</v>
          </cell>
          <cell r="C334">
            <v>-12.711041606384921</v>
          </cell>
          <cell r="D334">
            <v>333</v>
          </cell>
          <cell r="E334">
            <v>-12.365879351636877</v>
          </cell>
          <cell r="F334">
            <v>332</v>
          </cell>
          <cell r="G334">
            <v>-1.4044426340792013</v>
          </cell>
        </row>
        <row r="335">
          <cell r="A335" t="str">
            <v>Western Illinois</v>
          </cell>
          <cell r="B335">
            <v>-2.5397040187127153</v>
          </cell>
          <cell r="C335">
            <v>-12.645754482747108</v>
          </cell>
          <cell r="D335">
            <v>332</v>
          </cell>
          <cell r="E335">
            <v>-12.393103221146248</v>
          </cell>
          <cell r="F335">
            <v>333</v>
          </cell>
          <cell r="G335">
            <v>-1.4073192341183396</v>
          </cell>
        </row>
        <row r="336">
          <cell r="A336" t="str">
            <v>New Haven</v>
          </cell>
          <cell r="B336">
            <v>-5.2930000000000001</v>
          </cell>
          <cell r="C336">
            <v>-12.630256738414015</v>
          </cell>
          <cell r="D336">
            <v>331</v>
          </cell>
          <cell r="E336">
            <v>-12.446825319953664</v>
          </cell>
          <cell r="F336">
            <v>334</v>
          </cell>
          <cell r="G336">
            <v>-1.4129957596937652</v>
          </cell>
        </row>
        <row r="337">
          <cell r="A337" t="str">
            <v>Morgan State</v>
          </cell>
          <cell r="B337">
            <v>0.79234271298094627</v>
          </cell>
          <cell r="C337">
            <v>-12.824354042433612</v>
          </cell>
          <cell r="D337">
            <v>335</v>
          </cell>
          <cell r="E337">
            <v>-12.483936623548246</v>
          </cell>
          <cell r="F337">
            <v>335</v>
          </cell>
          <cell r="G337">
            <v>-1.4169171117754704</v>
          </cell>
        </row>
        <row r="338">
          <cell r="A338" t="str">
            <v>Alabama State</v>
          </cell>
          <cell r="B338">
            <v>3.1129567794137207</v>
          </cell>
          <cell r="C338">
            <v>-12.923426336987101</v>
          </cell>
          <cell r="D338">
            <v>336</v>
          </cell>
          <cell r="E338">
            <v>-12.52251675907708</v>
          </cell>
          <cell r="F338">
            <v>336</v>
          </cell>
          <cell r="G338">
            <v>-1.4209936674368175</v>
          </cell>
        </row>
        <row r="339">
          <cell r="A339" t="str">
            <v>Chicago State</v>
          </cell>
          <cell r="B339">
            <v>-0.49518354088141603</v>
          </cell>
          <cell r="C339">
            <v>-12.937110881633965</v>
          </cell>
          <cell r="D339">
            <v>337</v>
          </cell>
          <cell r="E339">
            <v>-12.626062698115151</v>
          </cell>
          <cell r="F339">
            <v>337</v>
          </cell>
          <cell r="G339">
            <v>-1.4319348105460654</v>
          </cell>
        </row>
        <row r="340">
          <cell r="A340" t="str">
            <v>NJIT</v>
          </cell>
          <cell r="B340">
            <v>-0.69529800022591692</v>
          </cell>
          <cell r="C340">
            <v>-13.07098845965292</v>
          </cell>
          <cell r="D340">
            <v>338</v>
          </cell>
          <cell r="E340">
            <v>-12.761596198167245</v>
          </cell>
          <cell r="F340">
            <v>338</v>
          </cell>
          <cell r="G340">
            <v>-1.4462559073842716</v>
          </cell>
        </row>
        <row r="341">
          <cell r="A341" t="str">
            <v>Alabama A&amp;M</v>
          </cell>
          <cell r="B341">
            <v>-9.9882025662743068E-2</v>
          </cell>
          <cell r="C341">
            <v>-13.250661926036354</v>
          </cell>
          <cell r="D341">
            <v>340</v>
          </cell>
          <cell r="E341">
            <v>-12.921892428527014</v>
          </cell>
          <cell r="F341">
            <v>339</v>
          </cell>
          <cell r="G341">
            <v>-1.4631935489038908</v>
          </cell>
        </row>
        <row r="342">
          <cell r="A342" t="str">
            <v>Arkansas-Pine Bluff</v>
          </cell>
          <cell r="B342">
            <v>-4.6035883704208791</v>
          </cell>
          <cell r="C342">
            <v>-13.249676060470984</v>
          </cell>
          <cell r="D342">
            <v>339</v>
          </cell>
          <cell r="E342">
            <v>-13.033523868219731</v>
          </cell>
          <cell r="F342">
            <v>340</v>
          </cell>
          <cell r="G342">
            <v>-1.4749890434304342</v>
          </cell>
        </row>
        <row r="343">
          <cell r="A343" t="str">
            <v>Mount St. Mary's</v>
          </cell>
          <cell r="B343">
            <v>5.2742780940604961</v>
          </cell>
          <cell r="C343">
            <v>-13.504116816127166</v>
          </cell>
          <cell r="D343">
            <v>341</v>
          </cell>
          <cell r="E343">
            <v>-13.034656943372473</v>
          </cell>
          <cell r="F343">
            <v>341</v>
          </cell>
          <cell r="G343">
            <v>-1.4751087693947245</v>
          </cell>
        </row>
        <row r="344">
          <cell r="A344" t="str">
            <v>Army</v>
          </cell>
          <cell r="B344">
            <v>0.66986875819249847</v>
          </cell>
          <cell r="C344">
            <v>-13.666927669370628</v>
          </cell>
          <cell r="D344">
            <v>342</v>
          </cell>
          <cell r="E344">
            <v>-13.30850775868155</v>
          </cell>
          <cell r="F344">
            <v>342</v>
          </cell>
          <cell r="G344">
            <v>-1.5040451138686413</v>
          </cell>
        </row>
        <row r="345">
          <cell r="A345" t="str">
            <v>Lafayette</v>
          </cell>
          <cell r="B345">
            <v>4.7436684030150609</v>
          </cell>
          <cell r="C345">
            <v>-13.774287544879082</v>
          </cell>
          <cell r="D345">
            <v>344</v>
          </cell>
          <cell r="E345">
            <v>-13.311338646181728</v>
          </cell>
          <cell r="F345">
            <v>343</v>
          </cell>
          <cell r="G345">
            <v>-1.5043442385427073</v>
          </cell>
        </row>
        <row r="346">
          <cell r="A346" t="str">
            <v>St. Francis (PA)</v>
          </cell>
          <cell r="B346">
            <v>0.63558395070084839</v>
          </cell>
          <cell r="C346">
            <v>-13.742585249136166</v>
          </cell>
          <cell r="D346">
            <v>343</v>
          </cell>
          <cell r="E346">
            <v>-13.38313101914024</v>
          </cell>
          <cell r="F346">
            <v>344</v>
          </cell>
          <cell r="G346">
            <v>-1.5119301529106552</v>
          </cell>
        </row>
        <row r="347">
          <cell r="A347" t="str">
            <v>New Hampshire</v>
          </cell>
          <cell r="B347">
            <v>-2.3238898054954618</v>
          </cell>
          <cell r="C347">
            <v>-13.788040329420832</v>
          </cell>
          <cell r="D347">
            <v>345</v>
          </cell>
          <cell r="E347">
            <v>-13.501436566322697</v>
          </cell>
          <cell r="F347">
            <v>345</v>
          </cell>
          <cell r="G347">
            <v>-1.5244308645210374</v>
          </cell>
        </row>
        <row r="348">
          <cell r="A348" t="str">
            <v>Bucknell</v>
          </cell>
          <cell r="B348">
            <v>7.7294375300092817</v>
          </cell>
          <cell r="C348">
            <v>-14.345108195595998</v>
          </cell>
          <cell r="D348">
            <v>346</v>
          </cell>
          <cell r="E348">
            <v>-13.793244552455866</v>
          </cell>
          <cell r="F348">
            <v>346</v>
          </cell>
          <cell r="G348">
            <v>-1.5552646467665245</v>
          </cell>
        </row>
        <row r="349">
          <cell r="A349" t="str">
            <v>Holy Cross</v>
          </cell>
          <cell r="B349">
            <v>3.9101987006149983</v>
          </cell>
          <cell r="C349">
            <v>-14.626500228196843</v>
          </cell>
          <cell r="D349">
            <v>347</v>
          </cell>
          <cell r="E349">
            <v>-14.163082754976546</v>
          </cell>
          <cell r="F349">
            <v>347</v>
          </cell>
          <cell r="G349">
            <v>-1.5943434627841955</v>
          </cell>
        </row>
        <row r="350">
          <cell r="A350" t="str">
            <v>Stonehill</v>
          </cell>
          <cell r="B350">
            <v>4.0222593156715423</v>
          </cell>
          <cell r="C350">
            <v>-14.946062792874006</v>
          </cell>
          <cell r="D350">
            <v>350</v>
          </cell>
          <cell r="E350">
            <v>-14.471854740160367</v>
          </cell>
          <cell r="F350">
            <v>348</v>
          </cell>
          <cell r="G350">
            <v>-1.6269697396754659</v>
          </cell>
        </row>
        <row r="351">
          <cell r="A351" t="str">
            <v>Florida A&amp;M</v>
          </cell>
          <cell r="B351">
            <v>3.0005176972413556</v>
          </cell>
          <cell r="C351">
            <v>-14.935224064927894</v>
          </cell>
          <cell r="D351">
            <v>349</v>
          </cell>
          <cell r="E351">
            <v>-14.486830520873662</v>
          </cell>
          <cell r="F351">
            <v>349</v>
          </cell>
          <cell r="G351">
            <v>-1.6285521499706357</v>
          </cell>
        </row>
        <row r="352">
          <cell r="A352" t="str">
            <v>Maryland-Eastern Shore</v>
          </cell>
          <cell r="B352">
            <v>-7.46150564686896</v>
          </cell>
          <cell r="C352">
            <v>-14.733540508225747</v>
          </cell>
          <cell r="D352">
            <v>348</v>
          </cell>
          <cell r="E352">
            <v>-14.551739636691828</v>
          </cell>
          <cell r="F352">
            <v>350</v>
          </cell>
          <cell r="G352">
            <v>-1.6354107475347581</v>
          </cell>
        </row>
        <row r="353">
          <cell r="A353" t="str">
            <v>Bryant</v>
          </cell>
          <cell r="B353">
            <v>4.5913220131176402</v>
          </cell>
          <cell r="C353">
            <v>-15.586631895010388</v>
          </cell>
          <cell r="D353">
            <v>351</v>
          </cell>
          <cell r="E353">
            <v>-15.082183047307186</v>
          </cell>
          <cell r="F353">
            <v>351</v>
          </cell>
          <cell r="G353">
            <v>-1.6914598530894074</v>
          </cell>
        </row>
        <row r="354">
          <cell r="A354" t="str">
            <v>South Carolina State</v>
          </cell>
          <cell r="B354">
            <v>4.3558095170739604</v>
          </cell>
          <cell r="C354">
            <v>-15.741342311112328</v>
          </cell>
          <cell r="D354">
            <v>352</v>
          </cell>
          <cell r="E354">
            <v>-15.23891351540767</v>
          </cell>
          <cell r="F354">
            <v>352</v>
          </cell>
          <cell r="G354">
            <v>-1.7080207196670556</v>
          </cell>
        </row>
        <row r="355">
          <cell r="A355" t="str">
            <v>Sacred Heart</v>
          </cell>
          <cell r="B355">
            <v>9.1931430242842236</v>
          </cell>
          <cell r="C355">
            <v>-15.966377355769529</v>
          </cell>
          <cell r="D355">
            <v>353</v>
          </cell>
          <cell r="E355">
            <v>-15.337389346268184</v>
          </cell>
          <cell r="F355">
            <v>353</v>
          </cell>
          <cell r="G355">
            <v>-1.7184261316827874</v>
          </cell>
        </row>
        <row r="356">
          <cell r="A356" t="str">
            <v>Maine</v>
          </cell>
          <cell r="B356">
            <v>4.6720520639147853</v>
          </cell>
          <cell r="C356">
            <v>-16.40817906910317</v>
          </cell>
          <cell r="D356">
            <v>355</v>
          </cell>
          <cell r="E356">
            <v>-15.881173290777721</v>
          </cell>
          <cell r="F356">
            <v>354</v>
          </cell>
          <cell r="G356">
            <v>-1.7758848597860939</v>
          </cell>
        </row>
        <row r="357">
          <cell r="A357" t="str">
            <v>UL Monroe</v>
          </cell>
          <cell r="B357">
            <v>-1.7780745876225708</v>
          </cell>
          <cell r="C357">
            <v>-16.394705181103589</v>
          </cell>
          <cell r="D357">
            <v>354</v>
          </cell>
          <cell r="E357">
            <v>-16.029289416266565</v>
          </cell>
          <cell r="F357">
            <v>355</v>
          </cell>
          <cell r="G357">
            <v>-1.7915354950578926</v>
          </cell>
        </row>
        <row r="358">
          <cell r="A358" t="str">
            <v>Jackson State</v>
          </cell>
          <cell r="B358">
            <v>5.3578616105493566</v>
          </cell>
          <cell r="C358">
            <v>-17.934652570065897</v>
          </cell>
          <cell r="D358">
            <v>357</v>
          </cell>
          <cell r="E358">
            <v>-17.352339715550517</v>
          </cell>
          <cell r="F358">
            <v>356</v>
          </cell>
          <cell r="G358">
            <v>-1.9313351124999298</v>
          </cell>
        </row>
        <row r="359">
          <cell r="A359" t="str">
            <v>Canisius</v>
          </cell>
          <cell r="B359">
            <v>1.1369916175008097</v>
          </cell>
          <cell r="C359">
            <v>-17.836431619921896</v>
          </cell>
          <cell r="D359">
            <v>356</v>
          </cell>
          <cell r="E359">
            <v>-17.36209603898633</v>
          </cell>
          <cell r="F359">
            <v>357</v>
          </cell>
          <cell r="G359">
            <v>-1.9323660107845269</v>
          </cell>
        </row>
        <row r="360">
          <cell r="A360" t="str">
            <v>Niagara</v>
          </cell>
          <cell r="B360">
            <v>1.7378405053987651</v>
          </cell>
          <cell r="C360">
            <v>-18.070658610788129</v>
          </cell>
          <cell r="D360">
            <v>358</v>
          </cell>
          <cell r="E360">
            <v>-17.575446132883457</v>
          </cell>
          <cell r="F360">
            <v>358</v>
          </cell>
          <cell r="G360">
            <v>-1.9549095690484743</v>
          </cell>
        </row>
        <row r="361">
          <cell r="A361" t="str">
            <v>Manhatten</v>
          </cell>
          <cell r="B361">
            <v>7.2105478827849216</v>
          </cell>
          <cell r="C361">
            <v>-18.408982466886822</v>
          </cell>
          <cell r="D361">
            <v>359</v>
          </cell>
          <cell r="E361">
            <v>-17.768494208145029</v>
          </cell>
          <cell r="F361">
            <v>359</v>
          </cell>
          <cell r="G361">
            <v>-1.9753079220695919</v>
          </cell>
        </row>
        <row r="362">
          <cell r="A362" t="str">
            <v>Rider</v>
          </cell>
          <cell r="B362">
            <v>3.9136887287158708</v>
          </cell>
          <cell r="C362">
            <v>-18.964281653852961</v>
          </cell>
          <cell r="D362">
            <v>360</v>
          </cell>
          <cell r="E362">
            <v>-18.39233239428874</v>
          </cell>
          <cell r="F362">
            <v>360</v>
          </cell>
          <cell r="G362">
            <v>-2.0412255518194398</v>
          </cell>
        </row>
        <row r="363">
          <cell r="A363" t="str">
            <v>Alcorn State</v>
          </cell>
          <cell r="B363">
            <v>0.85539572328334845</v>
          </cell>
          <cell r="C363">
            <v>-19.771941126974696</v>
          </cell>
          <cell r="D363">
            <v>361</v>
          </cell>
          <cell r="E363">
            <v>-19.256257705718244</v>
          </cell>
          <cell r="F363">
            <v>361</v>
          </cell>
          <cell r="G363">
            <v>-2.132511898303548</v>
          </cell>
        </row>
        <row r="364">
          <cell r="A364" t="str">
            <v>Delaware State</v>
          </cell>
          <cell r="B364">
            <v>1.6756310890303849</v>
          </cell>
          <cell r="C364">
            <v>-20.457952745740535</v>
          </cell>
          <cell r="D364">
            <v>364</v>
          </cell>
          <cell r="E364">
            <v>-19.90461314987126</v>
          </cell>
          <cell r="F364">
            <v>362</v>
          </cell>
          <cell r="G364">
            <v>-2.201020134995765</v>
          </cell>
        </row>
        <row r="365">
          <cell r="A365" t="str">
            <v>Coppin State</v>
          </cell>
          <cell r="B365">
            <v>-3.5837178026593812</v>
          </cell>
          <cell r="C365">
            <v>-20.326702261205131</v>
          </cell>
          <cell r="D365">
            <v>362</v>
          </cell>
          <cell r="E365">
            <v>-19.908127649741488</v>
          </cell>
          <cell r="F365">
            <v>363</v>
          </cell>
          <cell r="G365">
            <v>-2.2013914933164758</v>
          </cell>
        </row>
        <row r="366">
          <cell r="A366" t="str">
            <v>Binghamton</v>
          </cell>
          <cell r="B366">
            <v>-0.20716602569142617</v>
          </cell>
          <cell r="C366">
            <v>-20.442465277066407</v>
          </cell>
          <cell r="D366">
            <v>363</v>
          </cell>
          <cell r="E366">
            <v>-19.93658279578203</v>
          </cell>
          <cell r="F366">
            <v>364</v>
          </cell>
          <cell r="G366">
            <v>-2.204398195732006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-23.292446193726008</v>
          </cell>
          <cell r="D367">
            <v>365</v>
          </cell>
          <cell r="E367">
            <v>-23.065684607816852</v>
          </cell>
          <cell r="F367">
            <v>365</v>
          </cell>
          <cell r="G367">
            <v>-2.5350335740667558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K23"/>
  <sheetViews>
    <sheetView workbookViewId="0">
      <selection activeCell="A4" sqref="A4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6" width="10.83203125" style="1"/>
    <col min="7" max="7" width="15.5" style="1" bestFit="1" customWidth="1"/>
    <col min="8" max="11" width="10.83203125" style="1"/>
  </cols>
  <sheetData>
    <row r="1" spans="1:11" x14ac:dyDescent="0.2">
      <c r="A1" s="1" t="s">
        <v>373</v>
      </c>
      <c r="B1" s="1" t="s">
        <v>0</v>
      </c>
      <c r="C1" s="1" t="s">
        <v>368</v>
      </c>
      <c r="D1" s="1" t="s">
        <v>404</v>
      </c>
      <c r="E1" s="1" t="s">
        <v>369</v>
      </c>
      <c r="F1" s="1" t="s">
        <v>405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</row>
    <row r="2" spans="1:11" x14ac:dyDescent="0.2">
      <c r="A2" s="1">
        <v>33</v>
      </c>
      <c r="B2" s="7" t="str">
        <f>VLOOKUP(A2,[1]Games!$B$2:$K$398,2,FALSE)</f>
        <v>Penn State</v>
      </c>
      <c r="C2" s="7" t="str">
        <f>VLOOKUP(A2,[1]Games!$B$2:$K$398,3,FALSE)</f>
        <v>Rutgers</v>
      </c>
      <c r="D2" s="7" t="str">
        <f>B2</f>
        <v>Penn State</v>
      </c>
      <c r="E2" s="6">
        <f>VLOOKUP(A2,[1]Games!$B$2:$K$398,4,FALSE)</f>
        <v>1.0458642596621079</v>
      </c>
      <c r="F2" s="6">
        <f>-VLOOKUP(A2,[2]Games!$A$2:$X$300,24,FALSE)</f>
        <v>-5</v>
      </c>
      <c r="G2" s="8">
        <f>VLOOKUP(A2,[1]Games!$B$2:$K$398,9,FALSE)</f>
        <v>0.38822231807187318</v>
      </c>
      <c r="H2" s="8">
        <f>VLOOKUP(A2,[1]Games!$B$2:$K$398,7,FALSE)</f>
        <v>7.3677501786273136E-2</v>
      </c>
      <c r="I2" s="8">
        <f>VLOOKUP(A2,[1]Games!$B$2:$K$398,8,FALSE)/4</f>
        <v>5.8907671469473351E-2</v>
      </c>
      <c r="J2" s="9" t="s">
        <v>403</v>
      </c>
      <c r="K2" s="10">
        <f>IF(J2="Yes",(H2*1500)/100,0)</f>
        <v>0</v>
      </c>
    </row>
    <row r="3" spans="1:11" x14ac:dyDescent="0.2">
      <c r="A3" s="1">
        <v>37</v>
      </c>
      <c r="B3" s="7" t="str">
        <f>VLOOKUP(A3,[1]Games!$B$2:$K$398,2,FALSE)</f>
        <v>Illinois</v>
      </c>
      <c r="C3" s="7" t="str">
        <f>VLOOKUP(A3,[1]Games!$B$2:$K$398,3,FALSE)</f>
        <v>Maryland</v>
      </c>
      <c r="D3" s="7" t="str">
        <f t="shared" ref="D3" si="0">B3</f>
        <v>Illinois</v>
      </c>
      <c r="E3" s="6">
        <f>VLOOKUP(A3,[1]Games!$B$2:$K$398,4,FALSE)</f>
        <v>21.662936478326628</v>
      </c>
      <c r="F3" s="6">
        <f>-VLOOKUP(A3,[2]Games!$A$2:$X$300,24,FALSE)</f>
        <v>14.5</v>
      </c>
      <c r="G3" s="8">
        <f>VLOOKUP(A3,[1]Games!$B$2:$K$398,9,FALSE)</f>
        <v>0.82341126225794314</v>
      </c>
      <c r="H3" s="8">
        <v>6.3E-2</v>
      </c>
      <c r="I3" s="8">
        <f>VLOOKUP(A3,[1]Games!$B$2:$K$398,8,FALSE)/4</f>
        <v>5.2957559233761303E-2</v>
      </c>
      <c r="J3" s="9" t="s">
        <v>393</v>
      </c>
      <c r="K3" s="10">
        <f t="shared" ref="K3" si="1">IF(J3="Yes",(H3*1500)/100,0)</f>
        <v>0.94499999999999995</v>
      </c>
    </row>
    <row r="4" spans="1:11" x14ac:dyDescent="0.2">
      <c r="E4" s="11"/>
      <c r="F4" s="11"/>
      <c r="G4" s="12"/>
      <c r="H4" s="12"/>
      <c r="I4" s="12"/>
      <c r="J4" s="12"/>
      <c r="K4" s="11"/>
    </row>
    <row r="5" spans="1:11" x14ac:dyDescent="0.2">
      <c r="E5" s="11"/>
      <c r="F5" s="11"/>
      <c r="G5" s="12"/>
      <c r="H5" s="12"/>
      <c r="I5" s="12"/>
      <c r="J5" s="12"/>
      <c r="K5" s="11"/>
    </row>
    <row r="6" spans="1:11" x14ac:dyDescent="0.2">
      <c r="E6" s="11"/>
      <c r="F6" s="11"/>
      <c r="G6" s="12"/>
      <c r="H6" s="12"/>
      <c r="I6" s="12"/>
      <c r="J6" s="12"/>
      <c r="K6" s="11"/>
    </row>
    <row r="7" spans="1:11" x14ac:dyDescent="0.2">
      <c r="E7" s="11"/>
      <c r="F7" s="11"/>
      <c r="G7" s="12"/>
      <c r="H7" s="12"/>
      <c r="I7" s="12"/>
      <c r="J7" s="12"/>
      <c r="K7" s="11"/>
    </row>
    <row r="8" spans="1:11" x14ac:dyDescent="0.2">
      <c r="E8" s="11"/>
      <c r="F8" s="11"/>
      <c r="G8" s="12"/>
      <c r="H8" s="12"/>
      <c r="I8" s="12"/>
      <c r="J8" s="12"/>
      <c r="K8" s="11"/>
    </row>
    <row r="9" spans="1:11" x14ac:dyDescent="0.2">
      <c r="E9" s="11"/>
      <c r="F9" s="11"/>
      <c r="G9" s="12"/>
      <c r="H9" s="12"/>
      <c r="I9" s="12"/>
      <c r="J9" s="12"/>
      <c r="K9" s="11"/>
    </row>
    <row r="10" spans="1:11" x14ac:dyDescent="0.2">
      <c r="E10" s="11"/>
      <c r="F10" s="11"/>
      <c r="G10" s="12"/>
      <c r="H10" s="12"/>
      <c r="I10" s="12"/>
      <c r="J10" s="12"/>
      <c r="K10" s="11"/>
    </row>
    <row r="11" spans="1:11" x14ac:dyDescent="0.2">
      <c r="E11" s="11"/>
      <c r="F11" s="11"/>
      <c r="G11" s="12"/>
      <c r="H11" s="12"/>
      <c r="I11" s="12"/>
      <c r="J11" s="12"/>
      <c r="K11" s="11"/>
    </row>
    <row r="12" spans="1:11" x14ac:dyDescent="0.2">
      <c r="E12" s="11"/>
      <c r="F12" s="11"/>
      <c r="G12" s="12"/>
      <c r="H12" s="12"/>
      <c r="I12" s="12"/>
      <c r="J12" s="12"/>
      <c r="K12" s="11"/>
    </row>
    <row r="13" spans="1:11" x14ac:dyDescent="0.2">
      <c r="E13" s="11"/>
      <c r="F13" s="11"/>
      <c r="G13" s="12"/>
      <c r="H13" s="12"/>
      <c r="I13" s="12"/>
      <c r="J13" s="12"/>
      <c r="K13" s="11"/>
    </row>
    <row r="14" spans="1:11" x14ac:dyDescent="0.2">
      <c r="E14" s="11"/>
      <c r="F14" s="11"/>
      <c r="G14" s="12"/>
      <c r="H14" s="12"/>
      <c r="I14" s="12"/>
      <c r="J14" s="12"/>
      <c r="K14" s="11"/>
    </row>
    <row r="15" spans="1:11" x14ac:dyDescent="0.2">
      <c r="E15" s="11"/>
      <c r="F15" s="11"/>
      <c r="G15" s="12"/>
      <c r="H15" s="12"/>
      <c r="I15" s="12"/>
      <c r="J15" s="12"/>
      <c r="K15" s="11"/>
    </row>
    <row r="16" spans="1:11" x14ac:dyDescent="0.2">
      <c r="E16" s="11"/>
      <c r="F16" s="11"/>
      <c r="G16" s="12"/>
      <c r="H16" s="12"/>
      <c r="I16" s="12"/>
      <c r="J16" s="12"/>
      <c r="K16" s="11"/>
    </row>
    <row r="17" spans="5:11" x14ac:dyDescent="0.2">
      <c r="E17" s="11"/>
      <c r="F17" s="11"/>
      <c r="G17" s="12"/>
      <c r="H17" s="12"/>
      <c r="I17" s="12"/>
      <c r="J17" s="12"/>
      <c r="K17" s="11"/>
    </row>
    <row r="18" spans="5:11" x14ac:dyDescent="0.2">
      <c r="E18" s="11"/>
      <c r="F18" s="11"/>
      <c r="G18" s="12"/>
      <c r="H18" s="12"/>
      <c r="I18" s="12"/>
      <c r="J18" s="12"/>
      <c r="K18" s="11"/>
    </row>
    <row r="19" spans="5:11" x14ac:dyDescent="0.2">
      <c r="E19" s="11"/>
      <c r="F19" s="11"/>
      <c r="G19" s="12"/>
      <c r="H19" s="12"/>
      <c r="I19" s="12"/>
      <c r="J19" s="12"/>
      <c r="K19" s="11"/>
    </row>
    <row r="20" spans="5:11" x14ac:dyDescent="0.2">
      <c r="E20" s="11"/>
      <c r="F20" s="11"/>
      <c r="G20" s="12"/>
      <c r="H20" s="12"/>
      <c r="I20" s="12"/>
      <c r="J20" s="12"/>
      <c r="K20" s="11"/>
    </row>
    <row r="21" spans="5:11" x14ac:dyDescent="0.2">
      <c r="E21" s="11"/>
      <c r="F21" s="11"/>
      <c r="G21" s="12"/>
      <c r="H21" s="12"/>
      <c r="I21" s="12"/>
      <c r="J21" s="12"/>
      <c r="K21" s="11"/>
    </row>
    <row r="22" spans="5:11" x14ac:dyDescent="0.2">
      <c r="E22" s="11"/>
      <c r="F22" s="11"/>
      <c r="G22" s="12"/>
      <c r="H22" s="12"/>
      <c r="I22" s="12"/>
      <c r="J22" s="12"/>
      <c r="K22" s="11"/>
    </row>
    <row r="23" spans="5:11" x14ac:dyDescent="0.2">
      <c r="E23" s="11"/>
      <c r="F23" s="11"/>
      <c r="G23" s="12"/>
      <c r="H23" s="12"/>
      <c r="I23" s="12"/>
      <c r="J23" s="12"/>
      <c r="K23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N8"/>
  <sheetViews>
    <sheetView tabSelected="1" workbookViewId="0">
      <selection activeCell="F2" sqref="F2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9" max="9" width="12.33203125" bestFit="1" customWidth="1"/>
    <col min="10" max="10" width="12.33203125" customWidth="1"/>
    <col min="11" max="11" width="11.5" bestFit="1" customWidth="1"/>
    <col min="12" max="12" width="11.6640625" bestFit="1" customWidth="1"/>
    <col min="13" max="13" width="11.6640625" customWidth="1"/>
  </cols>
  <sheetData>
    <row r="1" spans="1:14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395</v>
      </c>
      <c r="F1" s="1" t="s">
        <v>396</v>
      </c>
      <c r="G1" s="1"/>
    </row>
    <row r="2" spans="1:14" x14ac:dyDescent="0.2">
      <c r="A2" s="1">
        <f>COUNTIF($C$6:$C$150,"W")</f>
        <v>0</v>
      </c>
      <c r="B2" s="1">
        <f>COUNTIF($C$6:$C$150,"L")</f>
        <v>1</v>
      </c>
      <c r="C2" s="5">
        <f>SUM(E6:E13)/SUM(D6:D13)</f>
        <v>-1</v>
      </c>
      <c r="D2" s="15">
        <f>AVERAGE(G6:G150)</f>
        <v>-1.9985536081552357E-2</v>
      </c>
      <c r="E2" s="1">
        <v>0</v>
      </c>
      <c r="F2" s="1">
        <v>1</v>
      </c>
    </row>
    <row r="5" spans="1:14" x14ac:dyDescent="0.2">
      <c r="A5" s="1" t="s">
        <v>394</v>
      </c>
      <c r="B5" s="1" t="s">
        <v>397</v>
      </c>
      <c r="C5" s="1" t="s">
        <v>398</v>
      </c>
      <c r="D5" s="1" t="s">
        <v>402</v>
      </c>
      <c r="E5" s="1" t="s">
        <v>401</v>
      </c>
      <c r="F5" s="1" t="s">
        <v>400</v>
      </c>
      <c r="G5" s="1" t="s">
        <v>391</v>
      </c>
      <c r="H5" s="1" t="s">
        <v>399</v>
      </c>
      <c r="I5" s="1" t="s">
        <v>424</v>
      </c>
      <c r="J5" s="1" t="s">
        <v>422</v>
      </c>
      <c r="K5" s="1" t="s">
        <v>423</v>
      </c>
      <c r="L5" s="1" t="s">
        <v>420</v>
      </c>
      <c r="M5" s="1" t="s">
        <v>422</v>
      </c>
      <c r="N5" s="1" t="s">
        <v>421</v>
      </c>
    </row>
    <row r="6" spans="1:14" x14ac:dyDescent="0.2">
      <c r="A6" s="1" t="s">
        <v>425</v>
      </c>
      <c r="B6" s="1">
        <v>1</v>
      </c>
      <c r="C6" s="1" t="s">
        <v>389</v>
      </c>
      <c r="D6" s="1">
        <v>0.94499999999999995</v>
      </c>
      <c r="E6" s="1">
        <f>IF(C6="P",0,IF(C6="L",-D6,IF(I6&lt;0,D6*(100/-I6),D6*(I6/100)))/1)</f>
        <v>-0.94499999999999995</v>
      </c>
      <c r="F6" s="1">
        <f>E6</f>
        <v>-0.94499999999999995</v>
      </c>
      <c r="G6" s="12">
        <f>((K6-N6)*3.55%)+(M6-J6)</f>
        <v>-1.9985536081552357E-2</v>
      </c>
      <c r="H6" s="12">
        <f>G6</f>
        <v>-1.9985536081552357E-2</v>
      </c>
      <c r="I6" s="1">
        <v>-112</v>
      </c>
      <c r="J6" s="14">
        <f>IF(I6&lt;0,I6/(I6-100),100/(I6+100))</f>
        <v>0.52830188679245282</v>
      </c>
      <c r="K6" s="1">
        <v>-14.5</v>
      </c>
      <c r="L6" s="1">
        <v>-111</v>
      </c>
      <c r="M6" s="14">
        <f>IF(L6&lt;0,L6/(L6-100),100/(L6+100))</f>
        <v>0.52606635071090047</v>
      </c>
      <c r="N6" s="1">
        <v>-14</v>
      </c>
    </row>
    <row r="7" spans="1:14" x14ac:dyDescent="0.2">
      <c r="F7" s="1">
        <f>E7+F6</f>
        <v>-0.94499999999999995</v>
      </c>
      <c r="H7" s="12">
        <f>AVERAGE($G$6:G7)</f>
        <v>-1.9985536081552357E-2</v>
      </c>
    </row>
    <row r="8" spans="1:14" x14ac:dyDescent="0.2">
      <c r="F8" s="1">
        <f>E8+F7</f>
        <v>-0.94499999999999995</v>
      </c>
      <c r="H8" s="12">
        <f>AVERAGE($G$6:G8)</f>
        <v>-1.9985536081552357E-2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5"/>
  <sheetViews>
    <sheetView workbookViewId="0">
      <selection activeCell="I10" sqref="I10"/>
    </sheetView>
  </sheetViews>
  <sheetFormatPr baseColWidth="10" defaultRowHeight="16" x14ac:dyDescent="0.2"/>
  <cols>
    <col min="1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416</v>
      </c>
      <c r="B1" s="1" t="s">
        <v>407</v>
      </c>
      <c r="C1" s="1" t="s">
        <v>0</v>
      </c>
      <c r="D1" s="1" t="s">
        <v>408</v>
      </c>
      <c r="E1" s="1" t="s">
        <v>402</v>
      </c>
      <c r="F1" s="1" t="s">
        <v>409</v>
      </c>
      <c r="G1" s="1" t="s">
        <v>410</v>
      </c>
      <c r="H1" s="1" t="s">
        <v>394</v>
      </c>
      <c r="I1" s="1" t="s">
        <v>411</v>
      </c>
      <c r="J1" s="1" t="s">
        <v>412</v>
      </c>
      <c r="K1" s="1" t="s">
        <v>413</v>
      </c>
    </row>
    <row r="2" spans="1:11" x14ac:dyDescent="0.2">
      <c r="A2" s="1" t="s">
        <v>417</v>
      </c>
      <c r="B2" s="1" t="s">
        <v>414</v>
      </c>
      <c r="C2" s="1" t="s">
        <v>2</v>
      </c>
      <c r="D2" s="1">
        <v>2800</v>
      </c>
      <c r="E2" s="1">
        <v>1.111</v>
      </c>
      <c r="F2" s="1">
        <v>475</v>
      </c>
      <c r="G2" s="1" t="s">
        <v>415</v>
      </c>
      <c r="H2" s="13" t="s">
        <v>418</v>
      </c>
      <c r="K2" s="1">
        <f>IF(J2="W",(D2/100)*E2,IF(J2="",0,-E2))</f>
        <v>0</v>
      </c>
    </row>
    <row r="3" spans="1:11" x14ac:dyDescent="0.2">
      <c r="A3" s="1" t="s">
        <v>417</v>
      </c>
      <c r="B3" s="1" t="s">
        <v>414</v>
      </c>
      <c r="C3" s="1" t="s">
        <v>30</v>
      </c>
      <c r="D3" s="1">
        <v>2000</v>
      </c>
      <c r="E3" s="1">
        <v>1.58</v>
      </c>
      <c r="F3" s="1">
        <v>6000</v>
      </c>
      <c r="G3" s="1" t="s">
        <v>415</v>
      </c>
      <c r="H3" s="13" t="s">
        <v>419</v>
      </c>
      <c r="K3" s="1">
        <f t="shared" ref="K3:K5" si="0">IF(J3="W",(D3/100)*E3,IF(J3="",0,-E3))</f>
        <v>0</v>
      </c>
    </row>
    <row r="4" spans="1:11" x14ac:dyDescent="0.2">
      <c r="A4" s="1" t="s">
        <v>417</v>
      </c>
      <c r="B4" s="1" t="s">
        <v>414</v>
      </c>
      <c r="C4" s="1" t="s">
        <v>13</v>
      </c>
      <c r="D4" s="1">
        <v>7000</v>
      </c>
      <c r="E4" s="1">
        <v>0.45</v>
      </c>
      <c r="F4" s="1">
        <v>1800</v>
      </c>
      <c r="G4" s="1" t="s">
        <v>415</v>
      </c>
      <c r="H4" s="13" t="s">
        <v>419</v>
      </c>
      <c r="K4" s="1">
        <f t="shared" si="0"/>
        <v>0</v>
      </c>
    </row>
    <row r="5" spans="1:11" x14ac:dyDescent="0.2">
      <c r="A5" s="1" t="s">
        <v>417</v>
      </c>
      <c r="B5" s="1" t="s">
        <v>414</v>
      </c>
      <c r="C5" s="1" t="s">
        <v>48</v>
      </c>
      <c r="D5" s="1">
        <v>20000</v>
      </c>
      <c r="E5" s="1">
        <v>0.15</v>
      </c>
      <c r="F5" s="1">
        <v>50000</v>
      </c>
      <c r="G5" s="1" t="s">
        <v>415</v>
      </c>
      <c r="H5" s="13" t="s">
        <v>419</v>
      </c>
      <c r="K5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C17" sqref="C17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406</v>
      </c>
    </row>
    <row r="2" spans="1:4" x14ac:dyDescent="0.2">
      <c r="A2" s="1" t="s">
        <v>1</v>
      </c>
      <c r="B2" s="3">
        <f>VLOOKUP(A2,[3]TeamRtg!$A$3:$G$367,7,FALSE)</f>
        <v>2.5237751885742066</v>
      </c>
      <c r="C2" s="1">
        <f>RANK(B2,$B$2:$B$366)</f>
        <v>1</v>
      </c>
      <c r="D2" s="1">
        <v>1</v>
      </c>
    </row>
    <row r="3" spans="1:4" x14ac:dyDescent="0.2">
      <c r="A3" s="1" t="s">
        <v>2</v>
      </c>
      <c r="B3" s="3">
        <f>VLOOKUP(A3,[3]TeamRtg!$A$3:$G$367,7,FALSE)</f>
        <v>2.4787923473690778</v>
      </c>
      <c r="C3" s="1">
        <f t="shared" ref="C3:C66" si="0">RANK(B3,$B$2:$B$366)</f>
        <v>2</v>
      </c>
      <c r="D3" s="1">
        <v>2</v>
      </c>
    </row>
    <row r="4" spans="1:4" x14ac:dyDescent="0.2">
      <c r="A4" s="1" t="s">
        <v>3</v>
      </c>
      <c r="B4" s="3">
        <f>VLOOKUP(A4,[3]TeamRtg!$A$3:$G$367,7,FALSE)</f>
        <v>2.4621035945061207</v>
      </c>
      <c r="C4" s="1">
        <f t="shared" si="0"/>
        <v>3</v>
      </c>
      <c r="D4" s="1">
        <v>3</v>
      </c>
    </row>
    <row r="5" spans="1:4" x14ac:dyDescent="0.2">
      <c r="A5" s="1" t="s">
        <v>4</v>
      </c>
      <c r="B5" s="3">
        <f>VLOOKUP(A5,[3]TeamRtg!$A$3:$G$367,7,FALSE)</f>
        <v>2.3042176158509182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2.1658128058008188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2.1240552198790401</v>
      </c>
      <c r="C7" s="1">
        <f t="shared" si="0"/>
        <v>6</v>
      </c>
      <c r="D7" s="1">
        <v>6</v>
      </c>
    </row>
    <row r="8" spans="1:4" x14ac:dyDescent="0.2">
      <c r="A8" s="1" t="s">
        <v>7</v>
      </c>
      <c r="B8" s="3">
        <f>VLOOKUP(A8,[3]TeamRtg!$A$3:$G$367,7,FALSE)</f>
        <v>2.1020042034402575</v>
      </c>
      <c r="C8" s="1">
        <f t="shared" si="0"/>
        <v>7</v>
      </c>
      <c r="D8" s="1">
        <v>7</v>
      </c>
    </row>
    <row r="9" spans="1:4" x14ac:dyDescent="0.2">
      <c r="A9" s="1" t="s">
        <v>8</v>
      </c>
      <c r="B9" s="3">
        <f>VLOOKUP(A9,[3]TeamRtg!$A$3:$G$367,7,FALSE)</f>
        <v>2.080731914049947</v>
      </c>
      <c r="C9" s="1">
        <f t="shared" si="0"/>
        <v>8</v>
      </c>
      <c r="D9" s="1">
        <v>8</v>
      </c>
    </row>
    <row r="10" spans="1:4" x14ac:dyDescent="0.2">
      <c r="A10" s="1" t="s">
        <v>9</v>
      </c>
      <c r="B10" s="3">
        <f>VLOOKUP(A10,[3]TeamRtg!$A$3:$G$367,7,FALSE)</f>
        <v>2.0666044590825603</v>
      </c>
      <c r="C10" s="1">
        <f t="shared" si="0"/>
        <v>9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2.0659088273461061</v>
      </c>
      <c r="C11" s="1">
        <f t="shared" si="0"/>
        <v>10</v>
      </c>
      <c r="D11" s="1">
        <v>10</v>
      </c>
    </row>
    <row r="12" spans="1:4" x14ac:dyDescent="0.2">
      <c r="A12" s="1" t="s">
        <v>11</v>
      </c>
      <c r="B12" s="3">
        <f>VLOOKUP(A12,[3]TeamRtg!$A$3:$G$367,7,FALSE)</f>
        <v>1.8202742775703054</v>
      </c>
      <c r="C12" s="1">
        <f t="shared" si="0"/>
        <v>18</v>
      </c>
      <c r="D12" s="1">
        <v>11</v>
      </c>
    </row>
    <row r="13" spans="1:4" x14ac:dyDescent="0.2">
      <c r="A13" s="1" t="s">
        <v>12</v>
      </c>
      <c r="B13" s="3">
        <f>VLOOKUP(A13,[3]TeamRtg!$A$3:$G$367,7,FALSE)</f>
        <v>2.0274430975460755</v>
      </c>
      <c r="C13" s="1">
        <f t="shared" si="0"/>
        <v>11</v>
      </c>
      <c r="D13" s="1">
        <v>12</v>
      </c>
    </row>
    <row r="14" spans="1:4" x14ac:dyDescent="0.2">
      <c r="A14" s="1" t="s">
        <v>13</v>
      </c>
      <c r="B14" s="3">
        <f>VLOOKUP(A14,[3]TeamRtg!$A$3:$G$367,7,FALSE)</f>
        <v>1.9747171363549587</v>
      </c>
      <c r="C14" s="1">
        <f t="shared" si="0"/>
        <v>12</v>
      </c>
      <c r="D14" s="1">
        <v>13</v>
      </c>
    </row>
    <row r="15" spans="1:4" x14ac:dyDescent="0.2">
      <c r="A15" s="1" t="s">
        <v>14</v>
      </c>
      <c r="B15" s="3">
        <f>VLOOKUP(A15,[3]TeamRtg!$A$3:$G$367,7,FALSE)</f>
        <v>1.956486018043901</v>
      </c>
      <c r="C15" s="1">
        <f t="shared" si="0"/>
        <v>13</v>
      </c>
      <c r="D15" s="1">
        <v>14</v>
      </c>
    </row>
    <row r="16" spans="1:4" x14ac:dyDescent="0.2">
      <c r="A16" s="1" t="s">
        <v>15</v>
      </c>
      <c r="B16" s="3">
        <f>VLOOKUP(A16,[3]TeamRtg!$A$3:$G$367,7,FALSE)</f>
        <v>1.9291643355691752</v>
      </c>
      <c r="C16" s="1">
        <f t="shared" si="0"/>
        <v>14</v>
      </c>
      <c r="D16" s="1">
        <v>15</v>
      </c>
    </row>
    <row r="17" spans="1:4" x14ac:dyDescent="0.2">
      <c r="A17" s="1" t="s">
        <v>16</v>
      </c>
      <c r="B17" s="3">
        <f>VLOOKUP(A17,[3]TeamRtg!$A$3:$G$367,7,FALSE)</f>
        <v>1.8935635011484921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1.8487980325167885</v>
      </c>
      <c r="C18" s="1">
        <f t="shared" si="0"/>
        <v>16</v>
      </c>
      <c r="D18" s="1">
        <v>17</v>
      </c>
    </row>
    <row r="19" spans="1:4" x14ac:dyDescent="0.2">
      <c r="A19" s="1" t="s">
        <v>18</v>
      </c>
      <c r="B19" s="3">
        <f>VLOOKUP(A19,[3]TeamRtg!$A$3:$G$367,7,FALSE)</f>
        <v>1.8295913008880684</v>
      </c>
      <c r="C19" s="1">
        <f t="shared" si="0"/>
        <v>17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1.7744231359502582</v>
      </c>
      <c r="C20" s="1">
        <f t="shared" si="0"/>
        <v>19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1.7195997595536252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1.6272356968376818</v>
      </c>
      <c r="C22" s="1">
        <f t="shared" si="0"/>
        <v>21</v>
      </c>
      <c r="D22" s="1">
        <v>21</v>
      </c>
    </row>
    <row r="23" spans="1:4" x14ac:dyDescent="0.2">
      <c r="A23" s="1" t="s">
        <v>22</v>
      </c>
      <c r="B23" s="3">
        <f>VLOOKUP(A23,[3]TeamRtg!$A$3:$G$367,7,FALSE)</f>
        <v>1.6234589929433889</v>
      </c>
      <c r="C23" s="1">
        <f t="shared" si="0"/>
        <v>22</v>
      </c>
      <c r="D23" s="1">
        <v>22</v>
      </c>
    </row>
    <row r="24" spans="1:4" x14ac:dyDescent="0.2">
      <c r="A24" s="1" t="s">
        <v>23</v>
      </c>
      <c r="B24" s="3">
        <f>VLOOKUP(A24,[3]TeamRtg!$A$3:$G$367,7,FALSE)</f>
        <v>1.5847112459078025</v>
      </c>
      <c r="C24" s="1">
        <f t="shared" si="0"/>
        <v>23</v>
      </c>
      <c r="D24" s="1">
        <v>23</v>
      </c>
    </row>
    <row r="25" spans="1:4" x14ac:dyDescent="0.2">
      <c r="A25" s="1" t="s">
        <v>24</v>
      </c>
      <c r="B25" s="3">
        <f>VLOOKUP(A25,[3]TeamRtg!$A$3:$G$367,7,FALSE)</f>
        <v>1.5696615866793517</v>
      </c>
      <c r="C25" s="1">
        <f t="shared" si="0"/>
        <v>24</v>
      </c>
      <c r="D25" s="1">
        <v>24</v>
      </c>
    </row>
    <row r="26" spans="1:4" x14ac:dyDescent="0.2">
      <c r="A26" s="1" t="s">
        <v>25</v>
      </c>
      <c r="B26" s="3">
        <f>VLOOKUP(A26,[3]TeamRtg!$A$3:$G$367,7,FALSE)</f>
        <v>1.5462753834041636</v>
      </c>
      <c r="C26" s="1">
        <f t="shared" si="0"/>
        <v>25</v>
      </c>
      <c r="D26" s="1">
        <v>25</v>
      </c>
    </row>
    <row r="27" spans="1:4" x14ac:dyDescent="0.2">
      <c r="A27" s="1" t="s">
        <v>26</v>
      </c>
      <c r="B27" s="3">
        <f>VLOOKUP(A27,[3]TeamRtg!$A$3:$G$367,7,FALSE)</f>
        <v>1.5360993413880077</v>
      </c>
      <c r="C27" s="1">
        <f t="shared" si="0"/>
        <v>26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1.5311419671639024</v>
      </c>
      <c r="C28" s="1">
        <f t="shared" si="0"/>
        <v>27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1.5109810736995102</v>
      </c>
      <c r="C29" s="1">
        <f t="shared" si="0"/>
        <v>28</v>
      </c>
      <c r="D29" s="1">
        <v>28</v>
      </c>
    </row>
    <row r="30" spans="1:4" x14ac:dyDescent="0.2">
      <c r="A30" s="1" t="s">
        <v>29</v>
      </c>
      <c r="B30" s="3">
        <f>VLOOKUP(A30,[3]TeamRtg!$A$3:$G$367,7,FALSE)</f>
        <v>1.5077572415586222</v>
      </c>
      <c r="C30" s="1">
        <f t="shared" si="0"/>
        <v>29</v>
      </c>
      <c r="D30" s="1">
        <v>29</v>
      </c>
    </row>
    <row r="31" spans="1:4" x14ac:dyDescent="0.2">
      <c r="A31" s="1" t="s">
        <v>30</v>
      </c>
      <c r="B31" s="3">
        <f>VLOOKUP(A31,[3]TeamRtg!$A$3:$G$367,7,FALSE)</f>
        <v>1.497082911376838</v>
      </c>
      <c r="C31" s="1">
        <f t="shared" si="0"/>
        <v>30</v>
      </c>
      <c r="D31" s="1">
        <v>30</v>
      </c>
    </row>
    <row r="32" spans="1:4" x14ac:dyDescent="0.2">
      <c r="A32" s="1" t="s">
        <v>31</v>
      </c>
      <c r="B32" s="3">
        <f>VLOOKUP(A32,[3]TeamRtg!$A$3:$G$367,7,FALSE)</f>
        <v>1.4968526875965136</v>
      </c>
      <c r="C32" s="1">
        <f t="shared" si="0"/>
        <v>31</v>
      </c>
      <c r="D32" s="1">
        <v>31</v>
      </c>
    </row>
    <row r="33" spans="1:4" x14ac:dyDescent="0.2">
      <c r="A33" s="1" t="s">
        <v>32</v>
      </c>
      <c r="B33" s="3">
        <f>VLOOKUP(A33,[3]TeamRtg!$A$3:$G$367,7,FALSE)</f>
        <v>1.4644227167222028</v>
      </c>
      <c r="C33" s="1">
        <f t="shared" si="0"/>
        <v>32</v>
      </c>
      <c r="D33" s="1">
        <v>32</v>
      </c>
    </row>
    <row r="34" spans="1:4" x14ac:dyDescent="0.2">
      <c r="A34" s="1" t="s">
        <v>33</v>
      </c>
      <c r="B34" s="3">
        <f>VLOOKUP(A34,[3]TeamRtg!$A$3:$G$367,7,FALSE)</f>
        <v>1.41299953200442</v>
      </c>
      <c r="C34" s="1">
        <f t="shared" si="0"/>
        <v>33</v>
      </c>
      <c r="D34" s="1">
        <v>33</v>
      </c>
    </row>
    <row r="35" spans="1:4" x14ac:dyDescent="0.2">
      <c r="A35" s="1" t="s">
        <v>34</v>
      </c>
      <c r="B35" s="3">
        <f>VLOOKUP(A35,[3]TeamRtg!$A$3:$G$367,7,FALSE)</f>
        <v>1.3874585457729904</v>
      </c>
      <c r="C35" s="1">
        <f t="shared" si="0"/>
        <v>34</v>
      </c>
      <c r="D35" s="1">
        <v>34</v>
      </c>
    </row>
    <row r="36" spans="1:4" x14ac:dyDescent="0.2">
      <c r="A36" s="1" t="s">
        <v>35</v>
      </c>
      <c r="B36" s="3">
        <f>VLOOKUP(A36,[3]TeamRtg!$A$3:$G$367,7,FALSE)</f>
        <v>1.38362833501808</v>
      </c>
      <c r="C36" s="1">
        <f t="shared" si="0"/>
        <v>35</v>
      </c>
      <c r="D36" s="1">
        <v>35</v>
      </c>
    </row>
    <row r="37" spans="1:4" x14ac:dyDescent="0.2">
      <c r="A37" s="1" t="s">
        <v>36</v>
      </c>
      <c r="B37" s="3">
        <f>VLOOKUP(A37,[3]TeamRtg!$A$3:$G$367,7,FALSE)</f>
        <v>1.3533485406526871</v>
      </c>
      <c r="C37" s="1">
        <f t="shared" si="0"/>
        <v>36</v>
      </c>
      <c r="D37" s="1">
        <v>36</v>
      </c>
    </row>
    <row r="38" spans="1:4" x14ac:dyDescent="0.2">
      <c r="A38" s="1" t="s">
        <v>37</v>
      </c>
      <c r="B38" s="3">
        <f>VLOOKUP(A38,[3]TeamRtg!$A$3:$G$367,7,FALSE)</f>
        <v>1.3520461843396117</v>
      </c>
      <c r="C38" s="1">
        <f t="shared" si="0"/>
        <v>37</v>
      </c>
      <c r="D38" s="1">
        <v>37</v>
      </c>
    </row>
    <row r="39" spans="1:4" x14ac:dyDescent="0.2">
      <c r="A39" s="1" t="s">
        <v>38</v>
      </c>
      <c r="B39" s="3">
        <f>VLOOKUP(A39,[3]TeamRtg!$A$3:$G$367,7,FALSE)</f>
        <v>1.3479887393320402</v>
      </c>
      <c r="C39" s="1">
        <f t="shared" si="0"/>
        <v>38</v>
      </c>
      <c r="D39" s="1">
        <v>38</v>
      </c>
    </row>
    <row r="40" spans="1:4" x14ac:dyDescent="0.2">
      <c r="A40" s="1" t="s">
        <v>39</v>
      </c>
      <c r="B40" s="3">
        <f>VLOOKUP(A40,[3]TeamRtg!$A$3:$G$367,7,FALSE)</f>
        <v>1.3172822635144787</v>
      </c>
      <c r="C40" s="1">
        <f t="shared" si="0"/>
        <v>39</v>
      </c>
      <c r="D40" s="1">
        <v>39</v>
      </c>
    </row>
    <row r="41" spans="1:4" x14ac:dyDescent="0.2">
      <c r="A41" s="1" t="s">
        <v>40</v>
      </c>
      <c r="B41" s="3">
        <f>VLOOKUP(A41,[3]TeamRtg!$A$3:$G$367,7,FALSE)</f>
        <v>1.3144214560116898</v>
      </c>
      <c r="C41" s="1">
        <f t="shared" si="0"/>
        <v>40</v>
      </c>
      <c r="D41" s="1">
        <v>40</v>
      </c>
    </row>
    <row r="42" spans="1:4" x14ac:dyDescent="0.2">
      <c r="A42" s="1" t="s">
        <v>41</v>
      </c>
      <c r="B42" s="3">
        <f>VLOOKUP(A42,[3]TeamRtg!$A$3:$G$367,7,FALSE)</f>
        <v>1.3132032839559562</v>
      </c>
      <c r="C42" s="1">
        <f t="shared" si="0"/>
        <v>41</v>
      </c>
      <c r="D42" s="1">
        <v>41</v>
      </c>
    </row>
    <row r="43" spans="1:4" x14ac:dyDescent="0.2">
      <c r="A43" s="1" t="s">
        <v>42</v>
      </c>
      <c r="B43" s="3">
        <f>VLOOKUP(A43,[3]TeamRtg!$A$3:$G$367,7,FALSE)</f>
        <v>1.2865619318093209</v>
      </c>
      <c r="C43" s="1">
        <f t="shared" si="0"/>
        <v>42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1.2841751141464008</v>
      </c>
      <c r="C44" s="1">
        <f t="shared" si="0"/>
        <v>43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1.231538227638399</v>
      </c>
      <c r="C45" s="1">
        <f t="shared" si="0"/>
        <v>44</v>
      </c>
      <c r="D45" s="1">
        <v>44</v>
      </c>
    </row>
    <row r="46" spans="1:4" x14ac:dyDescent="0.2">
      <c r="A46" s="1" t="s">
        <v>45</v>
      </c>
      <c r="B46" s="3">
        <f>VLOOKUP(A46,[3]TeamRtg!$A$3:$G$367,7,FALSE)</f>
        <v>1.2018572247713646</v>
      </c>
      <c r="C46" s="1">
        <f t="shared" si="0"/>
        <v>45</v>
      </c>
      <c r="D46" s="1">
        <v>45</v>
      </c>
    </row>
    <row r="47" spans="1:4" x14ac:dyDescent="0.2">
      <c r="A47" s="1" t="s">
        <v>46</v>
      </c>
      <c r="B47" s="3">
        <f>VLOOKUP(A47,[3]TeamRtg!$A$3:$G$367,7,FALSE)</f>
        <v>1.1895954205106734</v>
      </c>
      <c r="C47" s="1">
        <f t="shared" si="0"/>
        <v>46</v>
      </c>
      <c r="D47" s="1">
        <v>46</v>
      </c>
    </row>
    <row r="48" spans="1:4" x14ac:dyDescent="0.2">
      <c r="A48" s="1" t="s">
        <v>47</v>
      </c>
      <c r="B48" s="3">
        <f>VLOOKUP(A48,[3]TeamRtg!$A$3:$G$367,7,FALSE)</f>
        <v>1.1851517264525628</v>
      </c>
      <c r="C48" s="1">
        <f t="shared" si="0"/>
        <v>47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1.1815791700061402</v>
      </c>
      <c r="C49" s="1">
        <f t="shared" si="0"/>
        <v>48</v>
      </c>
      <c r="D49" s="1">
        <v>48</v>
      </c>
    </row>
    <row r="50" spans="1:4" x14ac:dyDescent="0.2">
      <c r="A50" s="1" t="s">
        <v>49</v>
      </c>
      <c r="B50" s="3">
        <f>VLOOKUP(A50,[3]TeamRtg!$A$3:$G$367,7,FALSE)</f>
        <v>1.1809156647092747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1.1620515175163943</v>
      </c>
      <c r="C51" s="1">
        <f t="shared" si="0"/>
        <v>50</v>
      </c>
      <c r="D51" s="1">
        <v>50</v>
      </c>
    </row>
    <row r="52" spans="1:4" x14ac:dyDescent="0.2">
      <c r="A52" s="1" t="s">
        <v>51</v>
      </c>
      <c r="B52" s="3">
        <f>VLOOKUP(A52,[3]TeamRtg!$A$3:$G$367,7,FALSE)</f>
        <v>1.1518540463889115</v>
      </c>
      <c r="C52" s="1">
        <f t="shared" si="0"/>
        <v>51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1.1149624372611135</v>
      </c>
      <c r="C53" s="1">
        <f t="shared" si="0"/>
        <v>52</v>
      </c>
      <c r="D53" s="1">
        <v>52</v>
      </c>
    </row>
    <row r="54" spans="1:4" x14ac:dyDescent="0.2">
      <c r="A54" s="1" t="s">
        <v>53</v>
      </c>
      <c r="B54" s="3">
        <f>VLOOKUP(A54,[3]TeamRtg!$A$3:$G$367,7,FALSE)</f>
        <v>1.1118899516550504</v>
      </c>
      <c r="C54" s="1">
        <f t="shared" si="0"/>
        <v>53</v>
      </c>
      <c r="D54" s="1">
        <v>53</v>
      </c>
    </row>
    <row r="55" spans="1:4" x14ac:dyDescent="0.2">
      <c r="A55" s="1" t="s">
        <v>54</v>
      </c>
      <c r="B55" s="3">
        <f>VLOOKUP(A55,[3]TeamRtg!$A$3:$G$367,7,FALSE)</f>
        <v>1.1063214642224515</v>
      </c>
      <c r="C55" s="1">
        <f t="shared" si="0"/>
        <v>54</v>
      </c>
      <c r="D55" s="1">
        <v>54</v>
      </c>
    </row>
    <row r="56" spans="1:4" x14ac:dyDescent="0.2">
      <c r="A56" s="1" t="s">
        <v>55</v>
      </c>
      <c r="B56" s="3">
        <f>VLOOKUP(A56,[3]TeamRtg!$A$3:$G$367,7,FALSE)</f>
        <v>1.0394796303811669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1.0341841355419608</v>
      </c>
      <c r="C57" s="1">
        <f t="shared" si="0"/>
        <v>56</v>
      </c>
      <c r="D57" s="1">
        <v>56</v>
      </c>
    </row>
    <row r="58" spans="1:4" x14ac:dyDescent="0.2">
      <c r="A58" s="1" t="s">
        <v>57</v>
      </c>
      <c r="B58" s="3">
        <f>VLOOKUP(A58,[3]TeamRtg!$A$3:$G$367,7,FALSE)</f>
        <v>1.0042013148134763</v>
      </c>
      <c r="C58" s="1">
        <f t="shared" si="0"/>
        <v>57</v>
      </c>
      <c r="D58" s="1">
        <v>57</v>
      </c>
    </row>
    <row r="59" spans="1:4" x14ac:dyDescent="0.2">
      <c r="A59" s="1" t="s">
        <v>58</v>
      </c>
      <c r="B59" s="3">
        <f>VLOOKUP(A59,[3]TeamRtg!$A$3:$G$367,7,FALSE)</f>
        <v>0.99823362249497716</v>
      </c>
      <c r="C59" s="1">
        <f t="shared" si="0"/>
        <v>58</v>
      </c>
      <c r="D59" s="1">
        <v>58</v>
      </c>
    </row>
    <row r="60" spans="1:4" x14ac:dyDescent="0.2">
      <c r="A60" s="1" t="s">
        <v>59</v>
      </c>
      <c r="B60" s="3">
        <f>VLOOKUP(A60,[3]TeamRtg!$A$3:$G$367,7,FALSE)</f>
        <v>0.99398378680027544</v>
      </c>
      <c r="C60" s="1">
        <f t="shared" si="0"/>
        <v>59</v>
      </c>
      <c r="D60" s="1">
        <v>59</v>
      </c>
    </row>
    <row r="61" spans="1:4" x14ac:dyDescent="0.2">
      <c r="A61" s="1" t="s">
        <v>60</v>
      </c>
      <c r="B61" s="3">
        <f>VLOOKUP(A61,[3]TeamRtg!$A$3:$G$367,7,FALSE)</f>
        <v>0.98364755459476283</v>
      </c>
      <c r="C61" s="1">
        <f t="shared" si="0"/>
        <v>60</v>
      </c>
      <c r="D61" s="1">
        <v>60</v>
      </c>
    </row>
    <row r="62" spans="1:4" x14ac:dyDescent="0.2">
      <c r="A62" s="1" t="s">
        <v>61</v>
      </c>
      <c r="B62" s="3">
        <f>VLOOKUP(A62,[3]TeamRtg!$A$3:$G$367,7,FALSE)</f>
        <v>0.97324392383608582</v>
      </c>
      <c r="C62" s="1">
        <f t="shared" si="0"/>
        <v>61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0.95459171852524305</v>
      </c>
      <c r="C63" s="1">
        <f t="shared" si="0"/>
        <v>62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0.9442672342975027</v>
      </c>
      <c r="C64" s="1">
        <f t="shared" si="0"/>
        <v>63</v>
      </c>
      <c r="D64" s="1">
        <v>63</v>
      </c>
    </row>
    <row r="65" spans="1:4" x14ac:dyDescent="0.2">
      <c r="A65" s="1" t="s">
        <v>64</v>
      </c>
      <c r="B65" s="3">
        <f>VLOOKUP(A65,[3]TeamRtg!$A$3:$G$367,7,FALSE)</f>
        <v>0.93888546100537829</v>
      </c>
      <c r="C65" s="1">
        <f t="shared" si="0"/>
        <v>64</v>
      </c>
      <c r="D65" s="1">
        <v>64</v>
      </c>
    </row>
    <row r="66" spans="1:4" x14ac:dyDescent="0.2">
      <c r="A66" s="1" t="s">
        <v>65</v>
      </c>
      <c r="B66" s="3">
        <f>VLOOKUP(A66,[3]TeamRtg!$A$3:$G$367,7,FALSE)</f>
        <v>0.91783228069724443</v>
      </c>
      <c r="C66" s="1">
        <f t="shared" si="0"/>
        <v>65</v>
      </c>
      <c r="D66" s="1">
        <v>65</v>
      </c>
    </row>
    <row r="67" spans="1:4" x14ac:dyDescent="0.2">
      <c r="A67" s="1" t="s">
        <v>66</v>
      </c>
      <c r="B67" s="3">
        <f>VLOOKUP(A67,[3]TeamRtg!$A$3:$G$367,7,FALSE)</f>
        <v>0.91616280024668972</v>
      </c>
      <c r="C67" s="1">
        <f t="shared" ref="C67:C130" si="1">RANK(B67,$B$2:$B$366)</f>
        <v>66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0.91196927043693876</v>
      </c>
      <c r="C68" s="1">
        <f t="shared" si="1"/>
        <v>67</v>
      </c>
      <c r="D68" s="1">
        <v>67</v>
      </c>
    </row>
    <row r="69" spans="1:4" x14ac:dyDescent="0.2">
      <c r="A69" s="1" t="s">
        <v>68</v>
      </c>
      <c r="B69" s="3">
        <f>VLOOKUP(A69,[3]TeamRtg!$A$3:$G$367,7,FALSE)</f>
        <v>0.91096293032768694</v>
      </c>
      <c r="C69" s="1">
        <f t="shared" si="1"/>
        <v>68</v>
      </c>
      <c r="D69" s="1">
        <v>68</v>
      </c>
    </row>
    <row r="70" spans="1:4" x14ac:dyDescent="0.2">
      <c r="A70" s="1" t="s">
        <v>69</v>
      </c>
      <c r="B70" s="3">
        <f>VLOOKUP(A70,[3]TeamRtg!$A$3:$G$367,7,FALSE)</f>
        <v>0.90665164918822827</v>
      </c>
      <c r="C70" s="1">
        <f t="shared" si="1"/>
        <v>69</v>
      </c>
      <c r="D70" s="1">
        <v>69</v>
      </c>
    </row>
    <row r="71" spans="1:4" x14ac:dyDescent="0.2">
      <c r="A71" s="1" t="s">
        <v>70</v>
      </c>
      <c r="B71" s="3">
        <f>VLOOKUP(A71,[3]TeamRtg!$A$3:$G$367,7,FALSE)</f>
        <v>0.8887860537865353</v>
      </c>
      <c r="C71" s="1">
        <f t="shared" si="1"/>
        <v>70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0.87733777761324039</v>
      </c>
      <c r="C72" s="1">
        <f t="shared" si="1"/>
        <v>71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0.84221856340046641</v>
      </c>
      <c r="C73" s="1">
        <f t="shared" si="1"/>
        <v>72</v>
      </c>
      <c r="D73" s="1">
        <v>72</v>
      </c>
    </row>
    <row r="74" spans="1:4" x14ac:dyDescent="0.2">
      <c r="A74" s="1" t="s">
        <v>73</v>
      </c>
      <c r="B74" s="3">
        <f>VLOOKUP(A74,[3]TeamRtg!$A$3:$G$367,7,FALSE)</f>
        <v>0.83486107447076674</v>
      </c>
      <c r="C74" s="1">
        <f t="shared" si="1"/>
        <v>73</v>
      </c>
      <c r="D74" s="1">
        <v>73</v>
      </c>
    </row>
    <row r="75" spans="1:4" x14ac:dyDescent="0.2">
      <c r="A75" s="1" t="s">
        <v>74</v>
      </c>
      <c r="B75" s="3">
        <f>VLOOKUP(A75,[3]TeamRtg!$A$3:$G$367,7,FALSE)</f>
        <v>0.81853363545691071</v>
      </c>
      <c r="C75" s="1">
        <f t="shared" si="1"/>
        <v>74</v>
      </c>
      <c r="D75" s="1">
        <v>74</v>
      </c>
    </row>
    <row r="76" spans="1:4" x14ac:dyDescent="0.2">
      <c r="A76" s="1" t="s">
        <v>75</v>
      </c>
      <c r="B76" s="3">
        <f>VLOOKUP(A76,[3]TeamRtg!$A$3:$G$367,7,FALSE)</f>
        <v>0.80750135037011306</v>
      </c>
      <c r="C76" s="1">
        <f t="shared" si="1"/>
        <v>75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0.80113058857399977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0.77960997344955352</v>
      </c>
      <c r="C78" s="1">
        <f t="shared" si="1"/>
        <v>77</v>
      </c>
      <c r="D78" s="1">
        <v>77</v>
      </c>
    </row>
    <row r="79" spans="1:4" x14ac:dyDescent="0.2">
      <c r="A79" s="1" t="s">
        <v>78</v>
      </c>
      <c r="B79" s="3">
        <f>VLOOKUP(A79,[3]TeamRtg!$A$3:$G$367,7,FALSE)</f>
        <v>0.76128882084466043</v>
      </c>
      <c r="C79" s="1">
        <f t="shared" si="1"/>
        <v>78</v>
      </c>
      <c r="D79" s="1">
        <v>78</v>
      </c>
    </row>
    <row r="80" spans="1:4" x14ac:dyDescent="0.2">
      <c r="A80" s="1" t="s">
        <v>79</v>
      </c>
      <c r="B80" s="3">
        <f>VLOOKUP(A80,[3]TeamRtg!$A$3:$G$367,7,FALSE)</f>
        <v>0.7548521587201632</v>
      </c>
      <c r="C80" s="1">
        <f t="shared" si="1"/>
        <v>79</v>
      </c>
      <c r="D80" s="1">
        <v>79</v>
      </c>
    </row>
    <row r="81" spans="1:4" x14ac:dyDescent="0.2">
      <c r="A81" s="1" t="s">
        <v>80</v>
      </c>
      <c r="B81" s="3">
        <f>VLOOKUP(A81,[3]TeamRtg!$A$3:$G$367,7,FALSE)</f>
        <v>0.73734808412822583</v>
      </c>
      <c r="C81" s="1">
        <f t="shared" si="1"/>
        <v>80</v>
      </c>
      <c r="D81" s="1">
        <v>80</v>
      </c>
    </row>
    <row r="82" spans="1:4" x14ac:dyDescent="0.2">
      <c r="A82" s="1" t="s">
        <v>81</v>
      </c>
      <c r="B82" s="3">
        <f>VLOOKUP(A82,[3]TeamRtg!$A$3:$G$367,7,FALSE)</f>
        <v>0.73381198907276535</v>
      </c>
      <c r="C82" s="1">
        <f t="shared" si="1"/>
        <v>81</v>
      </c>
      <c r="D82" s="1">
        <v>81</v>
      </c>
    </row>
    <row r="83" spans="1:4" x14ac:dyDescent="0.2">
      <c r="A83" s="1" t="s">
        <v>82</v>
      </c>
      <c r="B83" s="3">
        <f>VLOOKUP(A83,[3]TeamRtg!$A$3:$G$367,7,FALSE)</f>
        <v>0.70041808444048692</v>
      </c>
      <c r="C83" s="1">
        <f t="shared" si="1"/>
        <v>82</v>
      </c>
      <c r="D83" s="1">
        <v>82</v>
      </c>
    </row>
    <row r="84" spans="1:4" x14ac:dyDescent="0.2">
      <c r="A84" s="1" t="s">
        <v>83</v>
      </c>
      <c r="B84" s="3">
        <f>VLOOKUP(A84,[3]TeamRtg!$A$3:$G$367,7,FALSE)</f>
        <v>0.6973703006118539</v>
      </c>
      <c r="C84" s="1">
        <f t="shared" si="1"/>
        <v>83</v>
      </c>
      <c r="D84" s="1">
        <v>83</v>
      </c>
    </row>
    <row r="85" spans="1:4" x14ac:dyDescent="0.2">
      <c r="A85" s="1" t="s">
        <v>84</v>
      </c>
      <c r="B85" s="3">
        <f>VLOOKUP(A85,[3]TeamRtg!$A$3:$G$367,7,FALSE)</f>
        <v>0.69652771339524355</v>
      </c>
      <c r="C85" s="1">
        <f t="shared" si="1"/>
        <v>84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0.69251460574895629</v>
      </c>
      <c r="C86" s="1">
        <f t="shared" si="1"/>
        <v>85</v>
      </c>
      <c r="D86" s="1">
        <v>85</v>
      </c>
    </row>
    <row r="87" spans="1:4" x14ac:dyDescent="0.2">
      <c r="A87" s="1" t="s">
        <v>86</v>
      </c>
      <c r="B87" s="3">
        <f>VLOOKUP(A87,[3]TeamRtg!$A$3:$G$367,7,FALSE)</f>
        <v>0.68954070171123016</v>
      </c>
      <c r="C87" s="1">
        <f t="shared" si="1"/>
        <v>86</v>
      </c>
      <c r="D87" s="1">
        <v>86</v>
      </c>
    </row>
    <row r="88" spans="1:4" x14ac:dyDescent="0.2">
      <c r="A88" s="1" t="s">
        <v>87</v>
      </c>
      <c r="B88" s="3">
        <f>VLOOKUP(A88,[3]TeamRtg!$A$3:$G$367,7,FALSE)</f>
        <v>0.68245188165506343</v>
      </c>
      <c r="C88" s="1">
        <f t="shared" si="1"/>
        <v>87</v>
      </c>
      <c r="D88" s="1">
        <v>87</v>
      </c>
    </row>
    <row r="89" spans="1:4" x14ac:dyDescent="0.2">
      <c r="A89" s="1" t="s">
        <v>88</v>
      </c>
      <c r="B89" s="3">
        <f>VLOOKUP(A89,[3]TeamRtg!$A$3:$G$367,7,FALSE)</f>
        <v>0.68239071916365179</v>
      </c>
      <c r="C89" s="1">
        <f t="shared" si="1"/>
        <v>88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0.66749812019160537</v>
      </c>
      <c r="C90" s="1">
        <f t="shared" si="1"/>
        <v>89</v>
      </c>
      <c r="D90" s="1">
        <v>89</v>
      </c>
    </row>
    <row r="91" spans="1:4" x14ac:dyDescent="0.2">
      <c r="A91" s="1" t="s">
        <v>90</v>
      </c>
      <c r="B91" s="3">
        <f>VLOOKUP(A91,[3]TeamRtg!$A$3:$G$367,7,FALSE)</f>
        <v>0.66070629077729259</v>
      </c>
      <c r="C91" s="1">
        <f t="shared" si="1"/>
        <v>90</v>
      </c>
      <c r="D91" s="1">
        <v>90</v>
      </c>
    </row>
    <row r="92" spans="1:4" x14ac:dyDescent="0.2">
      <c r="A92" s="1" t="s">
        <v>91</v>
      </c>
      <c r="B92" s="3">
        <f>VLOOKUP(A92,[3]TeamRtg!$A$3:$G$367,7,FALSE)</f>
        <v>0.65950598425524054</v>
      </c>
      <c r="C92" s="1">
        <f t="shared" si="1"/>
        <v>91</v>
      </c>
      <c r="D92" s="1">
        <v>91</v>
      </c>
    </row>
    <row r="93" spans="1:4" x14ac:dyDescent="0.2">
      <c r="A93" s="1" t="s">
        <v>92</v>
      </c>
      <c r="B93" s="3">
        <f>VLOOKUP(A93,[3]TeamRtg!$A$3:$G$367,7,FALSE)</f>
        <v>0.65800792786915385</v>
      </c>
      <c r="C93" s="1">
        <f t="shared" si="1"/>
        <v>92</v>
      </c>
      <c r="D93" s="1">
        <v>92</v>
      </c>
    </row>
    <row r="94" spans="1:4" x14ac:dyDescent="0.2">
      <c r="A94" s="1" t="s">
        <v>93</v>
      </c>
      <c r="B94" s="3">
        <f>VLOOKUP(A94,[3]TeamRtg!$A$3:$G$367,7,FALSE)</f>
        <v>0.65505766893973727</v>
      </c>
      <c r="C94" s="1">
        <f t="shared" si="1"/>
        <v>93</v>
      </c>
      <c r="D94" s="1">
        <v>93</v>
      </c>
    </row>
    <row r="95" spans="1:4" x14ac:dyDescent="0.2">
      <c r="A95" s="1" t="s">
        <v>94</v>
      </c>
      <c r="B95" s="3">
        <f>VLOOKUP(A95,[3]TeamRtg!$A$3:$G$367,7,FALSE)</f>
        <v>0.65447331727958746</v>
      </c>
      <c r="C95" s="1">
        <f t="shared" si="1"/>
        <v>94</v>
      </c>
      <c r="D95" s="1">
        <v>94</v>
      </c>
    </row>
    <row r="96" spans="1:4" x14ac:dyDescent="0.2">
      <c r="A96" s="1" t="s">
        <v>95</v>
      </c>
      <c r="B96" s="3">
        <f>VLOOKUP(A96,[3]TeamRtg!$A$3:$G$367,7,FALSE)</f>
        <v>0.64918607587474308</v>
      </c>
      <c r="C96" s="1">
        <f t="shared" si="1"/>
        <v>95</v>
      </c>
      <c r="D96" s="1">
        <v>95</v>
      </c>
    </row>
    <row r="97" spans="1:4" x14ac:dyDescent="0.2">
      <c r="A97" s="1" t="s">
        <v>96</v>
      </c>
      <c r="B97" s="3">
        <f>VLOOKUP(A97,[3]TeamRtg!$A$3:$G$367,7,FALSE)</f>
        <v>0.59077214809259737</v>
      </c>
      <c r="C97" s="1">
        <f t="shared" si="1"/>
        <v>96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0.5904411008017445</v>
      </c>
      <c r="C98" s="1">
        <f t="shared" si="1"/>
        <v>97</v>
      </c>
      <c r="D98" s="1">
        <v>97</v>
      </c>
    </row>
    <row r="99" spans="1:4" x14ac:dyDescent="0.2">
      <c r="A99" s="1" t="s">
        <v>98</v>
      </c>
      <c r="B99" s="3">
        <f>VLOOKUP(A99,[3]TeamRtg!$A$3:$G$367,7,FALSE)</f>
        <v>0.58689744096280205</v>
      </c>
      <c r="C99" s="1">
        <f t="shared" si="1"/>
        <v>98</v>
      </c>
      <c r="D99" s="1">
        <v>98</v>
      </c>
    </row>
    <row r="100" spans="1:4" x14ac:dyDescent="0.2">
      <c r="A100" s="1" t="s">
        <v>99</v>
      </c>
      <c r="B100" s="3">
        <f>VLOOKUP(A100,[3]TeamRtg!$A$3:$G$367,7,FALSE)</f>
        <v>0.57704391230191709</v>
      </c>
      <c r="C100" s="1">
        <f t="shared" si="1"/>
        <v>99</v>
      </c>
      <c r="D100" s="1">
        <v>99</v>
      </c>
    </row>
    <row r="101" spans="1:4" x14ac:dyDescent="0.2">
      <c r="A101" s="1" t="s">
        <v>100</v>
      </c>
      <c r="B101" s="3">
        <f>VLOOKUP(A101,[3]TeamRtg!$A$3:$G$367,7,FALSE)</f>
        <v>0.56836017900835356</v>
      </c>
      <c r="C101" s="1">
        <f t="shared" si="1"/>
        <v>100</v>
      </c>
      <c r="D101" s="1">
        <v>100</v>
      </c>
    </row>
    <row r="102" spans="1:4" x14ac:dyDescent="0.2">
      <c r="A102" s="1" t="s">
        <v>101</v>
      </c>
      <c r="B102" s="3">
        <f>VLOOKUP(A102,[3]TeamRtg!$A$3:$G$367,7,FALSE)</f>
        <v>0.56303114393141862</v>
      </c>
      <c r="C102" s="1">
        <f t="shared" si="1"/>
        <v>101</v>
      </c>
      <c r="D102" s="1">
        <v>101</v>
      </c>
    </row>
    <row r="103" spans="1:4" x14ac:dyDescent="0.2">
      <c r="A103" s="1" t="s">
        <v>102</v>
      </c>
      <c r="B103" s="3">
        <f>VLOOKUP(A103,[3]TeamRtg!$A$3:$G$367,7,FALSE)</f>
        <v>0.54309956068755993</v>
      </c>
      <c r="C103" s="1">
        <f t="shared" si="1"/>
        <v>102</v>
      </c>
      <c r="D103" s="1">
        <v>102</v>
      </c>
    </row>
    <row r="104" spans="1:4" x14ac:dyDescent="0.2">
      <c r="A104" s="1" t="s">
        <v>103</v>
      </c>
      <c r="B104" s="3">
        <f>VLOOKUP(A104,[3]TeamRtg!$A$3:$G$367,7,FALSE)</f>
        <v>0.53645532744012492</v>
      </c>
      <c r="C104" s="1">
        <f t="shared" si="1"/>
        <v>103</v>
      </c>
      <c r="D104" s="1">
        <v>103</v>
      </c>
    </row>
    <row r="105" spans="1:4" x14ac:dyDescent="0.2">
      <c r="A105" s="1" t="s">
        <v>104</v>
      </c>
      <c r="B105" s="3">
        <f>VLOOKUP(A105,[3]TeamRtg!$A$3:$G$367,7,FALSE)</f>
        <v>0.5347636606745948</v>
      </c>
      <c r="C105" s="1">
        <f t="shared" si="1"/>
        <v>104</v>
      </c>
      <c r="D105" s="1">
        <v>104</v>
      </c>
    </row>
    <row r="106" spans="1:4" x14ac:dyDescent="0.2">
      <c r="A106" s="1" t="s">
        <v>105</v>
      </c>
      <c r="B106" s="3">
        <f>VLOOKUP(A106,[3]TeamRtg!$A$3:$G$367,7,FALSE)</f>
        <v>0.53417289309991911</v>
      </c>
      <c r="C106" s="1">
        <f t="shared" si="1"/>
        <v>105</v>
      </c>
      <c r="D106" s="1">
        <v>105</v>
      </c>
    </row>
    <row r="107" spans="1:4" x14ac:dyDescent="0.2">
      <c r="A107" s="1" t="s">
        <v>106</v>
      </c>
      <c r="B107" s="3">
        <f>VLOOKUP(A107,[3]TeamRtg!$A$3:$G$367,7,FALSE)</f>
        <v>0.51123064595019962</v>
      </c>
      <c r="C107" s="1">
        <f t="shared" si="1"/>
        <v>106</v>
      </c>
      <c r="D107" s="1">
        <v>106</v>
      </c>
    </row>
    <row r="108" spans="1:4" x14ac:dyDescent="0.2">
      <c r="A108" s="1" t="s">
        <v>107</v>
      </c>
      <c r="B108" s="3">
        <f>VLOOKUP(A108,[3]TeamRtg!$A$3:$G$367,7,FALSE)</f>
        <v>0.4931165593975198</v>
      </c>
      <c r="C108" s="1">
        <f t="shared" si="1"/>
        <v>107</v>
      </c>
      <c r="D108" s="1">
        <v>107</v>
      </c>
    </row>
    <row r="109" spans="1:4" x14ac:dyDescent="0.2">
      <c r="A109" s="1" t="s">
        <v>108</v>
      </c>
      <c r="B109" s="3">
        <f>VLOOKUP(A109,[3]TeamRtg!$A$3:$G$367,7,FALSE)</f>
        <v>0.48069679240660701</v>
      </c>
      <c r="C109" s="1">
        <f t="shared" si="1"/>
        <v>108</v>
      </c>
      <c r="D109" s="1">
        <v>108</v>
      </c>
    </row>
    <row r="110" spans="1:4" x14ac:dyDescent="0.2">
      <c r="A110" s="1" t="s">
        <v>109</v>
      </c>
      <c r="B110" s="3">
        <f>VLOOKUP(A110,[3]TeamRtg!$A$3:$G$367,7,FALSE)</f>
        <v>0.47819663789257655</v>
      </c>
      <c r="C110" s="1">
        <f t="shared" si="1"/>
        <v>109</v>
      </c>
      <c r="D110" s="1">
        <v>109</v>
      </c>
    </row>
    <row r="111" spans="1:4" x14ac:dyDescent="0.2">
      <c r="A111" s="1" t="s">
        <v>110</v>
      </c>
      <c r="B111" s="3">
        <f>VLOOKUP(A111,[3]TeamRtg!$A$3:$G$367,7,FALSE)</f>
        <v>0.47487155525376701</v>
      </c>
      <c r="C111" s="1">
        <f t="shared" si="1"/>
        <v>110</v>
      </c>
      <c r="D111" s="1">
        <v>110</v>
      </c>
    </row>
    <row r="112" spans="1:4" x14ac:dyDescent="0.2">
      <c r="A112" s="1" t="s">
        <v>111</v>
      </c>
      <c r="B112" s="3">
        <f>VLOOKUP(A112,[3]TeamRtg!$A$3:$G$367,7,FALSE)</f>
        <v>0.47381224661452054</v>
      </c>
      <c r="C112" s="1">
        <f t="shared" si="1"/>
        <v>111</v>
      </c>
      <c r="D112" s="1">
        <v>111</v>
      </c>
    </row>
    <row r="113" spans="1:4" x14ac:dyDescent="0.2">
      <c r="A113" s="1" t="s">
        <v>112</v>
      </c>
      <c r="B113" s="3">
        <f>VLOOKUP(A113,[3]TeamRtg!$A$3:$G$367,7,FALSE)</f>
        <v>0.47002676950829242</v>
      </c>
      <c r="C113" s="1">
        <f t="shared" si="1"/>
        <v>112</v>
      </c>
      <c r="D113" s="1">
        <v>112</v>
      </c>
    </row>
    <row r="114" spans="1:4" x14ac:dyDescent="0.2">
      <c r="A114" s="1" t="s">
        <v>113</v>
      </c>
      <c r="B114" s="3">
        <f>VLOOKUP(A114,[3]TeamRtg!$A$3:$G$367,7,FALSE)</f>
        <v>0.46797567008489166</v>
      </c>
      <c r="C114" s="1">
        <f t="shared" si="1"/>
        <v>113</v>
      </c>
      <c r="D114" s="1">
        <v>113</v>
      </c>
    </row>
    <row r="115" spans="1:4" x14ac:dyDescent="0.2">
      <c r="A115" s="1" t="s">
        <v>114</v>
      </c>
      <c r="B115" s="3">
        <f>VLOOKUP(A115,[3]TeamRtg!$A$3:$G$367,7,FALSE)</f>
        <v>0.45886630953168611</v>
      </c>
      <c r="C115" s="1">
        <f t="shared" si="1"/>
        <v>114</v>
      </c>
      <c r="D115" s="1">
        <v>114</v>
      </c>
    </row>
    <row r="116" spans="1:4" x14ac:dyDescent="0.2">
      <c r="A116" s="1" t="s">
        <v>115</v>
      </c>
      <c r="B116" s="3">
        <f>VLOOKUP(A116,[3]TeamRtg!$A$3:$G$367,7,FALSE)</f>
        <v>0.45618936353472023</v>
      </c>
      <c r="C116" s="1">
        <f t="shared" si="1"/>
        <v>115</v>
      </c>
      <c r="D116" s="1">
        <v>115</v>
      </c>
    </row>
    <row r="117" spans="1:4" x14ac:dyDescent="0.2">
      <c r="A117" s="1" t="s">
        <v>116</v>
      </c>
      <c r="B117" s="3">
        <f>VLOOKUP(A117,[3]TeamRtg!$A$3:$G$367,7,FALSE)</f>
        <v>0.45314744839260535</v>
      </c>
      <c r="C117" s="1">
        <f t="shared" si="1"/>
        <v>116</v>
      </c>
      <c r="D117" s="1">
        <v>116</v>
      </c>
    </row>
    <row r="118" spans="1:4" x14ac:dyDescent="0.2">
      <c r="A118" s="1" t="s">
        <v>117</v>
      </c>
      <c r="B118" s="3">
        <f>VLOOKUP(A118,[3]TeamRtg!$A$3:$G$367,7,FALSE)</f>
        <v>0.44390387597135506</v>
      </c>
      <c r="C118" s="1">
        <f t="shared" si="1"/>
        <v>117</v>
      </c>
      <c r="D118" s="1">
        <v>117</v>
      </c>
    </row>
    <row r="119" spans="1:4" x14ac:dyDescent="0.2">
      <c r="A119" s="1" t="s">
        <v>118</v>
      </c>
      <c r="B119" s="3">
        <f>VLOOKUP(A119,[3]TeamRtg!$A$3:$G$367,7,FALSE)</f>
        <v>0.44310516198905275</v>
      </c>
      <c r="C119" s="1">
        <f t="shared" si="1"/>
        <v>118</v>
      </c>
      <c r="D119" s="1">
        <v>118</v>
      </c>
    </row>
    <row r="120" spans="1:4" x14ac:dyDescent="0.2">
      <c r="A120" s="1" t="s">
        <v>119</v>
      </c>
      <c r="B120" s="3">
        <f>VLOOKUP(A120,[3]TeamRtg!$A$3:$G$367,7,FALSE)</f>
        <v>0.43156405101263251</v>
      </c>
      <c r="C120" s="1">
        <f t="shared" si="1"/>
        <v>119</v>
      </c>
      <c r="D120" s="1">
        <v>119</v>
      </c>
    </row>
    <row r="121" spans="1:4" x14ac:dyDescent="0.2">
      <c r="A121" s="1" t="s">
        <v>120</v>
      </c>
      <c r="B121" s="3">
        <f>VLOOKUP(A121,[3]TeamRtg!$A$3:$G$367,7,FALSE)</f>
        <v>0.43076566633457458</v>
      </c>
      <c r="C121" s="1">
        <f t="shared" si="1"/>
        <v>120</v>
      </c>
      <c r="D121" s="1">
        <v>120</v>
      </c>
    </row>
    <row r="122" spans="1:4" x14ac:dyDescent="0.2">
      <c r="A122" s="1" t="s">
        <v>121</v>
      </c>
      <c r="B122" s="3">
        <f>VLOOKUP(A122,[3]TeamRtg!$A$3:$G$367,7,FALSE)</f>
        <v>0.42777553504004895</v>
      </c>
      <c r="C122" s="1">
        <f t="shared" si="1"/>
        <v>121</v>
      </c>
      <c r="D122" s="1">
        <v>121</v>
      </c>
    </row>
    <row r="123" spans="1:4" x14ac:dyDescent="0.2">
      <c r="A123" s="1" t="s">
        <v>122</v>
      </c>
      <c r="B123" s="3">
        <f>VLOOKUP(A123,[3]TeamRtg!$A$3:$G$367,7,FALSE)</f>
        <v>0.41746546764937026</v>
      </c>
      <c r="C123" s="1">
        <f t="shared" si="1"/>
        <v>122</v>
      </c>
      <c r="D123" s="1">
        <v>122</v>
      </c>
    </row>
    <row r="124" spans="1:4" x14ac:dyDescent="0.2">
      <c r="A124" s="1" t="s">
        <v>123</v>
      </c>
      <c r="B124" s="3">
        <f>VLOOKUP(A124,[3]TeamRtg!$A$3:$G$367,7,FALSE)</f>
        <v>0.40569952627676836</v>
      </c>
      <c r="C124" s="1">
        <f t="shared" si="1"/>
        <v>123</v>
      </c>
      <c r="D124" s="1">
        <v>123</v>
      </c>
    </row>
    <row r="125" spans="1:4" x14ac:dyDescent="0.2">
      <c r="A125" s="1" t="s">
        <v>124</v>
      </c>
      <c r="B125" s="3">
        <f>VLOOKUP(A125,[3]TeamRtg!$A$3:$G$367,7,FALSE)</f>
        <v>0.40069105173202801</v>
      </c>
      <c r="C125" s="1">
        <f t="shared" si="1"/>
        <v>124</v>
      </c>
      <c r="D125" s="1">
        <v>124</v>
      </c>
    </row>
    <row r="126" spans="1:4" x14ac:dyDescent="0.2">
      <c r="A126" s="1" t="s">
        <v>125</v>
      </c>
      <c r="B126" s="3">
        <f>VLOOKUP(A126,[3]TeamRtg!$A$3:$G$367,7,FALSE)</f>
        <v>0.39865104950794877</v>
      </c>
      <c r="C126" s="1">
        <f t="shared" si="1"/>
        <v>125</v>
      </c>
      <c r="D126" s="1">
        <v>125</v>
      </c>
    </row>
    <row r="127" spans="1:4" x14ac:dyDescent="0.2">
      <c r="A127" s="1" t="s">
        <v>126</v>
      </c>
      <c r="B127" s="3">
        <f>VLOOKUP(A127,[3]TeamRtg!$A$3:$G$367,7,FALSE)</f>
        <v>0.38467595163830437</v>
      </c>
      <c r="C127" s="1">
        <f t="shared" si="1"/>
        <v>126</v>
      </c>
      <c r="D127" s="1">
        <v>126</v>
      </c>
    </row>
    <row r="128" spans="1:4" x14ac:dyDescent="0.2">
      <c r="A128" s="1" t="s">
        <v>127</v>
      </c>
      <c r="B128" s="3">
        <f>VLOOKUP(A128,[3]TeamRtg!$A$3:$G$367,7,FALSE)</f>
        <v>0.38032591064399224</v>
      </c>
      <c r="C128" s="1">
        <f t="shared" si="1"/>
        <v>127</v>
      </c>
      <c r="D128" s="1">
        <v>127</v>
      </c>
    </row>
    <row r="129" spans="1:4" x14ac:dyDescent="0.2">
      <c r="A129" s="1" t="s">
        <v>128</v>
      </c>
      <c r="B129" s="3">
        <f>VLOOKUP(A129,[3]TeamRtg!$A$3:$G$367,7,FALSE)</f>
        <v>0.37045066805650118</v>
      </c>
      <c r="C129" s="1">
        <f t="shared" si="1"/>
        <v>128</v>
      </c>
      <c r="D129" s="1">
        <v>128</v>
      </c>
    </row>
    <row r="130" spans="1:4" x14ac:dyDescent="0.2">
      <c r="A130" s="1" t="s">
        <v>129</v>
      </c>
      <c r="B130" s="3">
        <f>VLOOKUP(A130,[3]TeamRtg!$A$3:$G$367,7,FALSE)</f>
        <v>0.36897972290752989</v>
      </c>
      <c r="C130" s="1">
        <f t="shared" si="1"/>
        <v>129</v>
      </c>
      <c r="D130" s="1">
        <v>129</v>
      </c>
    </row>
    <row r="131" spans="1:4" x14ac:dyDescent="0.2">
      <c r="A131" s="1" t="s">
        <v>130</v>
      </c>
      <c r="B131" s="3">
        <f>VLOOKUP(A131,[3]TeamRtg!$A$3:$G$367,7,FALSE)</f>
        <v>0.36142979061423142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0.3468263044240425</v>
      </c>
      <c r="C132" s="1">
        <f t="shared" si="2"/>
        <v>131</v>
      </c>
      <c r="D132" s="1">
        <v>131</v>
      </c>
    </row>
    <row r="133" spans="1:4" x14ac:dyDescent="0.2">
      <c r="A133" s="1" t="s">
        <v>132</v>
      </c>
      <c r="B133" s="3">
        <f>VLOOKUP(A133,[3]TeamRtg!$A$3:$G$367,7,FALSE)</f>
        <v>0.32242652084191253</v>
      </c>
      <c r="C133" s="1">
        <f t="shared" si="2"/>
        <v>132</v>
      </c>
      <c r="D133" s="1">
        <v>132</v>
      </c>
    </row>
    <row r="134" spans="1:4" x14ac:dyDescent="0.2">
      <c r="A134" s="1" t="s">
        <v>133</v>
      </c>
      <c r="B134" s="3">
        <f>VLOOKUP(A134,[3]TeamRtg!$A$3:$G$367,7,FALSE)</f>
        <v>0.31020056590892936</v>
      </c>
      <c r="C134" s="1">
        <f t="shared" si="2"/>
        <v>133</v>
      </c>
      <c r="D134" s="1">
        <v>133</v>
      </c>
    </row>
    <row r="135" spans="1:4" x14ac:dyDescent="0.2">
      <c r="A135" s="1" t="s">
        <v>134</v>
      </c>
      <c r="B135" s="3">
        <f>VLOOKUP(A135,[3]TeamRtg!$A$3:$G$367,7,FALSE)</f>
        <v>0.30529682017896603</v>
      </c>
      <c r="C135" s="1">
        <f t="shared" si="2"/>
        <v>134</v>
      </c>
      <c r="D135" s="1">
        <v>134</v>
      </c>
    </row>
    <row r="136" spans="1:4" x14ac:dyDescent="0.2">
      <c r="A136" s="1" t="s">
        <v>135</v>
      </c>
      <c r="B136" s="3">
        <f>VLOOKUP(A136,[3]TeamRtg!$A$3:$G$367,7,FALSE)</f>
        <v>0.30097577128243275</v>
      </c>
      <c r="C136" s="1">
        <f t="shared" si="2"/>
        <v>135</v>
      </c>
      <c r="D136" s="1">
        <v>135</v>
      </c>
    </row>
    <row r="137" spans="1:4" x14ac:dyDescent="0.2">
      <c r="A137" s="1" t="s">
        <v>136</v>
      </c>
      <c r="B137" s="3">
        <f>VLOOKUP(A137,[3]TeamRtg!$A$3:$G$367,7,FALSE)</f>
        <v>0.30097510380900111</v>
      </c>
      <c r="C137" s="1">
        <f t="shared" si="2"/>
        <v>136</v>
      </c>
      <c r="D137" s="1">
        <v>136</v>
      </c>
    </row>
    <row r="138" spans="1:4" x14ac:dyDescent="0.2">
      <c r="A138" s="1" t="s">
        <v>137</v>
      </c>
      <c r="B138" s="3">
        <f>VLOOKUP(A138,[3]TeamRtg!$A$3:$G$367,7,FALSE)</f>
        <v>0.29960896505129347</v>
      </c>
      <c r="C138" s="1">
        <f t="shared" si="2"/>
        <v>137</v>
      </c>
      <c r="D138" s="1">
        <v>137</v>
      </c>
    </row>
    <row r="139" spans="1:4" x14ac:dyDescent="0.2">
      <c r="A139" s="1" t="s">
        <v>138</v>
      </c>
      <c r="B139" s="3">
        <f>VLOOKUP(A139,[3]TeamRtg!$A$3:$G$367,7,FALSE)</f>
        <v>0.29446359363038893</v>
      </c>
      <c r="C139" s="1">
        <f t="shared" si="2"/>
        <v>138</v>
      </c>
      <c r="D139" s="1">
        <v>138</v>
      </c>
    </row>
    <row r="140" spans="1:4" x14ac:dyDescent="0.2">
      <c r="A140" s="1" t="s">
        <v>139</v>
      </c>
      <c r="B140" s="3">
        <f>VLOOKUP(A140,[3]TeamRtg!$A$3:$G$367,7,FALSE)</f>
        <v>0.29112697056389814</v>
      </c>
      <c r="C140" s="1">
        <f t="shared" si="2"/>
        <v>139</v>
      </c>
      <c r="D140" s="1">
        <v>139</v>
      </c>
    </row>
    <row r="141" spans="1:4" x14ac:dyDescent="0.2">
      <c r="A141" s="1" t="s">
        <v>140</v>
      </c>
      <c r="B141" s="3">
        <f>VLOOKUP(A141,[3]TeamRtg!$A$3:$G$367,7,FALSE)</f>
        <v>0.28590626815760067</v>
      </c>
      <c r="C141" s="1">
        <f t="shared" si="2"/>
        <v>140</v>
      </c>
      <c r="D141" s="1">
        <v>140</v>
      </c>
    </row>
    <row r="142" spans="1:4" x14ac:dyDescent="0.2">
      <c r="A142" s="1" t="s">
        <v>141</v>
      </c>
      <c r="B142" s="3">
        <f>VLOOKUP(A142,[3]TeamRtg!$A$3:$G$367,7,FALSE)</f>
        <v>0.28446912773975397</v>
      </c>
      <c r="C142" s="1">
        <f t="shared" si="2"/>
        <v>141</v>
      </c>
      <c r="D142" s="1">
        <v>141</v>
      </c>
    </row>
    <row r="143" spans="1:4" x14ac:dyDescent="0.2">
      <c r="A143" s="1" t="s">
        <v>142</v>
      </c>
      <c r="B143" s="3">
        <f>VLOOKUP(A143,[3]TeamRtg!$A$3:$G$367,7,FALSE)</f>
        <v>0.28030141729219071</v>
      </c>
      <c r="C143" s="1">
        <f t="shared" si="2"/>
        <v>142</v>
      </c>
      <c r="D143" s="1">
        <v>142</v>
      </c>
    </row>
    <row r="144" spans="1:4" x14ac:dyDescent="0.2">
      <c r="A144" s="1" t="s">
        <v>143</v>
      </c>
      <c r="B144" s="3">
        <f>VLOOKUP(A144,[3]TeamRtg!$A$3:$G$367,7,FALSE)</f>
        <v>0.27649100218550049</v>
      </c>
      <c r="C144" s="1">
        <f t="shared" si="2"/>
        <v>143</v>
      </c>
      <c r="D144" s="1">
        <v>143</v>
      </c>
    </row>
    <row r="145" spans="1:4" x14ac:dyDescent="0.2">
      <c r="A145" s="1" t="s">
        <v>144</v>
      </c>
      <c r="B145" s="3">
        <f>VLOOKUP(A145,[3]TeamRtg!$A$3:$G$367,7,FALSE)</f>
        <v>0.2749228116833895</v>
      </c>
      <c r="C145" s="1">
        <f t="shared" si="2"/>
        <v>144</v>
      </c>
      <c r="D145" s="1">
        <v>144</v>
      </c>
    </row>
    <row r="146" spans="1:4" x14ac:dyDescent="0.2">
      <c r="A146" s="1" t="s">
        <v>145</v>
      </c>
      <c r="B146" s="3">
        <f>VLOOKUP(A146,[3]TeamRtg!$A$3:$G$367,7,FALSE)</f>
        <v>0.26999923288831146</v>
      </c>
      <c r="C146" s="1">
        <f t="shared" si="2"/>
        <v>145</v>
      </c>
      <c r="D146" s="1">
        <v>145</v>
      </c>
    </row>
    <row r="147" spans="1:4" x14ac:dyDescent="0.2">
      <c r="A147" s="1" t="s">
        <v>146</v>
      </c>
      <c r="B147" s="3">
        <f>VLOOKUP(A147,[3]TeamRtg!$A$3:$G$367,7,FALSE)</f>
        <v>0.26840507699509264</v>
      </c>
      <c r="C147" s="1">
        <f t="shared" si="2"/>
        <v>146</v>
      </c>
      <c r="D147" s="1">
        <v>146</v>
      </c>
    </row>
    <row r="148" spans="1:4" x14ac:dyDescent="0.2">
      <c r="A148" s="1" t="s">
        <v>147</v>
      </c>
      <c r="B148" s="3">
        <f>VLOOKUP(A148,[3]TeamRtg!$A$3:$G$367,7,FALSE)</f>
        <v>0.26553318250887847</v>
      </c>
      <c r="C148" s="1">
        <f t="shared" si="2"/>
        <v>147</v>
      </c>
      <c r="D148" s="1">
        <v>147</v>
      </c>
    </row>
    <row r="149" spans="1:4" x14ac:dyDescent="0.2">
      <c r="A149" s="1" t="s">
        <v>148</v>
      </c>
      <c r="B149" s="3">
        <f>VLOOKUP(A149,[3]TeamRtg!$A$3:$G$367,7,FALSE)</f>
        <v>0.25633280133573955</v>
      </c>
      <c r="C149" s="1">
        <f t="shared" si="2"/>
        <v>148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0.24348465388698473</v>
      </c>
      <c r="C150" s="1">
        <f t="shared" si="2"/>
        <v>149</v>
      </c>
      <c r="D150" s="1">
        <v>149</v>
      </c>
    </row>
    <row r="151" spans="1:4" x14ac:dyDescent="0.2">
      <c r="A151" s="1" t="s">
        <v>150</v>
      </c>
      <c r="B151" s="3">
        <f>VLOOKUP(A151,[3]TeamRtg!$A$3:$G$367,7,FALSE)</f>
        <v>0.24153123110064847</v>
      </c>
      <c r="C151" s="1">
        <f t="shared" si="2"/>
        <v>150</v>
      </c>
      <c r="D151" s="1">
        <v>150</v>
      </c>
    </row>
    <row r="152" spans="1:4" x14ac:dyDescent="0.2">
      <c r="A152" s="1" t="s">
        <v>151</v>
      </c>
      <c r="B152" s="3">
        <f>VLOOKUP(A152,[3]TeamRtg!$A$3:$G$367,7,FALSE)</f>
        <v>0.23565526299872172</v>
      </c>
      <c r="C152" s="1">
        <f t="shared" si="2"/>
        <v>151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0.23250852591702884</v>
      </c>
      <c r="C153" s="1">
        <f t="shared" si="2"/>
        <v>152</v>
      </c>
      <c r="D153" s="1">
        <v>152</v>
      </c>
    </row>
    <row r="154" spans="1:4" x14ac:dyDescent="0.2">
      <c r="A154" s="1" t="s">
        <v>153</v>
      </c>
      <c r="B154" s="3">
        <f>VLOOKUP(A154,[3]TeamRtg!$A$3:$G$367,7,FALSE)</f>
        <v>0.22123882282822888</v>
      </c>
      <c r="C154" s="1">
        <f t="shared" si="2"/>
        <v>153</v>
      </c>
      <c r="D154" s="1">
        <v>153</v>
      </c>
    </row>
    <row r="155" spans="1:4" x14ac:dyDescent="0.2">
      <c r="A155" s="1" t="s">
        <v>154</v>
      </c>
      <c r="B155" s="3">
        <f>VLOOKUP(A155,[3]TeamRtg!$A$3:$G$367,7,FALSE)</f>
        <v>0.21955637054089638</v>
      </c>
      <c r="C155" s="1">
        <f t="shared" si="2"/>
        <v>154</v>
      </c>
      <c r="D155" s="1">
        <v>154</v>
      </c>
    </row>
    <row r="156" spans="1:4" x14ac:dyDescent="0.2">
      <c r="A156" s="1" t="s">
        <v>155</v>
      </c>
      <c r="B156" s="3">
        <f>VLOOKUP(A156,[3]TeamRtg!$A$3:$G$367,7,FALSE)</f>
        <v>0.20856048149441606</v>
      </c>
      <c r="C156" s="1">
        <f t="shared" si="2"/>
        <v>155</v>
      </c>
      <c r="D156" s="1">
        <v>155</v>
      </c>
    </row>
    <row r="157" spans="1:4" x14ac:dyDescent="0.2">
      <c r="A157" s="1" t="s">
        <v>156</v>
      </c>
      <c r="B157" s="3">
        <f>VLOOKUP(A157,[3]TeamRtg!$A$3:$G$367,7,FALSE)</f>
        <v>0.20231136703683256</v>
      </c>
      <c r="C157" s="1">
        <f t="shared" si="2"/>
        <v>156</v>
      </c>
      <c r="D157" s="1">
        <v>156</v>
      </c>
    </row>
    <row r="158" spans="1:4" x14ac:dyDescent="0.2">
      <c r="A158" s="1" t="s">
        <v>157</v>
      </c>
      <c r="B158" s="3">
        <f>VLOOKUP(A158,[3]TeamRtg!$A$3:$G$367,7,FALSE)</f>
        <v>0.18300790522485716</v>
      </c>
      <c r="C158" s="1">
        <f t="shared" si="2"/>
        <v>157</v>
      </c>
      <c r="D158" s="1">
        <v>157</v>
      </c>
    </row>
    <row r="159" spans="1:4" x14ac:dyDescent="0.2">
      <c r="A159" s="1" t="s">
        <v>158</v>
      </c>
      <c r="B159" s="3">
        <f>VLOOKUP(A159,[3]TeamRtg!$A$3:$G$367,7,FALSE)</f>
        <v>0.17943098858618534</v>
      </c>
      <c r="C159" s="1">
        <f t="shared" si="2"/>
        <v>158</v>
      </c>
      <c r="D159" s="1">
        <v>158</v>
      </c>
    </row>
    <row r="160" spans="1:4" x14ac:dyDescent="0.2">
      <c r="A160" s="1" t="s">
        <v>159</v>
      </c>
      <c r="B160" s="3">
        <f>VLOOKUP(A160,[3]TeamRtg!$A$3:$G$367,7,FALSE)</f>
        <v>0.1722627291151434</v>
      </c>
      <c r="C160" s="1">
        <f t="shared" si="2"/>
        <v>159</v>
      </c>
      <c r="D160" s="1">
        <v>159</v>
      </c>
    </row>
    <row r="161" spans="1:4" x14ac:dyDescent="0.2">
      <c r="A161" s="1" t="s">
        <v>160</v>
      </c>
      <c r="B161" s="3">
        <f>VLOOKUP(A161,[3]TeamRtg!$A$3:$G$367,7,FALSE)</f>
        <v>0.17146088147970712</v>
      </c>
      <c r="C161" s="1">
        <f t="shared" si="2"/>
        <v>160</v>
      </c>
      <c r="D161" s="1">
        <v>160</v>
      </c>
    </row>
    <row r="162" spans="1:4" x14ac:dyDescent="0.2">
      <c r="A162" s="1" t="s">
        <v>161</v>
      </c>
      <c r="B162" s="3">
        <f>VLOOKUP(A162,[3]TeamRtg!$A$3:$G$367,7,FALSE)</f>
        <v>0.16516464615456433</v>
      </c>
      <c r="C162" s="1">
        <f t="shared" si="2"/>
        <v>161</v>
      </c>
      <c r="D162" s="1">
        <v>161</v>
      </c>
    </row>
    <row r="163" spans="1:4" x14ac:dyDescent="0.2">
      <c r="A163" s="1" t="s">
        <v>162</v>
      </c>
      <c r="B163" s="3">
        <f>VLOOKUP(A163,[3]TeamRtg!$A$3:$G$367,7,FALSE)</f>
        <v>0.14471927485907549</v>
      </c>
      <c r="C163" s="1">
        <f t="shared" si="2"/>
        <v>162</v>
      </c>
      <c r="D163" s="1">
        <v>162</v>
      </c>
    </row>
    <row r="164" spans="1:4" x14ac:dyDescent="0.2">
      <c r="A164" s="1" t="s">
        <v>163</v>
      </c>
      <c r="B164" s="3">
        <f>VLOOKUP(A164,[3]TeamRtg!$A$3:$G$367,7,FALSE)</f>
        <v>0.11684253246292174</v>
      </c>
      <c r="C164" s="1">
        <f t="shared" si="2"/>
        <v>163</v>
      </c>
      <c r="D164" s="1">
        <v>163</v>
      </c>
    </row>
    <row r="165" spans="1:4" x14ac:dyDescent="0.2">
      <c r="A165" s="1" t="s">
        <v>164</v>
      </c>
      <c r="B165" s="3">
        <f>VLOOKUP(A165,[3]TeamRtg!$A$3:$G$367,7,FALSE)</f>
        <v>0.10344668979458027</v>
      </c>
      <c r="C165" s="1">
        <f t="shared" si="2"/>
        <v>164</v>
      </c>
      <c r="D165" s="1">
        <v>164</v>
      </c>
    </row>
    <row r="166" spans="1:4" x14ac:dyDescent="0.2">
      <c r="A166" s="1" t="s">
        <v>165</v>
      </c>
      <c r="B166" s="3">
        <f>VLOOKUP(A166,[3]TeamRtg!$A$3:$G$367,7,FALSE)</f>
        <v>9.9584726866465231E-2</v>
      </c>
      <c r="C166" s="1">
        <f t="shared" si="2"/>
        <v>165</v>
      </c>
      <c r="D166" s="1">
        <v>165</v>
      </c>
    </row>
    <row r="167" spans="1:4" x14ac:dyDescent="0.2">
      <c r="A167" s="1" t="s">
        <v>166</v>
      </c>
      <c r="B167" s="3">
        <f>VLOOKUP(A167,[3]TeamRtg!$A$3:$G$367,7,FALSE)</f>
        <v>9.7190789272166497E-2</v>
      </c>
      <c r="C167" s="1">
        <f t="shared" si="2"/>
        <v>166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8.8957282703664667E-2</v>
      </c>
      <c r="C168" s="1">
        <f t="shared" si="2"/>
        <v>167</v>
      </c>
      <c r="D168" s="1">
        <v>167</v>
      </c>
    </row>
    <row r="169" spans="1:4" x14ac:dyDescent="0.2">
      <c r="A169" s="1" t="s">
        <v>168</v>
      </c>
      <c r="B169" s="3">
        <f>VLOOKUP(A169,[3]TeamRtg!$A$3:$G$367,7,FALSE)</f>
        <v>8.2922569481155922E-2</v>
      </c>
      <c r="C169" s="1">
        <f t="shared" si="2"/>
        <v>168</v>
      </c>
      <c r="D169" s="1">
        <v>168</v>
      </c>
    </row>
    <row r="170" spans="1:4" x14ac:dyDescent="0.2">
      <c r="A170" s="1" t="s">
        <v>169</v>
      </c>
      <c r="B170" s="3">
        <f>VLOOKUP(A170,[3]TeamRtg!$A$3:$G$367,7,FALSE)</f>
        <v>8.1884184567726045E-2</v>
      </c>
      <c r="C170" s="1">
        <f t="shared" si="2"/>
        <v>169</v>
      </c>
      <c r="D170" s="1">
        <v>169</v>
      </c>
    </row>
    <row r="171" spans="1:4" x14ac:dyDescent="0.2">
      <c r="A171" s="1" t="s">
        <v>170</v>
      </c>
      <c r="B171" s="3">
        <f>VLOOKUP(A171,[3]TeamRtg!$A$3:$G$367,7,FALSE)</f>
        <v>6.6014214696273513E-2</v>
      </c>
      <c r="C171" s="1">
        <f t="shared" si="2"/>
        <v>170</v>
      </c>
      <c r="D171" s="1">
        <v>170</v>
      </c>
    </row>
    <row r="172" spans="1:4" x14ac:dyDescent="0.2">
      <c r="A172" s="1" t="s">
        <v>171</v>
      </c>
      <c r="B172" s="3">
        <f>VLOOKUP(A172,[3]TeamRtg!$A$3:$G$367,7,FALSE)</f>
        <v>6.167729432114738E-2</v>
      </c>
      <c r="C172" s="1">
        <f t="shared" si="2"/>
        <v>171</v>
      </c>
      <c r="D172" s="1">
        <v>171</v>
      </c>
    </row>
    <row r="173" spans="1:4" x14ac:dyDescent="0.2">
      <c r="A173" s="1" t="s">
        <v>172</v>
      </c>
      <c r="B173" s="3">
        <f>VLOOKUP(A173,[3]TeamRtg!$A$3:$G$367,7,FALSE)</f>
        <v>4.9078687951160216E-2</v>
      </c>
      <c r="C173" s="1">
        <f t="shared" si="2"/>
        <v>172</v>
      </c>
      <c r="D173" s="1">
        <v>172</v>
      </c>
    </row>
    <row r="174" spans="1:4" x14ac:dyDescent="0.2">
      <c r="A174" s="1" t="s">
        <v>173</v>
      </c>
      <c r="B174" s="3">
        <f>VLOOKUP(A174,[3]TeamRtg!$A$3:$G$367,7,FALSE)</f>
        <v>4.3106142409607258E-2</v>
      </c>
      <c r="C174" s="1">
        <f t="shared" si="2"/>
        <v>173</v>
      </c>
      <c r="D174" s="1">
        <v>173</v>
      </c>
    </row>
    <row r="175" spans="1:4" x14ac:dyDescent="0.2">
      <c r="A175" s="1" t="s">
        <v>174</v>
      </c>
      <c r="B175" s="3">
        <f>VLOOKUP(A175,[3]TeamRtg!$A$3:$G$367,7,FALSE)</f>
        <v>3.5360566987109598E-2</v>
      </c>
      <c r="C175" s="1">
        <f t="shared" si="2"/>
        <v>174</v>
      </c>
      <c r="D175" s="1">
        <v>174</v>
      </c>
    </row>
    <row r="176" spans="1:4" x14ac:dyDescent="0.2">
      <c r="A176" s="1" t="s">
        <v>175</v>
      </c>
      <c r="B176" s="3">
        <f>VLOOKUP(A176,[3]TeamRtg!$A$3:$G$367,7,FALSE)</f>
        <v>3.2430904863912514E-2</v>
      </c>
      <c r="C176" s="1">
        <f t="shared" si="2"/>
        <v>175</v>
      </c>
      <c r="D176" s="1">
        <v>175</v>
      </c>
    </row>
    <row r="177" spans="1:4" x14ac:dyDescent="0.2">
      <c r="A177" s="1" t="s">
        <v>176</v>
      </c>
      <c r="B177" s="3">
        <f>VLOOKUP(A177,[3]TeamRtg!$A$3:$G$367,7,FALSE)</f>
        <v>2.6497551463681875E-2</v>
      </c>
      <c r="C177" s="1">
        <f t="shared" si="2"/>
        <v>176</v>
      </c>
      <c r="D177" s="1">
        <v>176</v>
      </c>
    </row>
    <row r="178" spans="1:4" x14ac:dyDescent="0.2">
      <c r="A178" s="1" t="s">
        <v>177</v>
      </c>
      <c r="B178" s="3">
        <f>VLOOKUP(A178,[3]TeamRtg!$A$3:$G$367,7,FALSE)</f>
        <v>1.8829816143539454E-2</v>
      </c>
      <c r="C178" s="1">
        <f t="shared" si="2"/>
        <v>177</v>
      </c>
      <c r="D178" s="1">
        <v>177</v>
      </c>
    </row>
    <row r="179" spans="1:4" x14ac:dyDescent="0.2">
      <c r="A179" s="1" t="s">
        <v>178</v>
      </c>
      <c r="B179" s="3">
        <f>VLOOKUP(A179,[3]TeamRtg!$A$3:$G$367,7,FALSE)</f>
        <v>1.6420276541636133E-2</v>
      </c>
      <c r="C179" s="1">
        <f t="shared" si="2"/>
        <v>178</v>
      </c>
      <c r="D179" s="1">
        <v>178</v>
      </c>
    </row>
    <row r="180" spans="1:4" x14ac:dyDescent="0.2">
      <c r="A180" s="1" t="s">
        <v>179</v>
      </c>
      <c r="B180" s="3">
        <f>VLOOKUP(A180,[3]TeamRtg!$A$3:$G$367,7,FALSE)</f>
        <v>1.6077805035226482E-2</v>
      </c>
      <c r="C180" s="1">
        <f t="shared" si="2"/>
        <v>179</v>
      </c>
      <c r="D180" s="1">
        <v>179</v>
      </c>
    </row>
    <row r="181" spans="1:4" x14ac:dyDescent="0.2">
      <c r="A181" s="1" t="s">
        <v>180</v>
      </c>
      <c r="B181" s="3">
        <f>VLOOKUP(A181,[3]TeamRtg!$A$3:$G$367,7,FALSE)</f>
        <v>2.9274495901624462E-3</v>
      </c>
      <c r="C181" s="1">
        <f t="shared" si="2"/>
        <v>180</v>
      </c>
      <c r="D181" s="1">
        <v>180</v>
      </c>
    </row>
    <row r="182" spans="1:4" x14ac:dyDescent="0.2">
      <c r="A182" s="1" t="s">
        <v>181</v>
      </c>
      <c r="B182" s="3">
        <f>VLOOKUP(A182,[3]TeamRtg!$A$3:$G$367,7,FALSE)</f>
        <v>-9.4612637082314988E-3</v>
      </c>
      <c r="C182" s="1">
        <f t="shared" si="2"/>
        <v>181</v>
      </c>
      <c r="D182" s="1">
        <v>181</v>
      </c>
    </row>
    <row r="183" spans="1:4" x14ac:dyDescent="0.2">
      <c r="A183" s="1" t="s">
        <v>182</v>
      </c>
      <c r="B183" s="3">
        <f>VLOOKUP(A183,[3]TeamRtg!$A$3:$G$367,7,FALSE)</f>
        <v>-1.2285290249016156E-2</v>
      </c>
      <c r="C183" s="1">
        <f t="shared" si="2"/>
        <v>182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-2.196468224456774E-2</v>
      </c>
      <c r="C184" s="1">
        <f t="shared" si="2"/>
        <v>183</v>
      </c>
      <c r="D184" s="1">
        <v>183</v>
      </c>
    </row>
    <row r="185" spans="1:4" x14ac:dyDescent="0.2">
      <c r="A185" s="1" t="s">
        <v>184</v>
      </c>
      <c r="B185" s="3">
        <f>VLOOKUP(A185,[3]TeamRtg!$A$3:$G$367,7,FALSE)</f>
        <v>-2.4639586041515785E-2</v>
      </c>
      <c r="C185" s="1">
        <f t="shared" si="2"/>
        <v>184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-2.9545081261262672E-2</v>
      </c>
      <c r="C186" s="1">
        <f t="shared" si="2"/>
        <v>185</v>
      </c>
      <c r="D186" s="1">
        <v>185</v>
      </c>
    </row>
    <row r="187" spans="1:4" x14ac:dyDescent="0.2">
      <c r="A187" s="1" t="s">
        <v>186</v>
      </c>
      <c r="B187" s="3">
        <f>VLOOKUP(A187,[3]TeamRtg!$A$3:$G$367,7,FALSE)</f>
        <v>-3.5091938132336305E-2</v>
      </c>
      <c r="C187" s="1">
        <f t="shared" si="2"/>
        <v>186</v>
      </c>
      <c r="D187" s="1">
        <v>186</v>
      </c>
    </row>
    <row r="188" spans="1:4" x14ac:dyDescent="0.2">
      <c r="A188" s="1" t="s">
        <v>187</v>
      </c>
      <c r="B188" s="3">
        <f>VLOOKUP(A188,[3]TeamRtg!$A$3:$G$367,7,FALSE)</f>
        <v>-4.5328030563709099E-2</v>
      </c>
      <c r="C188" s="1">
        <f t="shared" si="2"/>
        <v>187</v>
      </c>
      <c r="D188" s="1">
        <v>187</v>
      </c>
    </row>
    <row r="189" spans="1:4" x14ac:dyDescent="0.2">
      <c r="A189" s="1" t="s">
        <v>188</v>
      </c>
      <c r="B189" s="3">
        <f>VLOOKUP(A189,[3]TeamRtg!$A$3:$G$367,7,FALSE)</f>
        <v>-5.0326468592325223E-2</v>
      </c>
      <c r="C189" s="1">
        <f t="shared" si="2"/>
        <v>188</v>
      </c>
      <c r="D189" s="1">
        <v>188</v>
      </c>
    </row>
    <row r="190" spans="1:4" x14ac:dyDescent="0.2">
      <c r="A190" s="1" t="s">
        <v>189</v>
      </c>
      <c r="B190" s="3">
        <f>VLOOKUP(A190,[3]TeamRtg!$A$3:$G$367,7,FALSE)</f>
        <v>-5.4056084113809709E-2</v>
      </c>
      <c r="C190" s="1">
        <f t="shared" si="2"/>
        <v>189</v>
      </c>
      <c r="D190" s="1">
        <v>189</v>
      </c>
    </row>
    <row r="191" spans="1:4" x14ac:dyDescent="0.2">
      <c r="A191" s="1" t="s">
        <v>190</v>
      </c>
      <c r="B191" s="3">
        <f>VLOOKUP(A191,[3]TeamRtg!$A$3:$G$367,7,FALSE)</f>
        <v>-5.5068496465939379E-2</v>
      </c>
      <c r="C191" s="1">
        <f t="shared" si="2"/>
        <v>190</v>
      </c>
      <c r="D191" s="1">
        <v>190</v>
      </c>
    </row>
    <row r="192" spans="1:4" x14ac:dyDescent="0.2">
      <c r="A192" s="1" t="s">
        <v>191</v>
      </c>
      <c r="B192" s="3">
        <f>VLOOKUP(A192,[3]TeamRtg!$A$3:$G$367,7,FALSE)</f>
        <v>-5.6830496292662597E-2</v>
      </c>
      <c r="C192" s="1">
        <f t="shared" si="2"/>
        <v>191</v>
      </c>
      <c r="D192" s="1">
        <v>191</v>
      </c>
    </row>
    <row r="193" spans="1:4" x14ac:dyDescent="0.2">
      <c r="A193" s="1" t="s">
        <v>192</v>
      </c>
      <c r="B193" s="3">
        <f>VLOOKUP(A193,[3]TeamRtg!$A$3:$G$367,7,FALSE)</f>
        <v>-6.2634473693567741E-2</v>
      </c>
      <c r="C193" s="1">
        <f t="shared" si="2"/>
        <v>192</v>
      </c>
      <c r="D193" s="1">
        <v>192</v>
      </c>
    </row>
    <row r="194" spans="1:4" x14ac:dyDescent="0.2">
      <c r="A194" s="1" t="s">
        <v>193</v>
      </c>
      <c r="B194" s="3">
        <f>VLOOKUP(A194,[3]TeamRtg!$A$3:$G$367,7,FALSE)</f>
        <v>-7.0176168800961392E-2</v>
      </c>
      <c r="C194" s="1">
        <f t="shared" si="2"/>
        <v>193</v>
      </c>
      <c r="D194" s="1">
        <v>193</v>
      </c>
    </row>
    <row r="195" spans="1:4" x14ac:dyDescent="0.2">
      <c r="A195" s="1" t="s">
        <v>194</v>
      </c>
      <c r="B195" s="3">
        <f>VLOOKUP(A195,[3]TeamRtg!$A$3:$G$367,7,FALSE)</f>
        <v>-8.1838171681604566E-2</v>
      </c>
      <c r="C195" s="1">
        <f t="shared" ref="C195:C258" si="3">RANK(B195,$B$2:$B$366)</f>
        <v>194</v>
      </c>
      <c r="D195" s="1">
        <v>194</v>
      </c>
    </row>
    <row r="196" spans="1:4" x14ac:dyDescent="0.2">
      <c r="A196" s="1" t="s">
        <v>195</v>
      </c>
      <c r="B196" s="3">
        <f>VLOOKUP(A196,[3]TeamRtg!$A$3:$G$367,7,FALSE)</f>
        <v>-9.3262982981936499E-2</v>
      </c>
      <c r="C196" s="1">
        <f t="shared" si="3"/>
        <v>195</v>
      </c>
      <c r="D196" s="1">
        <v>195</v>
      </c>
    </row>
    <row r="197" spans="1:4" x14ac:dyDescent="0.2">
      <c r="A197" s="1" t="s">
        <v>196</v>
      </c>
      <c r="B197" s="3">
        <f>VLOOKUP(A197,[3]TeamRtg!$A$3:$G$367,7,FALSE)</f>
        <v>-9.9675020456993751E-2</v>
      </c>
      <c r="C197" s="1">
        <f t="shared" si="3"/>
        <v>196</v>
      </c>
      <c r="D197" s="1">
        <v>196</v>
      </c>
    </row>
    <row r="198" spans="1:4" x14ac:dyDescent="0.2">
      <c r="A198" s="1" t="s">
        <v>197</v>
      </c>
      <c r="B198" s="3">
        <f>VLOOKUP(A198,[3]TeamRtg!$A$3:$G$367,7,FALSE)</f>
        <v>-0.10360358882323296</v>
      </c>
      <c r="C198" s="1">
        <f t="shared" si="3"/>
        <v>197</v>
      </c>
      <c r="D198" s="1">
        <v>197</v>
      </c>
    </row>
    <row r="199" spans="1:4" x14ac:dyDescent="0.2">
      <c r="A199" s="1" t="s">
        <v>198</v>
      </c>
      <c r="B199" s="3">
        <f>VLOOKUP(A199,[3]TeamRtg!$A$3:$G$367,7,FALSE)</f>
        <v>-0.11967222221180311</v>
      </c>
      <c r="C199" s="1">
        <f t="shared" si="3"/>
        <v>198</v>
      </c>
      <c r="D199" s="1">
        <v>198</v>
      </c>
    </row>
    <row r="200" spans="1:4" x14ac:dyDescent="0.2">
      <c r="A200" s="1" t="s">
        <v>199</v>
      </c>
      <c r="B200" s="3">
        <f>VLOOKUP(A200,[3]TeamRtg!$A$3:$G$367,7,FALSE)</f>
        <v>-0.12068044831115034</v>
      </c>
      <c r="C200" s="1">
        <f t="shared" si="3"/>
        <v>199</v>
      </c>
      <c r="D200" s="1">
        <v>199</v>
      </c>
    </row>
    <row r="201" spans="1:4" x14ac:dyDescent="0.2">
      <c r="A201" s="1" t="s">
        <v>200</v>
      </c>
      <c r="B201" s="3">
        <f>VLOOKUP(A201,[3]TeamRtg!$A$3:$G$367,7,FALSE)</f>
        <v>-0.12236692360124081</v>
      </c>
      <c r="C201" s="1">
        <f t="shared" si="3"/>
        <v>200</v>
      </c>
      <c r="D201" s="1">
        <v>200</v>
      </c>
    </row>
    <row r="202" spans="1:4" x14ac:dyDescent="0.2">
      <c r="A202" s="1" t="s">
        <v>201</v>
      </c>
      <c r="B202" s="3">
        <f>VLOOKUP(A202,[3]TeamRtg!$A$3:$G$367,7,FALSE)</f>
        <v>-0.12489336657441719</v>
      </c>
      <c r="C202" s="1">
        <f t="shared" si="3"/>
        <v>201</v>
      </c>
      <c r="D202" s="1">
        <v>201</v>
      </c>
    </row>
    <row r="203" spans="1:4" x14ac:dyDescent="0.2">
      <c r="A203" s="1" t="s">
        <v>202</v>
      </c>
      <c r="B203" s="3">
        <f>VLOOKUP(A203,[3]TeamRtg!$A$3:$G$367,7,FALSE)</f>
        <v>-0.1320695567869358</v>
      </c>
      <c r="C203" s="1">
        <f t="shared" si="3"/>
        <v>202</v>
      </c>
      <c r="D203" s="1">
        <v>202</v>
      </c>
    </row>
    <row r="204" spans="1:4" x14ac:dyDescent="0.2">
      <c r="A204" s="1" t="s">
        <v>203</v>
      </c>
      <c r="B204" s="3">
        <f>VLOOKUP(A204,[3]TeamRtg!$A$3:$G$367,7,FALSE)</f>
        <v>-0.14017359505826082</v>
      </c>
      <c r="C204" s="1">
        <f t="shared" si="3"/>
        <v>203</v>
      </c>
      <c r="D204" s="1">
        <v>203</v>
      </c>
    </row>
    <row r="205" spans="1:4" x14ac:dyDescent="0.2">
      <c r="A205" s="1" t="s">
        <v>204</v>
      </c>
      <c r="B205" s="3">
        <f>VLOOKUP(A205,[3]TeamRtg!$A$3:$G$367,7,FALSE)</f>
        <v>-0.14893271605704173</v>
      </c>
      <c r="C205" s="1">
        <f t="shared" si="3"/>
        <v>204</v>
      </c>
      <c r="D205" s="1">
        <v>204</v>
      </c>
    </row>
    <row r="206" spans="1:4" x14ac:dyDescent="0.2">
      <c r="A206" s="1" t="s">
        <v>205</v>
      </c>
      <c r="B206" s="3">
        <f>VLOOKUP(A206,[3]TeamRtg!$A$3:$G$367,7,FALSE)</f>
        <v>-0.16000519830916007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-0.16110799218171515</v>
      </c>
      <c r="C207" s="1">
        <f t="shared" si="3"/>
        <v>206</v>
      </c>
      <c r="D207" s="1">
        <v>206</v>
      </c>
    </row>
    <row r="208" spans="1:4" x14ac:dyDescent="0.2">
      <c r="A208" s="1" t="s">
        <v>207</v>
      </c>
      <c r="B208" s="3">
        <f>VLOOKUP(A208,[3]TeamRtg!$A$3:$G$367,7,FALSE)</f>
        <v>-0.19306369947539634</v>
      </c>
      <c r="C208" s="1">
        <f t="shared" si="3"/>
        <v>207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-0.19394235750592806</v>
      </c>
      <c r="C209" s="1">
        <f t="shared" si="3"/>
        <v>208</v>
      </c>
      <c r="D209" s="1">
        <v>208</v>
      </c>
    </row>
    <row r="210" spans="1:4" x14ac:dyDescent="0.2">
      <c r="A210" s="1" t="s">
        <v>209</v>
      </c>
      <c r="B210" s="3">
        <f>VLOOKUP(A210,[3]TeamRtg!$A$3:$G$367,7,FALSE)</f>
        <v>-0.20434549567004068</v>
      </c>
      <c r="C210" s="1">
        <f t="shared" si="3"/>
        <v>209</v>
      </c>
      <c r="D210" s="1">
        <v>209</v>
      </c>
    </row>
    <row r="211" spans="1:4" x14ac:dyDescent="0.2">
      <c r="A211" s="1" t="s">
        <v>210</v>
      </c>
      <c r="B211" s="3">
        <f>VLOOKUP(A211,[3]TeamRtg!$A$3:$G$367,7,FALSE)</f>
        <v>-0.20590261403515675</v>
      </c>
      <c r="C211" s="1">
        <f t="shared" si="3"/>
        <v>210</v>
      </c>
      <c r="D211" s="1">
        <v>210</v>
      </c>
    </row>
    <row r="212" spans="1:4" x14ac:dyDescent="0.2">
      <c r="A212" s="1" t="s">
        <v>211</v>
      </c>
      <c r="B212" s="3">
        <f>VLOOKUP(A212,[3]TeamRtg!$A$3:$G$367,7,FALSE)</f>
        <v>-0.20686529097238965</v>
      </c>
      <c r="C212" s="1">
        <f t="shared" si="3"/>
        <v>211</v>
      </c>
      <c r="D212" s="1">
        <v>211</v>
      </c>
    </row>
    <row r="213" spans="1:4" x14ac:dyDescent="0.2">
      <c r="A213" s="1" t="s">
        <v>212</v>
      </c>
      <c r="B213" s="3">
        <f>VLOOKUP(A213,[3]TeamRtg!$A$3:$G$367,7,FALSE)</f>
        <v>-0.21342915628213927</v>
      </c>
      <c r="C213" s="1">
        <f t="shared" si="3"/>
        <v>212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-0.21370915029633236</v>
      </c>
      <c r="C214" s="1">
        <f t="shared" si="3"/>
        <v>213</v>
      </c>
      <c r="D214" s="1">
        <v>213</v>
      </c>
    </row>
    <row r="215" spans="1:4" x14ac:dyDescent="0.2">
      <c r="A215" s="1" t="s">
        <v>214</v>
      </c>
      <c r="B215" s="3">
        <f>VLOOKUP(A215,[3]TeamRtg!$A$3:$G$367,7,FALSE)</f>
        <v>-0.2173745086372196</v>
      </c>
      <c r="C215" s="1">
        <f t="shared" si="3"/>
        <v>214</v>
      </c>
      <c r="D215" s="1">
        <v>214</v>
      </c>
    </row>
    <row r="216" spans="1:4" x14ac:dyDescent="0.2">
      <c r="A216" s="1" t="s">
        <v>215</v>
      </c>
      <c r="B216" s="3">
        <f>VLOOKUP(A216,[3]TeamRtg!$A$3:$G$367,7,FALSE)</f>
        <v>-0.22023623198901496</v>
      </c>
      <c r="C216" s="1">
        <f t="shared" si="3"/>
        <v>215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-0.22198244485181629</v>
      </c>
      <c r="C217" s="1">
        <f t="shared" si="3"/>
        <v>216</v>
      </c>
      <c r="D217" s="1">
        <v>216</v>
      </c>
    </row>
    <row r="218" spans="1:4" x14ac:dyDescent="0.2">
      <c r="A218" s="1" t="s">
        <v>217</v>
      </c>
      <c r="B218" s="3">
        <f>VLOOKUP(A218,[3]TeamRtg!$A$3:$G$367,7,FALSE)</f>
        <v>-0.22477059455027845</v>
      </c>
      <c r="C218" s="1">
        <f t="shared" si="3"/>
        <v>217</v>
      </c>
      <c r="D218" s="1">
        <v>217</v>
      </c>
    </row>
    <row r="219" spans="1:4" x14ac:dyDescent="0.2">
      <c r="A219" s="1" t="s">
        <v>218</v>
      </c>
      <c r="B219" s="3">
        <f>VLOOKUP(A219,[3]TeamRtg!$A$3:$G$367,7,FALSE)</f>
        <v>-0.22642235523872406</v>
      </c>
      <c r="C219" s="1">
        <f t="shared" si="3"/>
        <v>218</v>
      </c>
      <c r="D219" s="1">
        <v>218</v>
      </c>
    </row>
    <row r="220" spans="1:4" x14ac:dyDescent="0.2">
      <c r="A220" s="1" t="s">
        <v>219</v>
      </c>
      <c r="B220" s="3">
        <f>VLOOKUP(A220,[3]TeamRtg!$A$3:$G$367,7,FALSE)</f>
        <v>-0.23191288979967684</v>
      </c>
      <c r="C220" s="1">
        <f t="shared" si="3"/>
        <v>219</v>
      </c>
      <c r="D220" s="1">
        <v>219</v>
      </c>
    </row>
    <row r="221" spans="1:4" x14ac:dyDescent="0.2">
      <c r="A221" s="1" t="s">
        <v>220</v>
      </c>
      <c r="B221" s="3">
        <f>VLOOKUP(A221,[3]TeamRtg!$A$3:$G$367,7,FALSE)</f>
        <v>-0.24095555180061787</v>
      </c>
      <c r="C221" s="1">
        <f t="shared" si="3"/>
        <v>220</v>
      </c>
      <c r="D221" s="1">
        <v>220</v>
      </c>
    </row>
    <row r="222" spans="1:4" x14ac:dyDescent="0.2">
      <c r="A222" s="1" t="s">
        <v>221</v>
      </c>
      <c r="B222" s="3">
        <f>VLOOKUP(A222,[3]TeamRtg!$A$3:$G$367,7,FALSE)</f>
        <v>-0.24246824689662841</v>
      </c>
      <c r="C222" s="1">
        <f t="shared" si="3"/>
        <v>221</v>
      </c>
      <c r="D222" s="1">
        <v>221</v>
      </c>
    </row>
    <row r="223" spans="1:4" x14ac:dyDescent="0.2">
      <c r="A223" s="1" t="s">
        <v>222</v>
      </c>
      <c r="B223" s="3">
        <f>VLOOKUP(A223,[3]TeamRtg!$A$3:$G$367,7,FALSE)</f>
        <v>-0.24480008525801172</v>
      </c>
      <c r="C223" s="1">
        <f t="shared" si="3"/>
        <v>222</v>
      </c>
      <c r="D223" s="1">
        <v>222</v>
      </c>
    </row>
    <row r="224" spans="1:4" x14ac:dyDescent="0.2">
      <c r="A224" s="1" t="s">
        <v>223</v>
      </c>
      <c r="B224" s="3">
        <f>VLOOKUP(A224,[3]TeamRtg!$A$3:$G$367,7,FALSE)</f>
        <v>-0.25244389452320309</v>
      </c>
      <c r="C224" s="1">
        <f t="shared" si="3"/>
        <v>223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-0.25949475561353802</v>
      </c>
      <c r="C225" s="1">
        <f t="shared" si="3"/>
        <v>224</v>
      </c>
      <c r="D225" s="1">
        <v>224</v>
      </c>
    </row>
    <row r="226" spans="1:4" x14ac:dyDescent="0.2">
      <c r="A226" s="1" t="s">
        <v>225</v>
      </c>
      <c r="B226" s="3">
        <f>VLOOKUP(A226,[3]TeamRtg!$A$3:$G$367,7,FALSE)</f>
        <v>-0.26810068762818717</v>
      </c>
      <c r="C226" s="1">
        <f t="shared" si="3"/>
        <v>225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-0.29813156779980293</v>
      </c>
      <c r="C227" s="1">
        <f t="shared" si="3"/>
        <v>226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-0.29872854800531978</v>
      </c>
      <c r="C228" s="1">
        <f t="shared" si="3"/>
        <v>227</v>
      </c>
      <c r="D228" s="1">
        <v>227</v>
      </c>
    </row>
    <row r="229" spans="1:4" x14ac:dyDescent="0.2">
      <c r="A229" s="1" t="s">
        <v>228</v>
      </c>
      <c r="B229" s="3">
        <f>VLOOKUP(A229,[3]TeamRtg!$A$3:$G$367,7,FALSE)</f>
        <v>-0.30809958591437936</v>
      </c>
      <c r="C229" s="1">
        <f t="shared" si="3"/>
        <v>228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-0.33067134250385255</v>
      </c>
      <c r="C230" s="1">
        <f t="shared" si="3"/>
        <v>229</v>
      </c>
      <c r="D230" s="1">
        <v>229</v>
      </c>
    </row>
    <row r="231" spans="1:4" x14ac:dyDescent="0.2">
      <c r="A231" s="1" t="s">
        <v>230</v>
      </c>
      <c r="B231" s="3">
        <f>VLOOKUP(A231,[3]TeamRtg!$A$3:$G$367,7,FALSE)</f>
        <v>-0.35249745282511102</v>
      </c>
      <c r="C231" s="1">
        <f t="shared" si="3"/>
        <v>230</v>
      </c>
      <c r="D231" s="1">
        <v>230</v>
      </c>
    </row>
    <row r="232" spans="1:4" x14ac:dyDescent="0.2">
      <c r="A232" s="1" t="s">
        <v>231</v>
      </c>
      <c r="B232" s="3">
        <f>VLOOKUP(A232,[3]TeamRtg!$A$3:$G$367,7,FALSE)</f>
        <v>-0.36310293172342034</v>
      </c>
      <c r="C232" s="1">
        <f t="shared" si="3"/>
        <v>231</v>
      </c>
      <c r="D232" s="1">
        <v>231</v>
      </c>
    </row>
    <row r="233" spans="1:4" x14ac:dyDescent="0.2">
      <c r="A233" s="1" t="s">
        <v>232</v>
      </c>
      <c r="B233" s="3">
        <f>VLOOKUP(A233,[3]TeamRtg!$A$3:$G$367,7,FALSE)</f>
        <v>-0.36593496029246642</v>
      </c>
      <c r="C233" s="1">
        <f t="shared" si="3"/>
        <v>232</v>
      </c>
      <c r="D233" s="1">
        <v>232</v>
      </c>
    </row>
    <row r="234" spans="1:4" x14ac:dyDescent="0.2">
      <c r="A234" s="1" t="s">
        <v>233</v>
      </c>
      <c r="B234" s="3">
        <f>VLOOKUP(A234,[3]TeamRtg!$A$3:$G$367,7,FALSE)</f>
        <v>-0.36713575430859652</v>
      </c>
      <c r="C234" s="1">
        <f t="shared" si="3"/>
        <v>233</v>
      </c>
      <c r="D234" s="1">
        <v>233</v>
      </c>
    </row>
    <row r="235" spans="1:4" x14ac:dyDescent="0.2">
      <c r="A235" s="1" t="s">
        <v>234</v>
      </c>
      <c r="B235" s="3">
        <f>VLOOKUP(A235,[3]TeamRtg!$A$3:$G$367,7,FALSE)</f>
        <v>-0.36876224151856901</v>
      </c>
      <c r="C235" s="1">
        <f t="shared" si="3"/>
        <v>234</v>
      </c>
      <c r="D235" s="1">
        <v>234</v>
      </c>
    </row>
    <row r="236" spans="1:4" x14ac:dyDescent="0.2">
      <c r="A236" s="1" t="s">
        <v>235</v>
      </c>
      <c r="B236" s="3">
        <f>VLOOKUP(A236,[3]TeamRtg!$A$3:$G$367,7,FALSE)</f>
        <v>-0.36945148438720127</v>
      </c>
      <c r="C236" s="1">
        <f t="shared" si="3"/>
        <v>235</v>
      </c>
      <c r="D236" s="1">
        <v>235</v>
      </c>
    </row>
    <row r="237" spans="1:4" x14ac:dyDescent="0.2">
      <c r="A237" s="1" t="s">
        <v>236</v>
      </c>
      <c r="B237" s="3">
        <f>VLOOKUP(A237,[3]TeamRtg!$A$3:$G$367,7,FALSE)</f>
        <v>-0.3750733654031187</v>
      </c>
      <c r="C237" s="1">
        <f t="shared" si="3"/>
        <v>236</v>
      </c>
      <c r="D237" s="1">
        <v>236</v>
      </c>
    </row>
    <row r="238" spans="1:4" x14ac:dyDescent="0.2">
      <c r="A238" s="1" t="s">
        <v>237</v>
      </c>
      <c r="B238" s="3">
        <f>VLOOKUP(A238,[3]TeamRtg!$A$3:$G$367,7,FALSE)</f>
        <v>-0.38047378960533068</v>
      </c>
      <c r="C238" s="1">
        <f t="shared" si="3"/>
        <v>237</v>
      </c>
      <c r="D238" s="1">
        <v>237</v>
      </c>
    </row>
    <row r="239" spans="1:4" x14ac:dyDescent="0.2">
      <c r="A239" s="1" t="s">
        <v>238</v>
      </c>
      <c r="B239" s="3">
        <f>VLOOKUP(A239,[3]TeamRtg!$A$3:$G$367,7,FALSE)</f>
        <v>-0.38200592631915503</v>
      </c>
      <c r="C239" s="1">
        <f t="shared" si="3"/>
        <v>238</v>
      </c>
      <c r="D239" s="1">
        <v>238</v>
      </c>
    </row>
    <row r="240" spans="1:4" x14ac:dyDescent="0.2">
      <c r="A240" s="1" t="s">
        <v>239</v>
      </c>
      <c r="B240" s="3">
        <f>VLOOKUP(A240,[3]TeamRtg!$A$3:$G$367,7,FALSE)</f>
        <v>-0.40281000664803424</v>
      </c>
      <c r="C240" s="1">
        <f t="shared" si="3"/>
        <v>239</v>
      </c>
      <c r="D240" s="1">
        <v>239</v>
      </c>
    </row>
    <row r="241" spans="1:4" x14ac:dyDescent="0.2">
      <c r="A241" s="1" t="s">
        <v>240</v>
      </c>
      <c r="B241" s="3">
        <f>VLOOKUP(A241,[3]TeamRtg!$A$3:$G$367,7,FALSE)</f>
        <v>-0.40787965221965933</v>
      </c>
      <c r="C241" s="1">
        <f t="shared" si="3"/>
        <v>240</v>
      </c>
      <c r="D241" s="1">
        <v>240</v>
      </c>
    </row>
    <row r="242" spans="1:4" x14ac:dyDescent="0.2">
      <c r="A242" s="1" t="s">
        <v>241</v>
      </c>
      <c r="B242" s="3">
        <f>VLOOKUP(A242,[3]TeamRtg!$A$3:$G$367,7,FALSE)</f>
        <v>-0.42716608257429806</v>
      </c>
      <c r="C242" s="1">
        <f t="shared" si="3"/>
        <v>241</v>
      </c>
      <c r="D242" s="1">
        <v>241</v>
      </c>
    </row>
    <row r="243" spans="1:4" x14ac:dyDescent="0.2">
      <c r="A243" s="1" t="s">
        <v>242</v>
      </c>
      <c r="B243" s="3">
        <f>VLOOKUP(A243,[3]TeamRtg!$A$3:$G$367,7,FALSE)</f>
        <v>-0.43125134091655459</v>
      </c>
      <c r="C243" s="1">
        <f t="shared" si="3"/>
        <v>242</v>
      </c>
      <c r="D243" s="1">
        <v>242</v>
      </c>
    </row>
    <row r="244" spans="1:4" x14ac:dyDescent="0.2">
      <c r="A244" s="1" t="s">
        <v>243</v>
      </c>
      <c r="B244" s="3">
        <f>VLOOKUP(A244,[3]TeamRtg!$A$3:$G$367,7,FALSE)</f>
        <v>-0.44276520538001646</v>
      </c>
      <c r="C244" s="1">
        <f t="shared" si="3"/>
        <v>243</v>
      </c>
      <c r="D244" s="1">
        <v>243</v>
      </c>
    </row>
    <row r="245" spans="1:4" x14ac:dyDescent="0.2">
      <c r="A245" s="1" t="s">
        <v>244</v>
      </c>
      <c r="B245" s="3">
        <f>VLOOKUP(A245,[3]TeamRtg!$A$3:$G$367,7,FALSE)</f>
        <v>-0.45634356014228628</v>
      </c>
      <c r="C245" s="1">
        <f t="shared" si="3"/>
        <v>244</v>
      </c>
      <c r="D245" s="1">
        <v>244</v>
      </c>
    </row>
    <row r="246" spans="1:4" x14ac:dyDescent="0.2">
      <c r="A246" s="1" t="s">
        <v>245</v>
      </c>
      <c r="B246" s="3">
        <f>VLOOKUP(A246,[3]TeamRtg!$A$3:$G$367,7,FALSE)</f>
        <v>-0.46388314044149181</v>
      </c>
      <c r="C246" s="1">
        <f t="shared" si="3"/>
        <v>245</v>
      </c>
      <c r="D246" s="1">
        <v>245</v>
      </c>
    </row>
    <row r="247" spans="1:4" x14ac:dyDescent="0.2">
      <c r="A247" s="1" t="s">
        <v>246</v>
      </c>
      <c r="B247" s="3">
        <f>VLOOKUP(A247,[3]TeamRtg!$A$3:$G$367,7,FALSE)</f>
        <v>-0.46616705187455088</v>
      </c>
      <c r="C247" s="1">
        <f t="shared" si="3"/>
        <v>246</v>
      </c>
      <c r="D247" s="1">
        <v>246</v>
      </c>
    </row>
    <row r="248" spans="1:4" x14ac:dyDescent="0.2">
      <c r="A248" s="1" t="s">
        <v>247</v>
      </c>
      <c r="B248" s="3">
        <f>VLOOKUP(A248,[3]TeamRtg!$A$3:$G$367,7,FALSE)</f>
        <v>-0.47510064805938601</v>
      </c>
      <c r="C248" s="1">
        <f t="shared" si="3"/>
        <v>247</v>
      </c>
      <c r="D248" s="1">
        <v>247</v>
      </c>
    </row>
    <row r="249" spans="1:4" x14ac:dyDescent="0.2">
      <c r="A249" s="1" t="s">
        <v>248</v>
      </c>
      <c r="B249" s="3">
        <f>VLOOKUP(A249,[3]TeamRtg!$A$3:$G$367,7,FALSE)</f>
        <v>-0.48181669803481308</v>
      </c>
      <c r="C249" s="1">
        <f t="shared" si="3"/>
        <v>248</v>
      </c>
      <c r="D249" s="1">
        <v>248</v>
      </c>
    </row>
    <row r="250" spans="1:4" x14ac:dyDescent="0.2">
      <c r="A250" s="1" t="s">
        <v>249</v>
      </c>
      <c r="B250" s="3">
        <f>VLOOKUP(A250,[3]TeamRtg!$A$3:$G$367,7,FALSE)</f>
        <v>-0.482971957051543</v>
      </c>
      <c r="C250" s="1">
        <f t="shared" si="3"/>
        <v>249</v>
      </c>
      <c r="D250" s="1">
        <v>249</v>
      </c>
    </row>
    <row r="251" spans="1:4" x14ac:dyDescent="0.2">
      <c r="A251" s="1" t="s">
        <v>250</v>
      </c>
      <c r="B251" s="3">
        <f>VLOOKUP(A251,[3]TeamRtg!$A$3:$G$367,7,FALSE)</f>
        <v>-0.48615330266105627</v>
      </c>
      <c r="C251" s="1">
        <f t="shared" si="3"/>
        <v>250</v>
      </c>
      <c r="D251" s="1">
        <v>250</v>
      </c>
    </row>
    <row r="252" spans="1:4" x14ac:dyDescent="0.2">
      <c r="A252" s="1" t="s">
        <v>251</v>
      </c>
      <c r="B252" s="3">
        <f>VLOOKUP(A252,[3]TeamRtg!$A$3:$G$367,7,FALSE)</f>
        <v>-0.49338358512223274</v>
      </c>
      <c r="C252" s="1">
        <f t="shared" si="3"/>
        <v>251</v>
      </c>
      <c r="D252" s="1">
        <v>251</v>
      </c>
    </row>
    <row r="253" spans="1:4" x14ac:dyDescent="0.2">
      <c r="A253" s="1" t="s">
        <v>252</v>
      </c>
      <c r="B253" s="3">
        <f>VLOOKUP(A253,[3]TeamRtg!$A$3:$G$367,7,FALSE)</f>
        <v>-0.49364581583555145</v>
      </c>
      <c r="C253" s="1">
        <f t="shared" si="3"/>
        <v>252</v>
      </c>
      <c r="D253" s="1">
        <v>252</v>
      </c>
    </row>
    <row r="254" spans="1:4" x14ac:dyDescent="0.2">
      <c r="A254" s="1" t="s">
        <v>253</v>
      </c>
      <c r="B254" s="3">
        <f>VLOOKUP(A254,[3]TeamRtg!$A$3:$G$367,7,FALSE)</f>
        <v>-0.49813297648979604</v>
      </c>
      <c r="C254" s="1">
        <f t="shared" si="3"/>
        <v>253</v>
      </c>
      <c r="D254" s="1">
        <v>253</v>
      </c>
    </row>
    <row r="255" spans="1:4" x14ac:dyDescent="0.2">
      <c r="A255" s="1" t="s">
        <v>254</v>
      </c>
      <c r="B255" s="3">
        <f>VLOOKUP(A255,[3]TeamRtg!$A$3:$G$367,7,FALSE)</f>
        <v>-0.49899795570736105</v>
      </c>
      <c r="C255" s="1">
        <f t="shared" si="3"/>
        <v>254</v>
      </c>
      <c r="D255" s="1">
        <v>254</v>
      </c>
    </row>
    <row r="256" spans="1:4" x14ac:dyDescent="0.2">
      <c r="A256" s="1" t="s">
        <v>255</v>
      </c>
      <c r="B256" s="3">
        <f>VLOOKUP(A256,[3]TeamRtg!$A$3:$G$367,7,FALSE)</f>
        <v>-0.51955011601808276</v>
      </c>
      <c r="C256" s="1">
        <f t="shared" si="3"/>
        <v>255</v>
      </c>
      <c r="D256" s="1">
        <v>255</v>
      </c>
    </row>
    <row r="257" spans="1:4" x14ac:dyDescent="0.2">
      <c r="A257" s="1" t="s">
        <v>256</v>
      </c>
      <c r="B257" s="3">
        <f>VLOOKUP(A257,[3]TeamRtg!$A$3:$G$367,7,FALSE)</f>
        <v>-0.53012581994294306</v>
      </c>
      <c r="C257" s="1">
        <f t="shared" si="3"/>
        <v>256</v>
      </c>
      <c r="D257" s="1">
        <v>256</v>
      </c>
    </row>
    <row r="258" spans="1:4" x14ac:dyDescent="0.2">
      <c r="A258" s="1" t="s">
        <v>257</v>
      </c>
      <c r="B258" s="3">
        <f>VLOOKUP(A258,[3]TeamRtg!$A$3:$G$367,7,FALSE)</f>
        <v>-0.53522735084414996</v>
      </c>
      <c r="C258" s="1">
        <f t="shared" si="3"/>
        <v>257</v>
      </c>
      <c r="D258" s="1">
        <v>257</v>
      </c>
    </row>
    <row r="259" spans="1:4" x14ac:dyDescent="0.2">
      <c r="A259" s="1" t="s">
        <v>258</v>
      </c>
      <c r="B259" s="3">
        <f>VLOOKUP(A259,[3]TeamRtg!$A$3:$G$367,7,FALSE)</f>
        <v>-0.55236748929168544</v>
      </c>
      <c r="C259" s="1">
        <f t="shared" ref="C259:C322" si="4">RANK(B259,$B$2:$B$366)</f>
        <v>258</v>
      </c>
      <c r="D259" s="1">
        <v>258</v>
      </c>
    </row>
    <row r="260" spans="1:4" x14ac:dyDescent="0.2">
      <c r="A260" s="1" t="s">
        <v>259</v>
      </c>
      <c r="B260" s="3">
        <f>VLOOKUP(A260,[3]TeamRtg!$A$3:$G$367,7,FALSE)</f>
        <v>-0.55609276988562506</v>
      </c>
      <c r="C260" s="1">
        <f t="shared" si="4"/>
        <v>259</v>
      </c>
      <c r="D260" s="1">
        <v>259</v>
      </c>
    </row>
    <row r="261" spans="1:4" x14ac:dyDescent="0.2">
      <c r="A261" s="1" t="s">
        <v>260</v>
      </c>
      <c r="B261" s="3">
        <f>VLOOKUP(A261,[3]TeamRtg!$A$3:$G$367,7,FALSE)</f>
        <v>-0.56126232564985779</v>
      </c>
      <c r="C261" s="1">
        <f t="shared" si="4"/>
        <v>260</v>
      </c>
      <c r="D261" s="1">
        <v>260</v>
      </c>
    </row>
    <row r="262" spans="1:4" x14ac:dyDescent="0.2">
      <c r="A262" s="1" t="s">
        <v>261</v>
      </c>
      <c r="B262" s="3">
        <f>VLOOKUP(A262,[3]TeamRtg!$A$3:$G$367,7,FALSE)</f>
        <v>-0.56194171765599243</v>
      </c>
      <c r="C262" s="1">
        <f t="shared" si="4"/>
        <v>261</v>
      </c>
      <c r="D262" s="1">
        <v>261</v>
      </c>
    </row>
    <row r="263" spans="1:4" x14ac:dyDescent="0.2">
      <c r="A263" s="1" t="s">
        <v>262</v>
      </c>
      <c r="B263" s="3">
        <f>VLOOKUP(A263,[3]TeamRtg!$A$3:$G$367,7,FALSE)</f>
        <v>-0.57624456116505585</v>
      </c>
      <c r="C263" s="1">
        <f t="shared" si="4"/>
        <v>262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-0.57901596659536936</v>
      </c>
      <c r="C264" s="1">
        <f t="shared" si="4"/>
        <v>263</v>
      </c>
      <c r="D264" s="1">
        <v>263</v>
      </c>
    </row>
    <row r="265" spans="1:4" x14ac:dyDescent="0.2">
      <c r="A265" s="1" t="s">
        <v>264</v>
      </c>
      <c r="B265" s="3">
        <f>VLOOKUP(A265,[3]TeamRtg!$A$3:$G$367,7,FALSE)</f>
        <v>-0.59101319773294492</v>
      </c>
      <c r="C265" s="1">
        <f t="shared" si="4"/>
        <v>264</v>
      </c>
      <c r="D265" s="1">
        <v>264</v>
      </c>
    </row>
    <row r="266" spans="1:4" x14ac:dyDescent="0.2">
      <c r="A266" s="1" t="s">
        <v>265</v>
      </c>
      <c r="B266" s="3">
        <f>VLOOKUP(A266,[3]TeamRtg!$A$3:$G$367,7,FALSE)</f>
        <v>-0.60086628771409067</v>
      </c>
      <c r="C266" s="1">
        <f t="shared" si="4"/>
        <v>265</v>
      </c>
      <c r="D266" s="1">
        <v>265</v>
      </c>
    </row>
    <row r="267" spans="1:4" x14ac:dyDescent="0.2">
      <c r="A267" s="1" t="s">
        <v>266</v>
      </c>
      <c r="B267" s="3">
        <f>VLOOKUP(A267,[3]TeamRtg!$A$3:$G$367,7,FALSE)</f>
        <v>-0.603470004358451</v>
      </c>
      <c r="C267" s="1">
        <f t="shared" si="4"/>
        <v>266</v>
      </c>
      <c r="D267" s="1">
        <v>266</v>
      </c>
    </row>
    <row r="268" spans="1:4" x14ac:dyDescent="0.2">
      <c r="A268" s="1" t="s">
        <v>267</v>
      </c>
      <c r="B268" s="3">
        <f>VLOOKUP(A268,[3]TeamRtg!$A$3:$G$367,7,FALSE)</f>
        <v>-0.6202014540927846</v>
      </c>
      <c r="C268" s="1">
        <f t="shared" si="4"/>
        <v>267</v>
      </c>
      <c r="D268" s="1">
        <v>267</v>
      </c>
    </row>
    <row r="269" spans="1:4" x14ac:dyDescent="0.2">
      <c r="A269" s="1" t="s">
        <v>268</v>
      </c>
      <c r="B269" s="3">
        <f>VLOOKUP(A269,[3]TeamRtg!$A$3:$G$367,7,FALSE)</f>
        <v>-0.62513285500599047</v>
      </c>
      <c r="C269" s="1">
        <f t="shared" si="4"/>
        <v>268</v>
      </c>
      <c r="D269" s="1">
        <v>268</v>
      </c>
    </row>
    <row r="270" spans="1:4" x14ac:dyDescent="0.2">
      <c r="A270" s="1" t="s">
        <v>269</v>
      </c>
      <c r="B270" s="3">
        <f>VLOOKUP(A270,[3]TeamRtg!$A$3:$G$367,7,FALSE)</f>
        <v>-0.62519728953483422</v>
      </c>
      <c r="C270" s="1">
        <f t="shared" si="4"/>
        <v>269</v>
      </c>
      <c r="D270" s="1">
        <v>269</v>
      </c>
    </row>
    <row r="271" spans="1:4" x14ac:dyDescent="0.2">
      <c r="A271" s="1" t="s">
        <v>270</v>
      </c>
      <c r="B271" s="3">
        <f>VLOOKUP(A271,[3]TeamRtg!$A$3:$G$367,7,FALSE)</f>
        <v>-0.62545460414929788</v>
      </c>
      <c r="C271" s="1">
        <f t="shared" si="4"/>
        <v>270</v>
      </c>
      <c r="D271" s="1">
        <v>270</v>
      </c>
    </row>
    <row r="272" spans="1:4" x14ac:dyDescent="0.2">
      <c r="A272" s="1" t="s">
        <v>271</v>
      </c>
      <c r="B272" s="3">
        <f>VLOOKUP(A272,[3]TeamRtg!$A$3:$G$367,7,FALSE)</f>
        <v>-0.62994610158535291</v>
      </c>
      <c r="C272" s="1">
        <f t="shared" si="4"/>
        <v>271</v>
      </c>
      <c r="D272" s="1">
        <v>271</v>
      </c>
    </row>
    <row r="273" spans="1:4" x14ac:dyDescent="0.2">
      <c r="A273" s="1" t="s">
        <v>272</v>
      </c>
      <c r="B273" s="3">
        <f>VLOOKUP(A273,[3]TeamRtg!$A$3:$G$367,7,FALSE)</f>
        <v>-0.64326781634849017</v>
      </c>
      <c r="C273" s="1">
        <f t="shared" si="4"/>
        <v>272</v>
      </c>
      <c r="D273" s="1">
        <v>272</v>
      </c>
    </row>
    <row r="274" spans="1:4" x14ac:dyDescent="0.2">
      <c r="A274" s="1" t="s">
        <v>273</v>
      </c>
      <c r="B274" s="3">
        <f>VLOOKUP(A274,[3]TeamRtg!$A$3:$G$367,7,FALSE)</f>
        <v>-0.64543442133809292</v>
      </c>
      <c r="C274" s="1">
        <f t="shared" si="4"/>
        <v>273</v>
      </c>
      <c r="D274" s="1">
        <v>273</v>
      </c>
    </row>
    <row r="275" spans="1:4" x14ac:dyDescent="0.2">
      <c r="A275" s="1" t="s">
        <v>274</v>
      </c>
      <c r="B275" s="3">
        <f>VLOOKUP(A275,[3]TeamRtg!$A$3:$G$367,7,FALSE)</f>
        <v>-0.64832620832863774</v>
      </c>
      <c r="C275" s="1">
        <f t="shared" si="4"/>
        <v>274</v>
      </c>
      <c r="D275" s="1">
        <v>274</v>
      </c>
    </row>
    <row r="276" spans="1:4" x14ac:dyDescent="0.2">
      <c r="A276" s="1" t="s">
        <v>275</v>
      </c>
      <c r="B276" s="3">
        <f>VLOOKUP(A276,[3]TeamRtg!$A$3:$G$367,7,FALSE)</f>
        <v>-0.67021657779869104</v>
      </c>
      <c r="C276" s="1">
        <f t="shared" si="4"/>
        <v>275</v>
      </c>
      <c r="D276" s="1">
        <v>275</v>
      </c>
    </row>
    <row r="277" spans="1:4" x14ac:dyDescent="0.2">
      <c r="A277" s="1" t="s">
        <v>276</v>
      </c>
      <c r="B277" s="3">
        <f>VLOOKUP(A277,[3]TeamRtg!$A$3:$G$367,7,FALSE)</f>
        <v>-0.67884019317278399</v>
      </c>
      <c r="C277" s="1">
        <f t="shared" si="4"/>
        <v>276</v>
      </c>
      <c r="D277" s="1">
        <v>276</v>
      </c>
    </row>
    <row r="278" spans="1:4" x14ac:dyDescent="0.2">
      <c r="A278" s="1" t="s">
        <v>277</v>
      </c>
      <c r="B278" s="3">
        <f>VLOOKUP(A278,[3]TeamRtg!$A$3:$G$367,7,FALSE)</f>
        <v>-0.68171137304024221</v>
      </c>
      <c r="C278" s="1">
        <f t="shared" si="4"/>
        <v>277</v>
      </c>
      <c r="D278" s="1">
        <v>277</v>
      </c>
    </row>
    <row r="279" spans="1:4" x14ac:dyDescent="0.2">
      <c r="A279" s="1" t="s">
        <v>278</v>
      </c>
      <c r="B279" s="3">
        <f>VLOOKUP(A279,[3]TeamRtg!$A$3:$G$367,7,FALSE)</f>
        <v>-0.68387836003108282</v>
      </c>
      <c r="C279" s="1">
        <f t="shared" si="4"/>
        <v>278</v>
      </c>
      <c r="D279" s="1">
        <v>278</v>
      </c>
    </row>
    <row r="280" spans="1:4" x14ac:dyDescent="0.2">
      <c r="A280" s="1" t="s">
        <v>279</v>
      </c>
      <c r="B280" s="3">
        <f>VLOOKUP(A280,[3]TeamRtg!$A$3:$G$367,7,FALSE)</f>
        <v>-0.68446384120407744</v>
      </c>
      <c r="C280" s="1">
        <f t="shared" si="4"/>
        <v>279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-0.69101275522894812</v>
      </c>
      <c r="C281" s="1">
        <f t="shared" si="4"/>
        <v>280</v>
      </c>
      <c r="D281" s="1">
        <v>280</v>
      </c>
    </row>
    <row r="282" spans="1:4" x14ac:dyDescent="0.2">
      <c r="A282" s="1" t="s">
        <v>281</v>
      </c>
      <c r="B282" s="3">
        <f>VLOOKUP(A282,[3]TeamRtg!$A$3:$G$367,7,FALSE)</f>
        <v>-0.69852028451584536</v>
      </c>
      <c r="C282" s="1">
        <f t="shared" si="4"/>
        <v>281</v>
      </c>
      <c r="D282" s="1">
        <v>281</v>
      </c>
    </row>
    <row r="283" spans="1:4" x14ac:dyDescent="0.2">
      <c r="A283" s="1" t="s">
        <v>282</v>
      </c>
      <c r="B283" s="3">
        <f>VLOOKUP(A283,[3]TeamRtg!$A$3:$G$367,7,FALSE)</f>
        <v>-0.70481211569240043</v>
      </c>
      <c r="C283" s="1">
        <f t="shared" si="4"/>
        <v>282</v>
      </c>
      <c r="D283" s="1">
        <v>282</v>
      </c>
    </row>
    <row r="284" spans="1:4" x14ac:dyDescent="0.2">
      <c r="A284" s="1" t="s">
        <v>283</v>
      </c>
      <c r="B284" s="3">
        <f>VLOOKUP(A284,[3]TeamRtg!$A$3:$G$367,7,FALSE)</f>
        <v>-0.73513853308225963</v>
      </c>
      <c r="C284" s="1">
        <f t="shared" si="4"/>
        <v>283</v>
      </c>
      <c r="D284" s="1">
        <v>283</v>
      </c>
    </row>
    <row r="285" spans="1:4" x14ac:dyDescent="0.2">
      <c r="A285" s="1" t="s">
        <v>284</v>
      </c>
      <c r="B285" s="3">
        <f>VLOOKUP(A285,[3]TeamRtg!$A$3:$G$367,7,FALSE)</f>
        <v>-0.73760262872800419</v>
      </c>
      <c r="C285" s="1">
        <f t="shared" si="4"/>
        <v>284</v>
      </c>
      <c r="D285" s="1">
        <v>284</v>
      </c>
    </row>
    <row r="286" spans="1:4" x14ac:dyDescent="0.2">
      <c r="A286" s="1" t="s">
        <v>285</v>
      </c>
      <c r="B286" s="3">
        <f>VLOOKUP(A286,[3]TeamRtg!$A$3:$G$367,7,FALSE)</f>
        <v>-0.73855358571488638</v>
      </c>
      <c r="C286" s="1">
        <f t="shared" si="4"/>
        <v>285</v>
      </c>
      <c r="D286" s="1">
        <v>285</v>
      </c>
    </row>
    <row r="287" spans="1:4" x14ac:dyDescent="0.2">
      <c r="A287" s="1" t="s">
        <v>286</v>
      </c>
      <c r="B287" s="3">
        <f>VLOOKUP(A287,[3]TeamRtg!$A$3:$G$367,7,FALSE)</f>
        <v>-0.73986673948621817</v>
      </c>
      <c r="C287" s="1">
        <f t="shared" si="4"/>
        <v>286</v>
      </c>
      <c r="D287" s="1">
        <v>286</v>
      </c>
    </row>
    <row r="288" spans="1:4" x14ac:dyDescent="0.2">
      <c r="A288" s="1" t="s">
        <v>287</v>
      </c>
      <c r="B288" s="3">
        <f>VLOOKUP(A288,[3]TeamRtg!$A$3:$G$367,7,FALSE)</f>
        <v>-0.74505412142437411</v>
      </c>
      <c r="C288" s="1">
        <f t="shared" si="4"/>
        <v>287</v>
      </c>
      <c r="D288" s="1">
        <v>287</v>
      </c>
    </row>
    <row r="289" spans="1:4" x14ac:dyDescent="0.2">
      <c r="A289" s="1" t="s">
        <v>288</v>
      </c>
      <c r="B289" s="3">
        <f>VLOOKUP(A289,[3]TeamRtg!$A$3:$G$367,7,FALSE)</f>
        <v>-0.74540633067785234</v>
      </c>
      <c r="C289" s="1">
        <f t="shared" si="4"/>
        <v>288</v>
      </c>
      <c r="D289" s="1">
        <v>288</v>
      </c>
    </row>
    <row r="290" spans="1:4" x14ac:dyDescent="0.2">
      <c r="A290" s="1" t="s">
        <v>289</v>
      </c>
      <c r="B290" s="3">
        <f>VLOOKUP(A290,[3]TeamRtg!$A$3:$G$367,7,FALSE)</f>
        <v>-0.75237965200734247</v>
      </c>
      <c r="C290" s="1">
        <f t="shared" si="4"/>
        <v>289</v>
      </c>
      <c r="D290" s="1">
        <v>289</v>
      </c>
    </row>
    <row r="291" spans="1:4" x14ac:dyDescent="0.2">
      <c r="A291" s="1" t="s">
        <v>290</v>
      </c>
      <c r="B291" s="3">
        <f>VLOOKUP(A291,[3]TeamRtg!$A$3:$G$367,7,FALSE)</f>
        <v>-0.79140233621910316</v>
      </c>
      <c r="C291" s="1">
        <f t="shared" si="4"/>
        <v>290</v>
      </c>
      <c r="D291" s="1">
        <v>290</v>
      </c>
    </row>
    <row r="292" spans="1:4" x14ac:dyDescent="0.2">
      <c r="A292" s="1" t="s">
        <v>291</v>
      </c>
      <c r="B292" s="3">
        <f>VLOOKUP(A292,[3]TeamRtg!$A$3:$G$367,7,FALSE)</f>
        <v>-0.81416141037126555</v>
      </c>
      <c r="C292" s="1">
        <f t="shared" si="4"/>
        <v>291</v>
      </c>
      <c r="D292" s="1">
        <v>291</v>
      </c>
    </row>
    <row r="293" spans="1:4" x14ac:dyDescent="0.2">
      <c r="A293" s="1" t="s">
        <v>292</v>
      </c>
      <c r="B293" s="3">
        <f>VLOOKUP(A293,[3]TeamRtg!$A$3:$G$367,7,FALSE)</f>
        <v>-0.81833929599132038</v>
      </c>
      <c r="C293" s="1">
        <f t="shared" si="4"/>
        <v>292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-0.84118580023587097</v>
      </c>
      <c r="C294" s="1">
        <f t="shared" si="4"/>
        <v>293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-0.85104910618161378</v>
      </c>
      <c r="C295" s="1">
        <f t="shared" si="4"/>
        <v>294</v>
      </c>
      <c r="D295" s="1">
        <v>294</v>
      </c>
    </row>
    <row r="296" spans="1:4" x14ac:dyDescent="0.2">
      <c r="A296" s="1" t="s">
        <v>295</v>
      </c>
      <c r="B296" s="3">
        <f>VLOOKUP(A296,[3]TeamRtg!$A$3:$G$367,7,FALSE)</f>
        <v>-0.92718593215152445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-0.93347797867019433</v>
      </c>
      <c r="C297" s="1">
        <f t="shared" si="4"/>
        <v>296</v>
      </c>
      <c r="D297" s="1">
        <v>296</v>
      </c>
    </row>
    <row r="298" spans="1:4" x14ac:dyDescent="0.2">
      <c r="A298" s="1" t="s">
        <v>297</v>
      </c>
      <c r="B298" s="3">
        <f>VLOOKUP(A298,[3]TeamRtg!$A$3:$G$367,7,FALSE)</f>
        <v>-0.9435911319486382</v>
      </c>
      <c r="C298" s="1">
        <f t="shared" si="4"/>
        <v>297</v>
      </c>
      <c r="D298" s="1">
        <v>297</v>
      </c>
    </row>
    <row r="299" spans="1:4" x14ac:dyDescent="0.2">
      <c r="A299" s="1" t="s">
        <v>298</v>
      </c>
      <c r="B299" s="3">
        <f>VLOOKUP(A299,[3]TeamRtg!$A$3:$G$367,7,FALSE)</f>
        <v>-0.95905677327002659</v>
      </c>
      <c r="C299" s="1">
        <f t="shared" si="4"/>
        <v>298</v>
      </c>
      <c r="D299" s="1">
        <v>298</v>
      </c>
    </row>
    <row r="300" spans="1:4" x14ac:dyDescent="0.2">
      <c r="A300" s="1" t="s">
        <v>299</v>
      </c>
      <c r="B300" s="3">
        <f>VLOOKUP(A300,[3]TeamRtg!$A$3:$G$367,7,FALSE)</f>
        <v>-0.9645026782847157</v>
      </c>
      <c r="C300" s="1">
        <f t="shared" si="4"/>
        <v>299</v>
      </c>
      <c r="D300" s="1">
        <v>299</v>
      </c>
    </row>
    <row r="301" spans="1:4" x14ac:dyDescent="0.2">
      <c r="A301" s="1" t="s">
        <v>300</v>
      </c>
      <c r="B301" s="3">
        <f>VLOOKUP(A301,[3]TeamRtg!$A$3:$G$367,7,FALSE)</f>
        <v>-0.97933057772490617</v>
      </c>
      <c r="C301" s="1">
        <f t="shared" si="4"/>
        <v>300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-0.99144893161275816</v>
      </c>
      <c r="C302" s="1">
        <f t="shared" si="4"/>
        <v>301</v>
      </c>
      <c r="D302" s="1">
        <v>301</v>
      </c>
    </row>
    <row r="303" spans="1:4" x14ac:dyDescent="0.2">
      <c r="A303" s="1" t="s">
        <v>302</v>
      </c>
      <c r="B303" s="3">
        <f>VLOOKUP(A303,[3]TeamRtg!$A$3:$G$367,7,FALSE)</f>
        <v>-1.0358616400512488</v>
      </c>
      <c r="C303" s="1">
        <f t="shared" si="4"/>
        <v>302</v>
      </c>
      <c r="D303" s="1">
        <v>302</v>
      </c>
    </row>
    <row r="304" spans="1:4" x14ac:dyDescent="0.2">
      <c r="A304" s="1" t="s">
        <v>303</v>
      </c>
      <c r="B304" s="3">
        <f>VLOOKUP(A304,[3]TeamRtg!$A$3:$G$367,7,FALSE)</f>
        <v>-1.0460442576112499</v>
      </c>
      <c r="C304" s="1">
        <f t="shared" si="4"/>
        <v>303</v>
      </c>
      <c r="D304" s="1">
        <v>303</v>
      </c>
    </row>
    <row r="305" spans="1:4" x14ac:dyDescent="0.2">
      <c r="A305" s="1" t="s">
        <v>304</v>
      </c>
      <c r="B305" s="3">
        <f>VLOOKUP(A305,[3]TeamRtg!$A$3:$G$367,7,FALSE)</f>
        <v>-1.0494932279422076</v>
      </c>
      <c r="C305" s="1">
        <f t="shared" si="4"/>
        <v>304</v>
      </c>
      <c r="D305" s="1">
        <v>304</v>
      </c>
    </row>
    <row r="306" spans="1:4" x14ac:dyDescent="0.2">
      <c r="A306" s="1" t="s">
        <v>305</v>
      </c>
      <c r="B306" s="3">
        <f>VLOOKUP(A306,[3]TeamRtg!$A$3:$G$367,7,FALSE)</f>
        <v>-1.0506396605139843</v>
      </c>
      <c r="C306" s="1">
        <f t="shared" si="4"/>
        <v>305</v>
      </c>
      <c r="D306" s="1">
        <v>305</v>
      </c>
    </row>
    <row r="307" spans="1:4" x14ac:dyDescent="0.2">
      <c r="A307" s="1" t="s">
        <v>306</v>
      </c>
      <c r="B307" s="3">
        <f>VLOOKUP(A307,[3]TeamRtg!$A$3:$G$367,7,FALSE)</f>
        <v>-1.0529045743454586</v>
      </c>
      <c r="C307" s="1">
        <f t="shared" si="4"/>
        <v>306</v>
      </c>
      <c r="D307" s="1">
        <v>306</v>
      </c>
    </row>
    <row r="308" spans="1:4" x14ac:dyDescent="0.2">
      <c r="A308" s="1" t="s">
        <v>307</v>
      </c>
      <c r="B308" s="3">
        <f>VLOOKUP(A308,[3]TeamRtg!$A$3:$G$367,7,FALSE)</f>
        <v>-1.108928064615472</v>
      </c>
      <c r="C308" s="1">
        <f t="shared" si="4"/>
        <v>307</v>
      </c>
      <c r="D308" s="1">
        <v>307</v>
      </c>
    </row>
    <row r="309" spans="1:4" x14ac:dyDescent="0.2">
      <c r="A309" s="1" t="s">
        <v>308</v>
      </c>
      <c r="B309" s="3">
        <f>VLOOKUP(A309,[3]TeamRtg!$A$3:$G$367,7,FALSE)</f>
        <v>-1.1434761445547046</v>
      </c>
      <c r="C309" s="1">
        <f t="shared" si="4"/>
        <v>308</v>
      </c>
      <c r="D309" s="1">
        <v>308</v>
      </c>
    </row>
    <row r="310" spans="1:4" x14ac:dyDescent="0.2">
      <c r="A310" s="1" t="s">
        <v>309</v>
      </c>
      <c r="B310" s="3">
        <f>VLOOKUP(A310,[3]TeamRtg!$A$3:$G$367,7,FALSE)</f>
        <v>-1.1455685133074529</v>
      </c>
      <c r="C310" s="1">
        <f t="shared" si="4"/>
        <v>309</v>
      </c>
      <c r="D310" s="1">
        <v>309</v>
      </c>
    </row>
    <row r="311" spans="1:4" x14ac:dyDescent="0.2">
      <c r="A311" s="1" t="s">
        <v>310</v>
      </c>
      <c r="B311" s="3">
        <f>VLOOKUP(A311,[3]TeamRtg!$A$3:$G$367,7,FALSE)</f>
        <v>-1.1604988365383702</v>
      </c>
      <c r="C311" s="1">
        <f t="shared" si="4"/>
        <v>310</v>
      </c>
      <c r="D311" s="1">
        <v>310</v>
      </c>
    </row>
    <row r="312" spans="1:4" x14ac:dyDescent="0.2">
      <c r="A312" s="1" t="s">
        <v>311</v>
      </c>
      <c r="B312" s="3">
        <f>VLOOKUP(A312,[3]TeamRtg!$A$3:$G$367,7,FALSE)</f>
        <v>-1.1611800002894292</v>
      </c>
      <c r="C312" s="1">
        <f t="shared" si="4"/>
        <v>311</v>
      </c>
      <c r="D312" s="1">
        <v>311</v>
      </c>
    </row>
    <row r="313" spans="1:4" x14ac:dyDescent="0.2">
      <c r="A313" s="1" t="s">
        <v>312</v>
      </c>
      <c r="B313" s="3">
        <f>VLOOKUP(A313,[3]TeamRtg!$A$3:$G$367,7,FALSE)</f>
        <v>-1.1679267171266641</v>
      </c>
      <c r="C313" s="1">
        <f t="shared" si="4"/>
        <v>312</v>
      </c>
      <c r="D313" s="1">
        <v>312</v>
      </c>
    </row>
    <row r="314" spans="1:4" x14ac:dyDescent="0.2">
      <c r="A314" s="1" t="s">
        <v>313</v>
      </c>
      <c r="B314" s="3">
        <f>VLOOKUP(A314,[3]TeamRtg!$A$3:$G$367,7,FALSE)</f>
        <v>-1.1741219546793262</v>
      </c>
      <c r="C314" s="1">
        <f t="shared" si="4"/>
        <v>313</v>
      </c>
      <c r="D314" s="1">
        <v>313</v>
      </c>
    </row>
    <row r="315" spans="1:4" x14ac:dyDescent="0.2">
      <c r="A315" s="1" t="s">
        <v>314</v>
      </c>
      <c r="B315" s="3">
        <f>VLOOKUP(A315,[3]TeamRtg!$A$3:$G$367,7,FALSE)</f>
        <v>-1.1838935250113969</v>
      </c>
      <c r="C315" s="1">
        <f t="shared" si="4"/>
        <v>314</v>
      </c>
      <c r="D315" s="1">
        <v>314</v>
      </c>
    </row>
    <row r="316" spans="1:4" x14ac:dyDescent="0.2">
      <c r="A316" s="1" t="s">
        <v>315</v>
      </c>
      <c r="B316" s="3">
        <f>VLOOKUP(A316,[3]TeamRtg!$A$3:$G$367,7,FALSE)</f>
        <v>-1.2089823781308215</v>
      </c>
      <c r="C316" s="1">
        <f t="shared" si="4"/>
        <v>315</v>
      </c>
      <c r="D316" s="1">
        <v>315</v>
      </c>
    </row>
    <row r="317" spans="1:4" x14ac:dyDescent="0.2">
      <c r="A317" s="1" t="s">
        <v>316</v>
      </c>
      <c r="B317" s="3">
        <f>VLOOKUP(A317,[3]TeamRtg!$A$3:$G$367,7,FALSE)</f>
        <v>-1.2143548508138746</v>
      </c>
      <c r="C317" s="1">
        <f t="shared" si="4"/>
        <v>316</v>
      </c>
      <c r="D317" s="1">
        <v>316</v>
      </c>
    </row>
    <row r="318" spans="1:4" x14ac:dyDescent="0.2">
      <c r="A318" s="1" t="s">
        <v>317</v>
      </c>
      <c r="B318" s="3">
        <f>VLOOKUP(A318,[3]TeamRtg!$A$3:$G$367,7,FALSE)</f>
        <v>-1.2161509044050487</v>
      </c>
      <c r="C318" s="1">
        <f t="shared" si="4"/>
        <v>317</v>
      </c>
      <c r="D318" s="1">
        <v>317</v>
      </c>
    </row>
    <row r="319" spans="1:4" x14ac:dyDescent="0.2">
      <c r="A319" s="1" t="s">
        <v>318</v>
      </c>
      <c r="B319" s="3">
        <f>VLOOKUP(A319,[3]TeamRtg!$A$3:$G$367,7,FALSE)</f>
        <v>-1.2350128201032522</v>
      </c>
      <c r="C319" s="1">
        <f t="shared" si="4"/>
        <v>318</v>
      </c>
      <c r="D319" s="1">
        <v>318</v>
      </c>
    </row>
    <row r="320" spans="1:4" x14ac:dyDescent="0.2">
      <c r="A320" s="1" t="s">
        <v>319</v>
      </c>
      <c r="B320" s="3">
        <f>VLOOKUP(A320,[3]TeamRtg!$A$3:$G$367,7,FALSE)</f>
        <v>-1.2351655503881052</v>
      </c>
      <c r="C320" s="1">
        <f t="shared" si="4"/>
        <v>319</v>
      </c>
      <c r="D320" s="1">
        <v>319</v>
      </c>
    </row>
    <row r="321" spans="1:4" x14ac:dyDescent="0.2">
      <c r="A321" s="1" t="s">
        <v>320</v>
      </c>
      <c r="B321" s="3">
        <f>VLOOKUP(A321,[3]TeamRtg!$A$3:$G$367,7,FALSE)</f>
        <v>-1.2522019933212922</v>
      </c>
      <c r="C321" s="1">
        <f t="shared" si="4"/>
        <v>320</v>
      </c>
      <c r="D321" s="1">
        <v>320</v>
      </c>
    </row>
    <row r="322" spans="1:4" x14ac:dyDescent="0.2">
      <c r="A322" s="1" t="s">
        <v>321</v>
      </c>
      <c r="B322" s="3">
        <f>VLOOKUP(A322,[3]TeamRtg!$A$3:$G$367,7,FALSE)</f>
        <v>-1.2580493691078549</v>
      </c>
      <c r="C322" s="1">
        <f t="shared" si="4"/>
        <v>321</v>
      </c>
      <c r="D322" s="1">
        <v>321</v>
      </c>
    </row>
    <row r="323" spans="1:4" x14ac:dyDescent="0.2">
      <c r="A323" s="1" t="s">
        <v>322</v>
      </c>
      <c r="B323" s="3">
        <f>VLOOKUP(A323,[3]TeamRtg!$A$3:$G$367,7,FALSE)</f>
        <v>-1.2765770833714207</v>
      </c>
      <c r="C323" s="1">
        <f t="shared" ref="C323:C366" si="5">RANK(B323,$B$2:$B$366)</f>
        <v>322</v>
      </c>
      <c r="D323" s="1">
        <v>322</v>
      </c>
    </row>
    <row r="324" spans="1:4" x14ac:dyDescent="0.2">
      <c r="A324" s="1" t="s">
        <v>323</v>
      </c>
      <c r="B324" s="3">
        <f>VLOOKUP(A324,[3]TeamRtg!$A$3:$G$367,7,FALSE)</f>
        <v>-1.2770426404650193</v>
      </c>
      <c r="C324" s="1">
        <f t="shared" si="5"/>
        <v>323</v>
      </c>
      <c r="D324" s="1">
        <v>323</v>
      </c>
    </row>
    <row r="325" spans="1:4" x14ac:dyDescent="0.2">
      <c r="A325" s="1" t="s">
        <v>324</v>
      </c>
      <c r="B325" s="3">
        <f>VLOOKUP(A325,[3]TeamRtg!$A$3:$G$367,7,FALSE)</f>
        <v>-1.2991398086551806</v>
      </c>
      <c r="C325" s="1">
        <f t="shared" si="5"/>
        <v>324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-1.3016776942191115</v>
      </c>
      <c r="C326" s="1">
        <f t="shared" si="5"/>
        <v>325</v>
      </c>
      <c r="D326" s="1">
        <v>325</v>
      </c>
    </row>
    <row r="327" spans="1:4" x14ac:dyDescent="0.2">
      <c r="A327" s="1" t="s">
        <v>326</v>
      </c>
      <c r="B327" s="3">
        <f>VLOOKUP(A327,[3]TeamRtg!$A$3:$G$367,7,FALSE)</f>
        <v>-1.3125720157642435</v>
      </c>
      <c r="C327" s="1">
        <f t="shared" si="5"/>
        <v>326</v>
      </c>
      <c r="D327" s="1">
        <v>326</v>
      </c>
    </row>
    <row r="328" spans="1:4" x14ac:dyDescent="0.2">
      <c r="A328" s="1" t="s">
        <v>327</v>
      </c>
      <c r="B328" s="3">
        <f>VLOOKUP(A328,[3]TeamRtg!$A$3:$G$367,7,FALSE)</f>
        <v>-1.3204180991357388</v>
      </c>
      <c r="C328" s="1">
        <f t="shared" si="5"/>
        <v>327</v>
      </c>
      <c r="D328" s="1">
        <v>327</v>
      </c>
    </row>
    <row r="329" spans="1:4" x14ac:dyDescent="0.2">
      <c r="A329" s="1" t="s">
        <v>328</v>
      </c>
      <c r="B329" s="3">
        <f>VLOOKUP(A329,[3]TeamRtg!$A$3:$G$367,7,FALSE)</f>
        <v>-1.3329922792536435</v>
      </c>
      <c r="C329" s="1">
        <f t="shared" si="5"/>
        <v>328</v>
      </c>
      <c r="D329" s="1">
        <v>328</v>
      </c>
    </row>
    <row r="330" spans="1:4" x14ac:dyDescent="0.2">
      <c r="A330" s="1" t="s">
        <v>329</v>
      </c>
      <c r="B330" s="3">
        <f>VLOOKUP(A330,[3]TeamRtg!$A$3:$G$367,7,FALSE)</f>
        <v>-1.3645505305820502</v>
      </c>
      <c r="C330" s="1">
        <f t="shared" si="5"/>
        <v>329</v>
      </c>
      <c r="D330" s="1">
        <v>329</v>
      </c>
    </row>
    <row r="331" spans="1:4" x14ac:dyDescent="0.2">
      <c r="A331" s="1" t="s">
        <v>330</v>
      </c>
      <c r="B331" s="3">
        <f>VLOOKUP(A331,[3]TeamRtg!$A$3:$G$367,7,FALSE)</f>
        <v>-1.3898992096566452</v>
      </c>
      <c r="C331" s="1">
        <f t="shared" si="5"/>
        <v>330</v>
      </c>
      <c r="D331" s="1">
        <v>330</v>
      </c>
    </row>
    <row r="332" spans="1:4" x14ac:dyDescent="0.2">
      <c r="A332" s="1" t="s">
        <v>331</v>
      </c>
      <c r="B332" s="3">
        <f>VLOOKUP(A332,[3]TeamRtg!$A$3:$G$367,7,FALSE)</f>
        <v>-1.4004924718859268</v>
      </c>
      <c r="C332" s="1">
        <f t="shared" si="5"/>
        <v>331</v>
      </c>
      <c r="D332" s="1">
        <v>331</v>
      </c>
    </row>
    <row r="333" spans="1:4" x14ac:dyDescent="0.2">
      <c r="A333" s="1" t="s">
        <v>332</v>
      </c>
      <c r="B333" s="3">
        <f>VLOOKUP(A333,[3]TeamRtg!$A$3:$G$367,7,FALSE)</f>
        <v>-1.4044426340792013</v>
      </c>
      <c r="C333" s="1">
        <f t="shared" si="5"/>
        <v>332</v>
      </c>
      <c r="D333" s="1">
        <v>332</v>
      </c>
    </row>
    <row r="334" spans="1:4" x14ac:dyDescent="0.2">
      <c r="A334" s="1" t="s">
        <v>333</v>
      </c>
      <c r="B334" s="3">
        <f>VLOOKUP(A334,[3]TeamRtg!$A$3:$G$367,7,FALSE)</f>
        <v>-1.4073192341183396</v>
      </c>
      <c r="C334" s="1">
        <f t="shared" si="5"/>
        <v>333</v>
      </c>
      <c r="D334" s="1">
        <v>333</v>
      </c>
    </row>
    <row r="335" spans="1:4" x14ac:dyDescent="0.2">
      <c r="A335" s="1" t="s">
        <v>334</v>
      </c>
      <c r="B335" s="3">
        <f>VLOOKUP(A335,[3]TeamRtg!$A$3:$G$367,7,FALSE)</f>
        <v>-1.4129957596937652</v>
      </c>
      <c r="C335" s="1">
        <f t="shared" si="5"/>
        <v>334</v>
      </c>
      <c r="D335" s="1">
        <v>334</v>
      </c>
    </row>
    <row r="336" spans="1:4" x14ac:dyDescent="0.2">
      <c r="A336" s="1" t="s">
        <v>335</v>
      </c>
      <c r="B336" s="3">
        <f>VLOOKUP(A336,[3]TeamRtg!$A$3:$G$367,7,FALSE)</f>
        <v>-1.4169171117754704</v>
      </c>
      <c r="C336" s="1">
        <f t="shared" si="5"/>
        <v>335</v>
      </c>
      <c r="D336" s="1">
        <v>335</v>
      </c>
    </row>
    <row r="337" spans="1:4" x14ac:dyDescent="0.2">
      <c r="A337" s="1" t="s">
        <v>336</v>
      </c>
      <c r="B337" s="3">
        <f>VLOOKUP(A337,[3]TeamRtg!$A$3:$G$367,7,FALSE)</f>
        <v>-1.4209936674368175</v>
      </c>
      <c r="C337" s="1">
        <f t="shared" si="5"/>
        <v>336</v>
      </c>
      <c r="D337" s="1">
        <v>336</v>
      </c>
    </row>
    <row r="338" spans="1:4" x14ac:dyDescent="0.2">
      <c r="A338" s="1" t="s">
        <v>337</v>
      </c>
      <c r="B338" s="3">
        <f>VLOOKUP(A338,[3]TeamRtg!$A$3:$G$367,7,FALSE)</f>
        <v>-1.4319348105460654</v>
      </c>
      <c r="C338" s="1">
        <f t="shared" si="5"/>
        <v>337</v>
      </c>
      <c r="D338" s="1">
        <v>337</v>
      </c>
    </row>
    <row r="339" spans="1:4" x14ac:dyDescent="0.2">
      <c r="A339" s="1" t="s">
        <v>338</v>
      </c>
      <c r="B339" s="3">
        <f>VLOOKUP(A339,[3]TeamRtg!$A$3:$G$367,7,FALSE)</f>
        <v>-1.4462559073842716</v>
      </c>
      <c r="C339" s="1">
        <f t="shared" si="5"/>
        <v>338</v>
      </c>
      <c r="D339" s="1">
        <v>338</v>
      </c>
    </row>
    <row r="340" spans="1:4" x14ac:dyDescent="0.2">
      <c r="A340" s="1" t="s">
        <v>339</v>
      </c>
      <c r="B340" s="3">
        <f>VLOOKUP(A340,[3]TeamRtg!$A$3:$G$367,7,FALSE)</f>
        <v>-1.4631935489038908</v>
      </c>
      <c r="C340" s="1">
        <f t="shared" si="5"/>
        <v>339</v>
      </c>
      <c r="D340" s="1">
        <v>339</v>
      </c>
    </row>
    <row r="341" spans="1:4" x14ac:dyDescent="0.2">
      <c r="A341" s="1" t="s">
        <v>340</v>
      </c>
      <c r="B341" s="3">
        <f>VLOOKUP(A341,[3]TeamRtg!$A$3:$G$367,7,FALSE)</f>
        <v>-1.4749890434304342</v>
      </c>
      <c r="C341" s="1">
        <f t="shared" si="5"/>
        <v>340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-1.4751087693947245</v>
      </c>
      <c r="C342" s="1">
        <f t="shared" si="5"/>
        <v>341</v>
      </c>
      <c r="D342" s="1">
        <v>341</v>
      </c>
    </row>
    <row r="343" spans="1:4" x14ac:dyDescent="0.2">
      <c r="A343" s="1" t="s">
        <v>342</v>
      </c>
      <c r="B343" s="3">
        <f>VLOOKUP(A343,[3]TeamRtg!$A$3:$G$367,7,FALSE)</f>
        <v>-1.5040451138686413</v>
      </c>
      <c r="C343" s="1">
        <f t="shared" si="5"/>
        <v>342</v>
      </c>
      <c r="D343" s="1">
        <v>342</v>
      </c>
    </row>
    <row r="344" spans="1:4" x14ac:dyDescent="0.2">
      <c r="A344" s="1" t="s">
        <v>343</v>
      </c>
      <c r="B344" s="3">
        <f>VLOOKUP(A344,[3]TeamRtg!$A$3:$G$367,7,FALSE)</f>
        <v>-1.5043442385427073</v>
      </c>
      <c r="C344" s="1">
        <f t="shared" si="5"/>
        <v>343</v>
      </c>
      <c r="D344" s="1">
        <v>343</v>
      </c>
    </row>
    <row r="345" spans="1:4" x14ac:dyDescent="0.2">
      <c r="A345" s="1" t="s">
        <v>344</v>
      </c>
      <c r="B345" s="3">
        <f>VLOOKUP(A345,[3]TeamRtg!$A$3:$G$367,7,FALSE)</f>
        <v>-1.5119301529106552</v>
      </c>
      <c r="C345" s="1">
        <f t="shared" si="5"/>
        <v>344</v>
      </c>
      <c r="D345" s="1">
        <v>344</v>
      </c>
    </row>
    <row r="346" spans="1:4" x14ac:dyDescent="0.2">
      <c r="A346" s="1" t="s">
        <v>345</v>
      </c>
      <c r="B346" s="3">
        <f>VLOOKUP(A346,[3]TeamRtg!$A$3:$G$367,7,FALSE)</f>
        <v>-1.5244308645210374</v>
      </c>
      <c r="C346" s="1">
        <f t="shared" si="5"/>
        <v>345</v>
      </c>
      <c r="D346" s="1">
        <v>345</v>
      </c>
    </row>
    <row r="347" spans="1:4" x14ac:dyDescent="0.2">
      <c r="A347" s="1" t="s">
        <v>346</v>
      </c>
      <c r="B347" s="3">
        <f>VLOOKUP(A347,[3]TeamRtg!$A$3:$G$367,7,FALSE)</f>
        <v>-1.5552646467665245</v>
      </c>
      <c r="C347" s="1">
        <f t="shared" si="5"/>
        <v>346</v>
      </c>
      <c r="D347" s="1">
        <v>346</v>
      </c>
    </row>
    <row r="348" spans="1:4" x14ac:dyDescent="0.2">
      <c r="A348" s="1" t="s">
        <v>347</v>
      </c>
      <c r="B348" s="3">
        <f>VLOOKUP(A348,[3]TeamRtg!$A$3:$G$367,7,FALSE)</f>
        <v>-1.5943434627841955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-1.6269697396754659</v>
      </c>
      <c r="C349" s="1">
        <f t="shared" si="5"/>
        <v>348</v>
      </c>
      <c r="D349" s="1">
        <v>348</v>
      </c>
    </row>
    <row r="350" spans="1:4" x14ac:dyDescent="0.2">
      <c r="A350" s="1" t="s">
        <v>349</v>
      </c>
      <c r="B350" s="3">
        <f>VLOOKUP(A350,[3]TeamRtg!$A$3:$G$367,7,FALSE)</f>
        <v>-1.6285521499706357</v>
      </c>
      <c r="C350" s="1">
        <f t="shared" si="5"/>
        <v>349</v>
      </c>
      <c r="D350" s="1">
        <v>349</v>
      </c>
    </row>
    <row r="351" spans="1:4" x14ac:dyDescent="0.2">
      <c r="A351" s="1" t="s">
        <v>350</v>
      </c>
      <c r="B351" s="3">
        <f>VLOOKUP(A351,[3]TeamRtg!$A$3:$G$367,7,FALSE)</f>
        <v>-1.6354107475347581</v>
      </c>
      <c r="C351" s="1">
        <f t="shared" si="5"/>
        <v>350</v>
      </c>
      <c r="D351" s="1">
        <v>350</v>
      </c>
    </row>
    <row r="352" spans="1:4" x14ac:dyDescent="0.2">
      <c r="A352" s="1" t="s">
        <v>351</v>
      </c>
      <c r="B352" s="3">
        <f>VLOOKUP(A352,[3]TeamRtg!$A$3:$G$367,7,FALSE)</f>
        <v>-1.6914598530894074</v>
      </c>
      <c r="C352" s="1">
        <f t="shared" si="5"/>
        <v>351</v>
      </c>
      <c r="D352" s="1">
        <v>351</v>
      </c>
    </row>
    <row r="353" spans="1:4" x14ac:dyDescent="0.2">
      <c r="A353" s="1" t="s">
        <v>352</v>
      </c>
      <c r="B353" s="3">
        <f>VLOOKUP(A353,[3]TeamRtg!$A$3:$G$367,7,FALSE)</f>
        <v>-1.7080207196670556</v>
      </c>
      <c r="C353" s="1">
        <f t="shared" si="5"/>
        <v>352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-1.7184261316827874</v>
      </c>
      <c r="C354" s="1">
        <f t="shared" si="5"/>
        <v>353</v>
      </c>
      <c r="D354" s="1">
        <v>353</v>
      </c>
    </row>
    <row r="355" spans="1:4" x14ac:dyDescent="0.2">
      <c r="A355" s="1" t="s">
        <v>354</v>
      </c>
      <c r="B355" s="3">
        <f>VLOOKUP(A355,[3]TeamRtg!$A$3:$G$367,7,FALSE)</f>
        <v>-1.7758848597860939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-1.7915354950578926</v>
      </c>
      <c r="C356" s="1">
        <f t="shared" si="5"/>
        <v>355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-1.9313351124999298</v>
      </c>
      <c r="C357" s="1">
        <f t="shared" si="5"/>
        <v>356</v>
      </c>
      <c r="D357" s="1">
        <v>356</v>
      </c>
    </row>
    <row r="358" spans="1:4" x14ac:dyDescent="0.2">
      <c r="A358" s="1" t="s">
        <v>357</v>
      </c>
      <c r="B358" s="3">
        <f>VLOOKUP(A358,[3]TeamRtg!$A$3:$G$367,7,FALSE)</f>
        <v>-1.9323660107845269</v>
      </c>
      <c r="C358" s="1">
        <f t="shared" si="5"/>
        <v>357</v>
      </c>
      <c r="D358" s="1">
        <v>357</v>
      </c>
    </row>
    <row r="359" spans="1:4" x14ac:dyDescent="0.2">
      <c r="A359" s="1" t="s">
        <v>358</v>
      </c>
      <c r="B359" s="3">
        <f>VLOOKUP(A359,[3]TeamRtg!$A$3:$G$367,7,FALSE)</f>
        <v>-1.9549095690484743</v>
      </c>
      <c r="C359" s="1">
        <f t="shared" si="5"/>
        <v>358</v>
      </c>
      <c r="D359" s="1">
        <v>358</v>
      </c>
    </row>
    <row r="360" spans="1:4" x14ac:dyDescent="0.2">
      <c r="A360" s="1" t="s">
        <v>359</v>
      </c>
      <c r="B360" s="3">
        <f>VLOOKUP(A360,[3]TeamRtg!$A$3:$G$367,7,FALSE)</f>
        <v>-1.9753079220695919</v>
      </c>
      <c r="C360" s="1">
        <f t="shared" si="5"/>
        <v>359</v>
      </c>
      <c r="D360" s="1">
        <v>359</v>
      </c>
    </row>
    <row r="361" spans="1:4" x14ac:dyDescent="0.2">
      <c r="A361" s="1" t="s">
        <v>360</v>
      </c>
      <c r="B361" s="3">
        <f>VLOOKUP(A361,[3]TeamRtg!$A$3:$G$367,7,FALSE)</f>
        <v>-2.0412255518194398</v>
      </c>
      <c r="C361" s="1">
        <f t="shared" si="5"/>
        <v>360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-2.132511898303548</v>
      </c>
      <c r="C362" s="1">
        <f t="shared" si="5"/>
        <v>361</v>
      </c>
      <c r="D362" s="1">
        <v>361</v>
      </c>
    </row>
    <row r="363" spans="1:4" x14ac:dyDescent="0.2">
      <c r="A363" s="1" t="s">
        <v>362</v>
      </c>
      <c r="B363" s="3">
        <f>VLOOKUP(A363,[3]TeamRtg!$A$3:$G$367,7,FALSE)</f>
        <v>-2.201020134995765</v>
      </c>
      <c r="C363" s="1">
        <f t="shared" si="5"/>
        <v>362</v>
      </c>
      <c r="D363" s="1">
        <v>362</v>
      </c>
    </row>
    <row r="364" spans="1:4" x14ac:dyDescent="0.2">
      <c r="A364" s="1" t="s">
        <v>363</v>
      </c>
      <c r="B364" s="3">
        <f>VLOOKUP(A364,[3]TeamRtg!$A$3:$G$367,7,FALSE)</f>
        <v>-2.2013914933164758</v>
      </c>
      <c r="C364" s="1">
        <f t="shared" si="5"/>
        <v>363</v>
      </c>
      <c r="D364" s="1">
        <v>363</v>
      </c>
    </row>
    <row r="365" spans="1:4" x14ac:dyDescent="0.2">
      <c r="A365" s="1" t="s">
        <v>364</v>
      </c>
      <c r="B365" s="3">
        <f>VLOOKUP(A365,[3]TeamRtg!$A$3:$G$367,7,FALSE)</f>
        <v>-2.204398195732006</v>
      </c>
      <c r="C365" s="1">
        <f t="shared" si="5"/>
        <v>364</v>
      </c>
      <c r="D365" s="1">
        <v>364</v>
      </c>
    </row>
    <row r="366" spans="1:4" x14ac:dyDescent="0.2">
      <c r="A366" s="1" t="s">
        <v>365</v>
      </c>
      <c r="B366" s="3">
        <f>VLOOKUP(A366,[3]TeamRtg!$A$3:$G$367,7,FALSE)</f>
        <v>-2.5350335740667558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A10" sqref="A10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0.98855000000000004</v>
      </c>
      <c r="C2">
        <v>0.85270000000000001</v>
      </c>
      <c r="D2">
        <v>0.59379999999999999</v>
      </c>
      <c r="E2">
        <v>0.38145000000000001</v>
      </c>
      <c r="F2">
        <v>0.2611</v>
      </c>
      <c r="G2">
        <v>0.15759999999999999</v>
      </c>
      <c r="H2" t="s">
        <v>384</v>
      </c>
      <c r="I2">
        <v>1</v>
      </c>
      <c r="J2">
        <v>24.810400963071341</v>
      </c>
    </row>
    <row r="3" spans="1:10" x14ac:dyDescent="0.2">
      <c r="A3" t="s">
        <v>3</v>
      </c>
      <c r="B3">
        <v>0.97589999999999999</v>
      </c>
      <c r="C3">
        <v>0.76505000000000001</v>
      </c>
      <c r="D3">
        <v>0.62204999999999999</v>
      </c>
      <c r="E3">
        <v>0.434</v>
      </c>
      <c r="F3">
        <v>0.26255000000000001</v>
      </c>
      <c r="G3">
        <v>0.15645000000000001</v>
      </c>
      <c r="H3" t="s">
        <v>382</v>
      </c>
      <c r="I3">
        <v>1</v>
      </c>
      <c r="J3">
        <v>24.226746855270012</v>
      </c>
    </row>
    <row r="4" spans="1:10" x14ac:dyDescent="0.2">
      <c r="A4" t="s">
        <v>2</v>
      </c>
      <c r="B4">
        <v>0.99139999999999995</v>
      </c>
      <c r="C4">
        <v>0.74629999999999996</v>
      </c>
      <c r="D4">
        <v>0.46089999999999998</v>
      </c>
      <c r="E4">
        <v>0.31764999999999999</v>
      </c>
      <c r="F4">
        <v>0.19500000000000001</v>
      </c>
      <c r="G4">
        <v>0.12035</v>
      </c>
      <c r="H4" t="s">
        <v>383</v>
      </c>
      <c r="I4">
        <v>1</v>
      </c>
      <c r="J4">
        <v>24.384687627026171</v>
      </c>
    </row>
    <row r="5" spans="1:10" x14ac:dyDescent="0.2">
      <c r="A5" t="s">
        <v>6</v>
      </c>
      <c r="B5">
        <v>0.98494999999999999</v>
      </c>
      <c r="C5">
        <v>0.75409999999999999</v>
      </c>
      <c r="D5">
        <v>0.52639999999999998</v>
      </c>
      <c r="E5">
        <v>0.26924999999999999</v>
      </c>
      <c r="F5">
        <v>0.13420000000000001</v>
      </c>
      <c r="G5">
        <v>6.5500000000000003E-2</v>
      </c>
      <c r="H5" t="s">
        <v>382</v>
      </c>
      <c r="I5">
        <v>2</v>
      </c>
      <c r="J5">
        <v>21.027489150518061</v>
      </c>
    </row>
    <row r="6" spans="1:10" x14ac:dyDescent="0.2">
      <c r="A6" t="s">
        <v>4</v>
      </c>
      <c r="B6">
        <v>0.93464999999999998</v>
      </c>
      <c r="C6">
        <v>0.65325</v>
      </c>
      <c r="D6">
        <v>0.39510000000000001</v>
      </c>
      <c r="E6">
        <v>0.2009</v>
      </c>
      <c r="F6">
        <v>0.126</v>
      </c>
      <c r="G6">
        <v>6.5449999999999994E-2</v>
      </c>
      <c r="H6" t="s">
        <v>384</v>
      </c>
      <c r="I6">
        <v>2</v>
      </c>
      <c r="J6">
        <v>22.732528951568561</v>
      </c>
    </row>
    <row r="7" spans="1:10" x14ac:dyDescent="0.2">
      <c r="A7" t="s">
        <v>12</v>
      </c>
      <c r="B7">
        <v>0.86114999999999997</v>
      </c>
      <c r="C7">
        <v>0.64124999999999999</v>
      </c>
      <c r="D7">
        <v>0.38114999999999999</v>
      </c>
      <c r="E7">
        <v>0.20635000000000001</v>
      </c>
      <c r="F7">
        <v>9.1399999999999995E-2</v>
      </c>
      <c r="G7">
        <v>4.1250000000000002E-2</v>
      </c>
      <c r="H7" t="s">
        <v>385</v>
      </c>
      <c r="I7">
        <v>4</v>
      </c>
      <c r="J7">
        <v>20.113161202374119</v>
      </c>
    </row>
    <row r="8" spans="1:10" x14ac:dyDescent="0.2">
      <c r="A8" t="s">
        <v>9</v>
      </c>
      <c r="B8">
        <v>0.96855000000000002</v>
      </c>
      <c r="C8">
        <v>0.66234999999999999</v>
      </c>
      <c r="D8">
        <v>0.40134999999999998</v>
      </c>
      <c r="E8">
        <v>0.17574999999999999</v>
      </c>
      <c r="F8">
        <v>8.6400000000000005E-2</v>
      </c>
      <c r="G8">
        <v>4.1000000000000002E-2</v>
      </c>
      <c r="H8" t="s">
        <v>383</v>
      </c>
      <c r="I8">
        <v>2</v>
      </c>
      <c r="J8">
        <v>20.483780607843489</v>
      </c>
    </row>
    <row r="9" spans="1:10" x14ac:dyDescent="0.2">
      <c r="A9" t="s">
        <v>5</v>
      </c>
      <c r="B9">
        <v>0.90459999999999996</v>
      </c>
      <c r="C9">
        <v>0.52975000000000005</v>
      </c>
      <c r="D9">
        <v>0.25004999999999999</v>
      </c>
      <c r="E9">
        <v>0.1477</v>
      </c>
      <c r="F9">
        <v>7.8950000000000006E-2</v>
      </c>
      <c r="G9">
        <v>3.9949999999999999E-2</v>
      </c>
      <c r="H9" t="s">
        <v>383</v>
      </c>
      <c r="I9">
        <v>4</v>
      </c>
      <c r="J9">
        <v>21.422678976942951</v>
      </c>
    </row>
    <row r="10" spans="1:10" x14ac:dyDescent="0.2">
      <c r="A10" t="s">
        <v>11</v>
      </c>
      <c r="B10">
        <v>0.92774999999999996</v>
      </c>
      <c r="C10">
        <v>0.66569999999999996</v>
      </c>
      <c r="D10">
        <v>0.37040000000000001</v>
      </c>
      <c r="E10">
        <v>0.20930000000000001</v>
      </c>
      <c r="F10">
        <v>8.9249999999999996E-2</v>
      </c>
      <c r="G10">
        <v>3.9350000000000003E-2</v>
      </c>
      <c r="H10" t="s">
        <v>385</v>
      </c>
      <c r="I10">
        <v>3</v>
      </c>
      <c r="J10">
        <v>20.15253517001112</v>
      </c>
    </row>
    <row r="11" spans="1:10" x14ac:dyDescent="0.2">
      <c r="A11" t="s">
        <v>7</v>
      </c>
      <c r="B11">
        <v>0.90869999999999995</v>
      </c>
      <c r="C11">
        <v>0.5585</v>
      </c>
      <c r="D11">
        <v>0.28265000000000001</v>
      </c>
      <c r="E11">
        <v>0.12684999999999999</v>
      </c>
      <c r="F11">
        <v>7.0300000000000001E-2</v>
      </c>
      <c r="G11">
        <v>3.3550000000000003E-2</v>
      </c>
      <c r="H11" t="s">
        <v>384</v>
      </c>
      <c r="I11">
        <v>3</v>
      </c>
      <c r="J11">
        <v>20.818800425665561</v>
      </c>
    </row>
    <row r="12" spans="1:10" x14ac:dyDescent="0.2">
      <c r="A12" t="s">
        <v>13</v>
      </c>
      <c r="B12">
        <v>0.90969999999999995</v>
      </c>
      <c r="C12">
        <v>0.54154999999999998</v>
      </c>
      <c r="D12">
        <v>0.30375000000000002</v>
      </c>
      <c r="E12">
        <v>0.16885</v>
      </c>
      <c r="F12">
        <v>7.2900000000000006E-2</v>
      </c>
      <c r="G12">
        <v>3.1600000000000003E-2</v>
      </c>
      <c r="H12" t="s">
        <v>385</v>
      </c>
      <c r="I12">
        <v>2</v>
      </c>
      <c r="J12">
        <v>19.614167714334961</v>
      </c>
    </row>
    <row r="13" spans="1:10" x14ac:dyDescent="0.2">
      <c r="A13" t="s">
        <v>8</v>
      </c>
      <c r="B13">
        <v>0.82965</v>
      </c>
      <c r="C13">
        <v>0.54759999999999998</v>
      </c>
      <c r="D13">
        <v>0.22889999999999999</v>
      </c>
      <c r="E13">
        <v>0.11395</v>
      </c>
      <c r="F13">
        <v>6.4750000000000002E-2</v>
      </c>
      <c r="G13">
        <v>3.0949999999999998E-2</v>
      </c>
      <c r="H13" t="s">
        <v>384</v>
      </c>
      <c r="I13">
        <v>5</v>
      </c>
      <c r="J13">
        <v>20.61748149962505</v>
      </c>
    </row>
    <row r="14" spans="1:10" x14ac:dyDescent="0.2">
      <c r="A14" t="s">
        <v>386</v>
      </c>
      <c r="B14">
        <v>0.9708</v>
      </c>
      <c r="C14">
        <v>0.60335000000000005</v>
      </c>
      <c r="D14">
        <v>0.32505000000000001</v>
      </c>
      <c r="E14">
        <v>0.16785</v>
      </c>
      <c r="F14">
        <v>6.59E-2</v>
      </c>
      <c r="G14">
        <v>2.7949999999999999E-2</v>
      </c>
      <c r="H14" t="s">
        <v>385</v>
      </c>
      <c r="I14">
        <v>1</v>
      </c>
      <c r="J14">
        <v>18.846137419885739</v>
      </c>
    </row>
    <row r="15" spans="1:10" x14ac:dyDescent="0.2">
      <c r="A15" t="s">
        <v>10</v>
      </c>
      <c r="B15">
        <v>0.87144999999999995</v>
      </c>
      <c r="C15">
        <v>0.44005</v>
      </c>
      <c r="D15">
        <v>0.19600000000000001</v>
      </c>
      <c r="E15">
        <v>0.11055</v>
      </c>
      <c r="F15">
        <v>5.5500000000000001E-2</v>
      </c>
      <c r="G15">
        <v>2.5999999999999999E-2</v>
      </c>
      <c r="H15" t="s">
        <v>383</v>
      </c>
      <c r="I15">
        <v>5</v>
      </c>
      <c r="J15">
        <v>20.47719721517084</v>
      </c>
    </row>
    <row r="16" spans="1:10" x14ac:dyDescent="0.2">
      <c r="A16" t="s">
        <v>14</v>
      </c>
      <c r="B16">
        <v>0.89305000000000001</v>
      </c>
      <c r="C16">
        <v>0.60740000000000005</v>
      </c>
      <c r="D16">
        <v>0.31559999999999999</v>
      </c>
      <c r="E16">
        <v>0.12984999999999999</v>
      </c>
      <c r="F16">
        <v>5.935E-2</v>
      </c>
      <c r="G16">
        <v>2.53E-2</v>
      </c>
      <c r="H16" t="s">
        <v>383</v>
      </c>
      <c r="I16">
        <v>3</v>
      </c>
      <c r="J16">
        <v>19.44163014249413</v>
      </c>
    </row>
    <row r="17" spans="1:10" x14ac:dyDescent="0.2">
      <c r="A17" t="s">
        <v>17</v>
      </c>
      <c r="B17">
        <v>0.68889999999999996</v>
      </c>
      <c r="C17">
        <v>0.3458</v>
      </c>
      <c r="D17">
        <v>0.17885000000000001</v>
      </c>
      <c r="E17">
        <v>9.1149999999999995E-2</v>
      </c>
      <c r="F17">
        <v>3.5349999999999999E-2</v>
      </c>
      <c r="G17">
        <v>1.3849999999999999E-2</v>
      </c>
      <c r="H17" t="s">
        <v>385</v>
      </c>
      <c r="I17">
        <v>7</v>
      </c>
      <c r="J17">
        <v>18.422481277226279</v>
      </c>
    </row>
    <row r="18" spans="1:10" x14ac:dyDescent="0.2">
      <c r="A18" t="s">
        <v>15</v>
      </c>
      <c r="B18">
        <v>0.66949999999999998</v>
      </c>
      <c r="C18">
        <v>0.3291</v>
      </c>
      <c r="D18">
        <v>0.14785000000000001</v>
      </c>
      <c r="E18">
        <v>6.0150000000000002E-2</v>
      </c>
      <c r="F18">
        <v>3.065E-2</v>
      </c>
      <c r="G18">
        <v>1.35E-2</v>
      </c>
      <c r="H18" t="s">
        <v>384</v>
      </c>
      <c r="I18">
        <v>6</v>
      </c>
      <c r="J18">
        <v>19.183060334961471</v>
      </c>
    </row>
    <row r="19" spans="1:10" x14ac:dyDescent="0.2">
      <c r="A19" t="s">
        <v>20</v>
      </c>
      <c r="B19">
        <v>0.85545000000000004</v>
      </c>
      <c r="C19">
        <v>0.38950000000000001</v>
      </c>
      <c r="D19">
        <v>0.12884999999999999</v>
      </c>
      <c r="E19">
        <v>4.8349999999999997E-2</v>
      </c>
      <c r="F19">
        <v>2.085E-2</v>
      </c>
      <c r="G19">
        <v>8.5000000000000006E-3</v>
      </c>
      <c r="H19" t="s">
        <v>384</v>
      </c>
      <c r="I19">
        <v>4</v>
      </c>
      <c r="J19">
        <v>17.199761095021529</v>
      </c>
    </row>
    <row r="20" spans="1:10" x14ac:dyDescent="0.2">
      <c r="A20" t="s">
        <v>18</v>
      </c>
      <c r="B20">
        <v>0.66010000000000002</v>
      </c>
      <c r="C20">
        <v>0.25135000000000002</v>
      </c>
      <c r="D20">
        <v>0.11749999999999999</v>
      </c>
      <c r="E20">
        <v>4.4350000000000001E-2</v>
      </c>
      <c r="F20">
        <v>2.1700000000000001E-2</v>
      </c>
      <c r="G20">
        <v>7.9000000000000008E-3</v>
      </c>
      <c r="H20" t="s">
        <v>384</v>
      </c>
      <c r="I20">
        <v>7</v>
      </c>
      <c r="J20">
        <v>18.240710593624939</v>
      </c>
    </row>
    <row r="21" spans="1:10" x14ac:dyDescent="0.2">
      <c r="A21" t="s">
        <v>24</v>
      </c>
      <c r="B21">
        <v>0.83899999999999997</v>
      </c>
      <c r="C21">
        <v>0.45395000000000002</v>
      </c>
      <c r="D21">
        <v>0.17815</v>
      </c>
      <c r="E21">
        <v>6.1699999999999998E-2</v>
      </c>
      <c r="F21">
        <v>1.9699999999999999E-2</v>
      </c>
      <c r="G21">
        <v>7.0499999999999998E-3</v>
      </c>
      <c r="H21" t="s">
        <v>382</v>
      </c>
      <c r="I21">
        <v>3</v>
      </c>
      <c r="J21">
        <v>15.780760470233369</v>
      </c>
    </row>
    <row r="22" spans="1:10" x14ac:dyDescent="0.2">
      <c r="A22" t="s">
        <v>30</v>
      </c>
      <c r="B22">
        <v>0.64</v>
      </c>
      <c r="C22">
        <v>0.38195000000000001</v>
      </c>
      <c r="D22">
        <v>0.11235000000000001</v>
      </c>
      <c r="E22">
        <v>4.5949999999999998E-2</v>
      </c>
      <c r="F22">
        <v>1.4200000000000001E-2</v>
      </c>
      <c r="G22">
        <v>4.7000000000000002E-3</v>
      </c>
      <c r="H22" t="s">
        <v>382</v>
      </c>
      <c r="I22">
        <v>5</v>
      </c>
      <c r="J22">
        <v>15.09388278174157</v>
      </c>
    </row>
    <row r="23" spans="1:10" x14ac:dyDescent="0.2">
      <c r="A23" t="s">
        <v>26</v>
      </c>
      <c r="B23">
        <v>0.65644999999999998</v>
      </c>
      <c r="C23">
        <v>0.27694999999999997</v>
      </c>
      <c r="D23">
        <v>0.1101</v>
      </c>
      <c r="E23">
        <v>3.5000000000000003E-2</v>
      </c>
      <c r="F23">
        <v>1.255E-2</v>
      </c>
      <c r="G23">
        <v>4.4999999999999997E-3</v>
      </c>
      <c r="H23" t="s">
        <v>383</v>
      </c>
      <c r="I23">
        <v>6</v>
      </c>
      <c r="J23">
        <v>15.46313056902305</v>
      </c>
    </row>
    <row r="24" spans="1:10" x14ac:dyDescent="0.2">
      <c r="A24" t="s">
        <v>22</v>
      </c>
      <c r="B24">
        <v>0.64195000000000002</v>
      </c>
      <c r="C24">
        <v>0.24245</v>
      </c>
      <c r="D24">
        <v>0.11385000000000001</v>
      </c>
      <c r="E24">
        <v>3.5200000000000002E-2</v>
      </c>
      <c r="F24">
        <v>1.3350000000000001E-2</v>
      </c>
      <c r="G24">
        <v>4.2500000000000003E-3</v>
      </c>
      <c r="H24" t="s">
        <v>383</v>
      </c>
      <c r="I24">
        <v>7</v>
      </c>
      <c r="J24">
        <v>16.2898940126613</v>
      </c>
    </row>
    <row r="25" spans="1:10" x14ac:dyDescent="0.2">
      <c r="A25" t="s">
        <v>25</v>
      </c>
      <c r="B25">
        <v>0.54079999999999995</v>
      </c>
      <c r="C25">
        <v>0.13500000000000001</v>
      </c>
      <c r="D25">
        <v>7.6999999999999999E-2</v>
      </c>
      <c r="E25">
        <v>3.3050000000000003E-2</v>
      </c>
      <c r="F25">
        <v>1.0800000000000001E-2</v>
      </c>
      <c r="G25">
        <v>3.5500000000000002E-3</v>
      </c>
      <c r="H25" t="s">
        <v>382</v>
      </c>
      <c r="I25">
        <v>9</v>
      </c>
      <c r="J25">
        <v>15.55943566399646</v>
      </c>
    </row>
    <row r="26" spans="1:10" x14ac:dyDescent="0.2">
      <c r="A26" t="s">
        <v>31</v>
      </c>
      <c r="B26">
        <v>0.55535000000000001</v>
      </c>
      <c r="C26">
        <v>0.2944</v>
      </c>
      <c r="D26">
        <v>0.1103</v>
      </c>
      <c r="E26">
        <v>3.78E-2</v>
      </c>
      <c r="F26">
        <v>1.0999999999999999E-2</v>
      </c>
      <c r="G26">
        <v>3.3999999999999998E-3</v>
      </c>
      <c r="H26" t="s">
        <v>382</v>
      </c>
      <c r="I26">
        <v>6</v>
      </c>
      <c r="J26">
        <v>15.09170396575456</v>
      </c>
    </row>
    <row r="27" spans="1:10" x14ac:dyDescent="0.2">
      <c r="A27" t="s">
        <v>28</v>
      </c>
      <c r="B27">
        <v>0.49945000000000001</v>
      </c>
      <c r="C27">
        <v>0.1978</v>
      </c>
      <c r="D27">
        <v>8.9499999999999996E-2</v>
      </c>
      <c r="E27">
        <v>3.5999999999999997E-2</v>
      </c>
      <c r="F27">
        <v>1.0749999999999999E-2</v>
      </c>
      <c r="G27">
        <v>3.15E-3</v>
      </c>
      <c r="H27" t="s">
        <v>385</v>
      </c>
      <c r="I27">
        <v>9</v>
      </c>
      <c r="J27">
        <v>15.225413669715079</v>
      </c>
    </row>
    <row r="28" spans="1:10" x14ac:dyDescent="0.2">
      <c r="A28" t="s">
        <v>29</v>
      </c>
      <c r="B28">
        <v>0.50055000000000005</v>
      </c>
      <c r="C28">
        <v>0.19735</v>
      </c>
      <c r="D28">
        <v>8.5150000000000003E-2</v>
      </c>
      <c r="E28">
        <v>3.3399999999999999E-2</v>
      </c>
      <c r="F28">
        <v>1.09E-2</v>
      </c>
      <c r="G28">
        <v>3.0999999999999999E-3</v>
      </c>
      <c r="H28" t="s">
        <v>385</v>
      </c>
      <c r="I28">
        <v>8</v>
      </c>
      <c r="J28">
        <v>15.194903628579871</v>
      </c>
    </row>
    <row r="29" spans="1:10" x14ac:dyDescent="0.2">
      <c r="A29" t="s">
        <v>35</v>
      </c>
      <c r="B29">
        <v>0.71050000000000002</v>
      </c>
      <c r="C29">
        <v>0.25695000000000001</v>
      </c>
      <c r="D29">
        <v>9.8900000000000002E-2</v>
      </c>
      <c r="E29">
        <v>3.4849999999999999E-2</v>
      </c>
      <c r="F29">
        <v>9.4000000000000004E-3</v>
      </c>
      <c r="G29">
        <v>2.65E-3</v>
      </c>
      <c r="H29" t="s">
        <v>385</v>
      </c>
      <c r="I29">
        <v>5</v>
      </c>
      <c r="J29">
        <v>14.020159448637139</v>
      </c>
    </row>
    <row r="30" spans="1:10" x14ac:dyDescent="0.2">
      <c r="A30" t="s">
        <v>21</v>
      </c>
      <c r="B30">
        <v>0.51480000000000004</v>
      </c>
      <c r="C30">
        <v>0.13270000000000001</v>
      </c>
      <c r="D30">
        <v>4.6550000000000001E-2</v>
      </c>
      <c r="E30">
        <v>1.9050000000000001E-2</v>
      </c>
      <c r="F30">
        <v>6.6E-3</v>
      </c>
      <c r="G30">
        <v>2.5000000000000001E-3</v>
      </c>
      <c r="H30" t="s">
        <v>383</v>
      </c>
      <c r="I30">
        <v>9</v>
      </c>
      <c r="J30">
        <v>16.325636379550989</v>
      </c>
    </row>
    <row r="31" spans="1:10" x14ac:dyDescent="0.2">
      <c r="A31" t="s">
        <v>34</v>
      </c>
      <c r="B31">
        <v>0.44464999999999999</v>
      </c>
      <c r="C31">
        <v>0.22289999999999999</v>
      </c>
      <c r="D31">
        <v>7.7249999999999999E-2</v>
      </c>
      <c r="E31">
        <v>2.4199999999999999E-2</v>
      </c>
      <c r="F31">
        <v>7.1000000000000004E-3</v>
      </c>
      <c r="G31">
        <v>2.15E-3</v>
      </c>
      <c r="H31" t="s">
        <v>382</v>
      </c>
      <c r="I31">
        <v>11</v>
      </c>
      <c r="J31">
        <v>14.056408199372861</v>
      </c>
    </row>
    <row r="32" spans="1:10" x14ac:dyDescent="0.2">
      <c r="A32" t="s">
        <v>40</v>
      </c>
      <c r="B32">
        <v>0.66695000000000004</v>
      </c>
      <c r="C32">
        <v>0.32950000000000002</v>
      </c>
      <c r="D32">
        <v>8.0549999999999997E-2</v>
      </c>
      <c r="E32">
        <v>2.9049999999999999E-2</v>
      </c>
      <c r="F32">
        <v>8.8000000000000005E-3</v>
      </c>
      <c r="G32">
        <v>2E-3</v>
      </c>
      <c r="H32" t="s">
        <v>382</v>
      </c>
      <c r="I32">
        <v>4</v>
      </c>
      <c r="J32">
        <v>13.36519211998993</v>
      </c>
    </row>
    <row r="33" spans="1:10" x14ac:dyDescent="0.2">
      <c r="A33" t="s">
        <v>23</v>
      </c>
      <c r="B33">
        <v>0.48520000000000002</v>
      </c>
      <c r="C33">
        <v>0.12095</v>
      </c>
      <c r="D33">
        <v>4.3249999999999997E-2</v>
      </c>
      <c r="E33">
        <v>1.8100000000000002E-2</v>
      </c>
      <c r="F33">
        <v>5.5999999999999999E-3</v>
      </c>
      <c r="G33">
        <v>1.9E-3</v>
      </c>
      <c r="H33" t="s">
        <v>383</v>
      </c>
      <c r="I33">
        <v>8</v>
      </c>
      <c r="J33">
        <v>15.923189015537361</v>
      </c>
    </row>
    <row r="34" spans="1:10" x14ac:dyDescent="0.2">
      <c r="A34" t="s">
        <v>37</v>
      </c>
      <c r="B34">
        <v>0.52205000000000001</v>
      </c>
      <c r="C34">
        <v>0.1507</v>
      </c>
      <c r="D34">
        <v>7.0349999999999996E-2</v>
      </c>
      <c r="E34">
        <v>2.2200000000000001E-2</v>
      </c>
      <c r="F34">
        <v>5.3499999999999997E-3</v>
      </c>
      <c r="G34">
        <v>1.65E-3</v>
      </c>
      <c r="H34" t="s">
        <v>382</v>
      </c>
      <c r="I34">
        <v>10</v>
      </c>
      <c r="J34">
        <v>13.72126897474508</v>
      </c>
    </row>
    <row r="35" spans="1:10" x14ac:dyDescent="0.2">
      <c r="A35" t="s">
        <v>33</v>
      </c>
      <c r="B35">
        <v>0.54164999999999996</v>
      </c>
      <c r="C35">
        <v>0.1925</v>
      </c>
      <c r="D35">
        <v>7.0849999999999996E-2</v>
      </c>
      <c r="E35">
        <v>2.7449999999999999E-2</v>
      </c>
      <c r="F35">
        <v>6.1500000000000001E-3</v>
      </c>
      <c r="G35">
        <v>1.5499999999999999E-3</v>
      </c>
      <c r="H35" t="s">
        <v>385</v>
      </c>
      <c r="I35">
        <v>11</v>
      </c>
      <c r="J35">
        <v>14.298125666815221</v>
      </c>
    </row>
    <row r="36" spans="1:10" x14ac:dyDescent="0.2">
      <c r="A36" t="s">
        <v>38</v>
      </c>
      <c r="B36">
        <v>0.4592</v>
      </c>
      <c r="C36">
        <v>9.8250000000000004E-2</v>
      </c>
      <c r="D36">
        <v>5.1499999999999997E-2</v>
      </c>
      <c r="E36">
        <v>1.8950000000000002E-2</v>
      </c>
      <c r="F36">
        <v>5.3499999999999997E-3</v>
      </c>
      <c r="G36">
        <v>1.5E-3</v>
      </c>
      <c r="H36" t="s">
        <v>382</v>
      </c>
      <c r="I36">
        <v>8</v>
      </c>
      <c r="J36">
        <v>13.68286970062818</v>
      </c>
    </row>
    <row r="37" spans="1:10" x14ac:dyDescent="0.2">
      <c r="A37" t="s">
        <v>44</v>
      </c>
      <c r="B37">
        <v>0.60355000000000003</v>
      </c>
      <c r="C37">
        <v>0.10555</v>
      </c>
      <c r="D37">
        <v>3.3399999999999999E-2</v>
      </c>
      <c r="E37">
        <v>9.5499999999999995E-3</v>
      </c>
      <c r="F37">
        <v>3.0000000000000001E-3</v>
      </c>
      <c r="G37">
        <v>5.9999999999999995E-4</v>
      </c>
      <c r="H37" t="s">
        <v>384</v>
      </c>
      <c r="I37">
        <v>9</v>
      </c>
      <c r="J37">
        <v>12.580793120111631</v>
      </c>
    </row>
    <row r="38" spans="1:10" x14ac:dyDescent="0.2">
      <c r="A38" t="s">
        <v>42</v>
      </c>
      <c r="B38">
        <v>0.33989999999999998</v>
      </c>
      <c r="C38">
        <v>8.5750000000000007E-2</v>
      </c>
      <c r="D38">
        <v>2.75E-2</v>
      </c>
      <c r="E38">
        <v>5.5500000000000002E-3</v>
      </c>
      <c r="F38">
        <v>1.8500000000000001E-3</v>
      </c>
      <c r="G38">
        <v>5.9999999999999995E-4</v>
      </c>
      <c r="H38" t="s">
        <v>384</v>
      </c>
      <c r="I38">
        <v>10</v>
      </c>
      <c r="J38">
        <v>13.101532229438829</v>
      </c>
    </row>
    <row r="39" spans="1:10" x14ac:dyDescent="0.2">
      <c r="A39" t="s">
        <v>46</v>
      </c>
      <c r="B39">
        <v>0.31109999999999999</v>
      </c>
      <c r="C39">
        <v>9.98E-2</v>
      </c>
      <c r="D39">
        <v>3.3700000000000001E-2</v>
      </c>
      <c r="E39">
        <v>1.09E-2</v>
      </c>
      <c r="F39">
        <v>2.9499999999999999E-3</v>
      </c>
      <c r="G39">
        <v>5.5000000000000003E-4</v>
      </c>
      <c r="H39" t="s">
        <v>385</v>
      </c>
      <c r="I39">
        <v>10</v>
      </c>
      <c r="J39">
        <v>12.18385037778865</v>
      </c>
    </row>
    <row r="40" spans="1:10" x14ac:dyDescent="0.2">
      <c r="A40" t="s">
        <v>55</v>
      </c>
      <c r="B40">
        <v>0.36</v>
      </c>
      <c r="C40">
        <v>0.15984999999999999</v>
      </c>
      <c r="D40">
        <v>3.2500000000000001E-2</v>
      </c>
      <c r="E40">
        <v>1.01E-2</v>
      </c>
      <c r="F40">
        <v>2.0500000000000002E-3</v>
      </c>
      <c r="G40">
        <v>5.0000000000000001E-4</v>
      </c>
      <c r="H40" t="s">
        <v>382</v>
      </c>
      <c r="I40">
        <v>12</v>
      </c>
      <c r="J40">
        <v>10.763168800169611</v>
      </c>
    </row>
    <row r="41" spans="1:10" x14ac:dyDescent="0.2">
      <c r="A41" t="s">
        <v>43</v>
      </c>
      <c r="B41">
        <v>0.33050000000000002</v>
      </c>
      <c r="C41">
        <v>9.9599999999999994E-2</v>
      </c>
      <c r="D41">
        <v>2.7150000000000001E-2</v>
      </c>
      <c r="E41">
        <v>6.4000000000000003E-3</v>
      </c>
      <c r="F41">
        <v>1.6999999999999999E-3</v>
      </c>
      <c r="G41">
        <v>4.4999999999999999E-4</v>
      </c>
      <c r="H41" t="s">
        <v>384</v>
      </c>
      <c r="I41">
        <v>11</v>
      </c>
      <c r="J41">
        <v>13.078943613811379</v>
      </c>
    </row>
    <row r="42" spans="1:10" x14ac:dyDescent="0.2">
      <c r="A42" t="s">
        <v>53</v>
      </c>
      <c r="B42">
        <v>0.45834999999999998</v>
      </c>
      <c r="C42">
        <v>0.1295</v>
      </c>
      <c r="D42">
        <v>3.9600000000000003E-2</v>
      </c>
      <c r="E42">
        <v>1.12E-2</v>
      </c>
      <c r="F42">
        <v>2.3500000000000001E-3</v>
      </c>
      <c r="G42">
        <v>4.0000000000000002E-4</v>
      </c>
      <c r="H42" t="s">
        <v>385</v>
      </c>
      <c r="I42">
        <v>6</v>
      </c>
      <c r="J42">
        <v>11.448453202127149</v>
      </c>
    </row>
    <row r="43" spans="1:10" x14ac:dyDescent="0.2">
      <c r="A43" t="s">
        <v>56</v>
      </c>
      <c r="B43">
        <v>0.47794999999999999</v>
      </c>
      <c r="C43">
        <v>9.4600000000000004E-2</v>
      </c>
      <c r="D43">
        <v>3.415E-2</v>
      </c>
      <c r="E43">
        <v>7.7999999999999996E-3</v>
      </c>
      <c r="F43">
        <v>1.8500000000000001E-3</v>
      </c>
      <c r="G43">
        <v>3.5E-4</v>
      </c>
      <c r="H43" t="s">
        <v>382</v>
      </c>
      <c r="I43">
        <v>7</v>
      </c>
      <c r="J43">
        <v>10.71305274005398</v>
      </c>
    </row>
    <row r="44" spans="1:10" x14ac:dyDescent="0.2">
      <c r="A44" t="s">
        <v>50</v>
      </c>
      <c r="B44">
        <v>0.35804999999999998</v>
      </c>
      <c r="C44">
        <v>9.2700000000000005E-2</v>
      </c>
      <c r="D44">
        <v>3.2899999999999999E-2</v>
      </c>
      <c r="E44">
        <v>7.0000000000000001E-3</v>
      </c>
      <c r="F44">
        <v>1.8E-3</v>
      </c>
      <c r="G44">
        <v>2.9999999999999997E-4</v>
      </c>
      <c r="H44" t="s">
        <v>383</v>
      </c>
      <c r="I44">
        <v>10</v>
      </c>
      <c r="J44">
        <v>11.92317749636865</v>
      </c>
    </row>
    <row r="45" spans="1:10" x14ac:dyDescent="0.2">
      <c r="A45" t="s">
        <v>60</v>
      </c>
      <c r="B45">
        <v>0.33305000000000001</v>
      </c>
      <c r="C45">
        <v>0.12870000000000001</v>
      </c>
      <c r="D45">
        <v>2.385E-2</v>
      </c>
      <c r="E45">
        <v>5.4999999999999997E-3</v>
      </c>
      <c r="F45">
        <v>8.4999999999999995E-4</v>
      </c>
      <c r="G45">
        <v>2.0000000000000001E-4</v>
      </c>
      <c r="H45" t="s">
        <v>382</v>
      </c>
      <c r="I45">
        <v>13</v>
      </c>
      <c r="J45">
        <v>10.23477933866431</v>
      </c>
    </row>
    <row r="46" spans="1:10" x14ac:dyDescent="0.2">
      <c r="A46" t="s">
        <v>63</v>
      </c>
      <c r="B46">
        <v>0.34355000000000002</v>
      </c>
      <c r="C46">
        <v>9.1700000000000004E-2</v>
      </c>
      <c r="D46">
        <v>2.3050000000000001E-2</v>
      </c>
      <c r="E46">
        <v>3.3999999999999998E-3</v>
      </c>
      <c r="F46">
        <v>8.4999999999999995E-4</v>
      </c>
      <c r="G46">
        <v>2.0000000000000001E-4</v>
      </c>
      <c r="H46" t="s">
        <v>383</v>
      </c>
      <c r="I46">
        <v>11</v>
      </c>
      <c r="J46">
        <v>9.862087728282825</v>
      </c>
    </row>
    <row r="47" spans="1:10" x14ac:dyDescent="0.2">
      <c r="A47" t="s">
        <v>78</v>
      </c>
      <c r="B47">
        <v>0.39645000000000002</v>
      </c>
      <c r="C47">
        <v>4.0899999999999999E-2</v>
      </c>
      <c r="D47">
        <v>8.3499999999999998E-3</v>
      </c>
      <c r="E47">
        <v>1.4499999999999999E-3</v>
      </c>
      <c r="F47">
        <v>3.5E-4</v>
      </c>
      <c r="G47">
        <v>1E-4</v>
      </c>
      <c r="H47" t="s">
        <v>384</v>
      </c>
      <c r="I47">
        <v>8</v>
      </c>
      <c r="J47">
        <v>8.1303974052985044</v>
      </c>
    </row>
    <row r="48" spans="1:10" x14ac:dyDescent="0.2">
      <c r="A48" t="s">
        <v>96</v>
      </c>
      <c r="B48">
        <v>0.28949999999999998</v>
      </c>
      <c r="C48">
        <v>5.7049999999999997E-2</v>
      </c>
      <c r="D48">
        <v>1.095E-2</v>
      </c>
      <c r="E48">
        <v>1.2999999999999999E-3</v>
      </c>
      <c r="F48">
        <v>1E-4</v>
      </c>
      <c r="G48">
        <v>5.0000000000000002E-5</v>
      </c>
      <c r="H48" t="s">
        <v>385</v>
      </c>
      <c r="I48">
        <v>12</v>
      </c>
      <c r="J48">
        <v>6.5166438125101793</v>
      </c>
    </row>
    <row r="49" spans="1:10" x14ac:dyDescent="0.2">
      <c r="A49" t="s">
        <v>91</v>
      </c>
      <c r="B49">
        <v>0.17035</v>
      </c>
      <c r="C49">
        <v>4.4699999999999997E-2</v>
      </c>
      <c r="D49">
        <v>5.3E-3</v>
      </c>
      <c r="E49">
        <v>6.4999999999999997E-4</v>
      </c>
      <c r="F49">
        <v>1E-4</v>
      </c>
      <c r="G49">
        <v>5.0000000000000002E-5</v>
      </c>
      <c r="H49" t="s">
        <v>384</v>
      </c>
      <c r="I49">
        <v>12</v>
      </c>
      <c r="J49">
        <v>7.1671343086206107</v>
      </c>
    </row>
    <row r="50" spans="1:10" x14ac:dyDescent="0.2">
      <c r="A50" t="s">
        <v>128</v>
      </c>
      <c r="B50">
        <v>0.12855</v>
      </c>
      <c r="C50">
        <v>1.7100000000000001E-2</v>
      </c>
      <c r="D50">
        <v>1.5499999999999999E-3</v>
      </c>
      <c r="E50">
        <v>4.0000000000000002E-4</v>
      </c>
      <c r="F50">
        <v>2.0000000000000001E-4</v>
      </c>
      <c r="G50">
        <v>5.0000000000000002E-5</v>
      </c>
      <c r="H50" t="s">
        <v>383</v>
      </c>
      <c r="I50">
        <v>12</v>
      </c>
      <c r="J50">
        <v>4.4315422547659411</v>
      </c>
    </row>
    <row r="51" spans="1:10" x14ac:dyDescent="0.2">
      <c r="A51" t="s">
        <v>106</v>
      </c>
      <c r="B51">
        <v>0.13885</v>
      </c>
      <c r="C51">
        <v>4.4749999999999998E-2</v>
      </c>
      <c r="D51">
        <v>9.2499999999999995E-3</v>
      </c>
      <c r="E51">
        <v>1.0499999999999999E-3</v>
      </c>
      <c r="F51">
        <v>1.4999999999999999E-4</v>
      </c>
      <c r="G51">
        <v>0</v>
      </c>
      <c r="H51" t="s">
        <v>385</v>
      </c>
      <c r="I51">
        <v>13</v>
      </c>
      <c r="J51">
        <v>5.763870592235615</v>
      </c>
    </row>
    <row r="52" spans="1:10" x14ac:dyDescent="0.2">
      <c r="A52" t="s">
        <v>132</v>
      </c>
      <c r="B52">
        <v>0.161</v>
      </c>
      <c r="C52">
        <v>2.8750000000000001E-2</v>
      </c>
      <c r="D52">
        <v>3.3500000000000001E-3</v>
      </c>
      <c r="E52">
        <v>4.4999999999999999E-4</v>
      </c>
      <c r="F52">
        <v>5.0000000000000002E-5</v>
      </c>
      <c r="G52">
        <v>0</v>
      </c>
      <c r="H52" t="s">
        <v>382</v>
      </c>
      <c r="I52">
        <v>14</v>
      </c>
      <c r="J52">
        <v>3.9770462875544288</v>
      </c>
    </row>
    <row r="53" spans="1:10" x14ac:dyDescent="0.2">
      <c r="A53" t="s">
        <v>154</v>
      </c>
      <c r="B53">
        <v>0.14455000000000001</v>
      </c>
      <c r="C53">
        <v>1.8200000000000001E-2</v>
      </c>
      <c r="D53">
        <v>1.4E-3</v>
      </c>
      <c r="E53">
        <v>2.5000000000000001E-4</v>
      </c>
      <c r="F53">
        <v>1E-4</v>
      </c>
      <c r="G53">
        <v>0</v>
      </c>
      <c r="H53" t="s">
        <v>384</v>
      </c>
      <c r="I53">
        <v>13</v>
      </c>
      <c r="J53">
        <v>3.0034929571987541</v>
      </c>
    </row>
    <row r="54" spans="1:10" x14ac:dyDescent="0.2">
      <c r="A54" t="s">
        <v>174</v>
      </c>
      <c r="B54">
        <v>7.2249999999999995E-2</v>
      </c>
      <c r="C54">
        <v>1.23E-2</v>
      </c>
      <c r="D54">
        <v>1.2999999999999999E-3</v>
      </c>
      <c r="E54">
        <v>2.0000000000000001E-4</v>
      </c>
      <c r="F54">
        <v>0</v>
      </c>
      <c r="G54">
        <v>0</v>
      </c>
      <c r="H54" t="s">
        <v>385</v>
      </c>
      <c r="I54">
        <v>14</v>
      </c>
      <c r="J54">
        <v>1.260281369944396</v>
      </c>
    </row>
    <row r="55" spans="1:10" x14ac:dyDescent="0.2">
      <c r="A55" t="s">
        <v>133</v>
      </c>
      <c r="B55">
        <v>0.10695</v>
      </c>
      <c r="C55">
        <v>2.3949999999999999E-2</v>
      </c>
      <c r="D55">
        <v>2.8999999999999998E-3</v>
      </c>
      <c r="E55">
        <v>2.0000000000000001E-4</v>
      </c>
      <c r="F55">
        <v>0</v>
      </c>
      <c r="G55">
        <v>0</v>
      </c>
      <c r="H55" t="s">
        <v>383</v>
      </c>
      <c r="I55">
        <v>14</v>
      </c>
      <c r="J55">
        <v>3.8613410114665161</v>
      </c>
    </row>
    <row r="56" spans="1:10" x14ac:dyDescent="0.2">
      <c r="A56" t="s">
        <v>138</v>
      </c>
      <c r="B56">
        <v>9.5399999999999999E-2</v>
      </c>
      <c r="C56">
        <v>1.3100000000000001E-2</v>
      </c>
      <c r="D56">
        <v>1.6999999999999999E-3</v>
      </c>
      <c r="E56">
        <v>1.4999999999999999E-4</v>
      </c>
      <c r="F56">
        <v>0</v>
      </c>
      <c r="G56">
        <v>0</v>
      </c>
      <c r="H56" t="s">
        <v>383</v>
      </c>
      <c r="I56">
        <v>13</v>
      </c>
      <c r="J56">
        <v>3.7124078007474042</v>
      </c>
    </row>
    <row r="57" spans="1:10" x14ac:dyDescent="0.2">
      <c r="A57" t="s">
        <v>160</v>
      </c>
      <c r="B57">
        <v>9.0300000000000005E-2</v>
      </c>
      <c r="C57">
        <v>1.285E-2</v>
      </c>
      <c r="D57">
        <v>1.5499999999999999E-3</v>
      </c>
      <c r="E57">
        <v>1.4999999999999999E-4</v>
      </c>
      <c r="F57">
        <v>0</v>
      </c>
      <c r="G57">
        <v>0</v>
      </c>
      <c r="H57" t="s">
        <v>385</v>
      </c>
      <c r="I57">
        <v>15</v>
      </c>
      <c r="J57">
        <v>2.5483218175280928</v>
      </c>
    </row>
    <row r="58" spans="1:10" x14ac:dyDescent="0.2">
      <c r="A58" t="s">
        <v>140</v>
      </c>
      <c r="B58">
        <v>9.1300000000000006E-2</v>
      </c>
      <c r="C58">
        <v>1.2800000000000001E-2</v>
      </c>
      <c r="D58">
        <v>1.15E-3</v>
      </c>
      <c r="E58">
        <v>1E-4</v>
      </c>
      <c r="F58">
        <v>0</v>
      </c>
      <c r="G58">
        <v>0</v>
      </c>
      <c r="H58" t="s">
        <v>384</v>
      </c>
      <c r="I58">
        <v>14</v>
      </c>
      <c r="J58">
        <v>3.6314220853713461</v>
      </c>
    </row>
    <row r="59" spans="1:10" x14ac:dyDescent="0.2">
      <c r="A59" t="s">
        <v>150</v>
      </c>
      <c r="B59">
        <v>6.5350000000000005E-2</v>
      </c>
      <c r="C59">
        <v>9.6500000000000006E-3</v>
      </c>
      <c r="D59">
        <v>1.1000000000000001E-3</v>
      </c>
      <c r="E59">
        <v>5.0000000000000002E-5</v>
      </c>
      <c r="F59">
        <v>0</v>
      </c>
      <c r="G59">
        <v>0</v>
      </c>
      <c r="H59" t="s">
        <v>384</v>
      </c>
      <c r="I59">
        <v>15</v>
      </c>
      <c r="J59">
        <v>3.211460950046499</v>
      </c>
    </row>
    <row r="60" spans="1:10" x14ac:dyDescent="0.2">
      <c r="A60" t="s">
        <v>327</v>
      </c>
      <c r="B60">
        <v>8.6E-3</v>
      </c>
      <c r="C60">
        <v>5.0000000000000002E-5</v>
      </c>
      <c r="D60">
        <v>0</v>
      </c>
      <c r="E60">
        <v>0</v>
      </c>
      <c r="F60">
        <v>0</v>
      </c>
      <c r="G60">
        <v>0</v>
      </c>
      <c r="H60" t="s">
        <v>383</v>
      </c>
      <c r="I60">
        <v>16</v>
      </c>
      <c r="J60">
        <v>-11.57067913479626</v>
      </c>
    </row>
    <row r="61" spans="1:10" x14ac:dyDescent="0.2">
      <c r="A61" t="s">
        <v>293</v>
      </c>
      <c r="B61">
        <v>2.92E-2</v>
      </c>
      <c r="C61">
        <v>1.5E-3</v>
      </c>
      <c r="D61">
        <v>5.0000000000000002E-5</v>
      </c>
      <c r="E61">
        <v>0</v>
      </c>
      <c r="F61">
        <v>0</v>
      </c>
      <c r="G61">
        <v>0</v>
      </c>
      <c r="H61" t="s">
        <v>385</v>
      </c>
      <c r="I61">
        <v>16</v>
      </c>
      <c r="J61">
        <v>-7.0352701824156041</v>
      </c>
    </row>
    <row r="62" spans="1:10" x14ac:dyDescent="0.2">
      <c r="A62" t="s">
        <v>321</v>
      </c>
      <c r="B62">
        <v>1.5049999999999999E-2</v>
      </c>
      <c r="C62">
        <v>5.9999999999999995E-4</v>
      </c>
      <c r="D62">
        <v>5.0000000000000002E-5</v>
      </c>
      <c r="E62">
        <v>0</v>
      </c>
      <c r="F62">
        <v>0</v>
      </c>
      <c r="G62">
        <v>0</v>
      </c>
      <c r="H62" t="s">
        <v>382</v>
      </c>
      <c r="I62">
        <v>15</v>
      </c>
      <c r="J62">
        <v>-10.980427398495451</v>
      </c>
    </row>
    <row r="63" spans="1:10" x14ac:dyDescent="0.2">
      <c r="A63" t="s">
        <v>278</v>
      </c>
      <c r="B63">
        <v>3.1449999999999999E-2</v>
      </c>
      <c r="C63">
        <v>2.5000000000000001E-3</v>
      </c>
      <c r="D63">
        <v>2.5000000000000001E-4</v>
      </c>
      <c r="E63">
        <v>0</v>
      </c>
      <c r="F63">
        <v>0</v>
      </c>
      <c r="G63">
        <v>0</v>
      </c>
      <c r="H63" t="s">
        <v>383</v>
      </c>
      <c r="I63">
        <v>15</v>
      </c>
      <c r="J63">
        <v>-5.546527511650936</v>
      </c>
    </row>
    <row r="64" spans="1:10" x14ac:dyDescent="0.2">
      <c r="A64" t="s">
        <v>247</v>
      </c>
      <c r="B64">
        <v>2.41E-2</v>
      </c>
      <c r="C64">
        <v>1.6999999999999999E-3</v>
      </c>
      <c r="D64">
        <v>2.0000000000000001E-4</v>
      </c>
      <c r="E64">
        <v>0</v>
      </c>
      <c r="F64">
        <v>0</v>
      </c>
      <c r="G64">
        <v>0</v>
      </c>
      <c r="H64" t="s">
        <v>382</v>
      </c>
      <c r="I64">
        <v>16</v>
      </c>
      <c r="J64">
        <v>-3.5706750782742982</v>
      </c>
    </row>
    <row r="65" spans="1:10" x14ac:dyDescent="0.2">
      <c r="A65" t="s">
        <v>305</v>
      </c>
      <c r="B65">
        <v>1.145E-2</v>
      </c>
      <c r="C65">
        <v>8.4999999999999995E-4</v>
      </c>
      <c r="D65">
        <v>0</v>
      </c>
      <c r="E65">
        <v>0</v>
      </c>
      <c r="F65">
        <v>0</v>
      </c>
      <c r="G65">
        <v>0</v>
      </c>
      <c r="H65" t="s">
        <v>384</v>
      </c>
      <c r="I65">
        <v>16</v>
      </c>
      <c r="J65">
        <v>-9.0175216191338325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2026-03-08T23:09:38Z</dcterms:modified>
</cp:coreProperties>
</file>