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F90540C0-4775-BF47-AAC6-4A67612C37AE}" xr6:coauthVersionLast="47" xr6:coauthVersionMax="47" xr10:uidLastSave="{00000000-0000-0000-0000-000000000000}"/>
  <bookViews>
    <workbookView xWindow="300" yWindow="780" windowWidth="17520" windowHeight="1994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E9" i="3"/>
  <c r="O28" i="4" l="1"/>
  <c r="L28" i="4"/>
  <c r="F28" i="4"/>
  <c r="B28" i="4"/>
  <c r="O27" i="4"/>
  <c r="L27" i="4"/>
  <c r="F27" i="4"/>
  <c r="G27" i="4" s="1"/>
  <c r="B27" i="4"/>
  <c r="F3" i="1"/>
  <c r="F4" i="1"/>
  <c r="F5" i="1"/>
  <c r="G28" i="4" l="1"/>
  <c r="H28" i="4"/>
  <c r="I28" i="4" s="1"/>
  <c r="H27" i="4"/>
  <c r="I27" i="4" s="1"/>
  <c r="B4" i="1" l="1"/>
  <c r="D4" i="1" s="1"/>
  <c r="C4" i="1"/>
  <c r="L4" i="1"/>
  <c r="B5" i="1"/>
  <c r="D5" i="1" s="1"/>
  <c r="C5" i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L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3" i="1" l="1"/>
  <c r="E4" i="1"/>
  <c r="E5" i="1"/>
  <c r="E2" i="1" l="1"/>
  <c r="H3" i="1"/>
  <c r="I3" i="1"/>
  <c r="G3" i="1"/>
  <c r="H4" i="1"/>
  <c r="I4" i="1"/>
  <c r="G4" i="1"/>
  <c r="H5" i="1"/>
  <c r="L5" i="1" s="1"/>
  <c r="H2" i="1"/>
  <c r="L2" i="1" s="1"/>
  <c r="G5" i="1" l="1"/>
  <c r="I5" i="1"/>
  <c r="I2" i="1"/>
  <c r="G2" i="1"/>
</calcChain>
</file>

<file path=xl/sharedStrings.xml><?xml version="1.0" encoding="utf-8"?>
<sst xmlns="http://schemas.openxmlformats.org/spreadsheetml/2006/main" count="719" uniqueCount="469">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</sst>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3</v>
          </cell>
          <cell r="C2" t="str">
            <v>Duke</v>
          </cell>
          <cell r="D2" t="str">
            <v>UConn</v>
          </cell>
          <cell r="E2">
            <v>8.2176528561273159</v>
          </cell>
          <cell r="F2" t="b">
            <v>0</v>
          </cell>
          <cell r="G2">
            <v>0.57969110053032102</v>
          </cell>
          <cell r="H2">
            <v>0</v>
          </cell>
          <cell r="I2">
            <v>0.1066830101033401</v>
          </cell>
          <cell r="J2">
            <v>0.44586204357273279</v>
          </cell>
          <cell r="K2">
            <v>0</v>
          </cell>
        </row>
        <row r="3">
          <cell r="B3">
            <v>8</v>
          </cell>
          <cell r="C3" t="str">
            <v>Tennessee</v>
          </cell>
          <cell r="D3" t="str">
            <v>Michigan</v>
          </cell>
          <cell r="E3">
            <v>-5.1473191413318649</v>
          </cell>
          <cell r="F3" t="b">
            <v>0</v>
          </cell>
          <cell r="G3">
            <v>0.55845078380930835</v>
          </cell>
          <cell r="H3">
            <v>0</v>
          </cell>
          <cell r="I3">
            <v>6.6133314545043231E-2</v>
          </cell>
          <cell r="J3">
            <v>2.5000999904671532E-2</v>
          </cell>
          <cell r="K3">
            <v>0</v>
          </cell>
        </row>
        <row r="4">
          <cell r="B4">
            <v>2</v>
          </cell>
          <cell r="C4" t="str">
            <v>Arizona</v>
          </cell>
          <cell r="D4" t="str">
            <v>Purdue</v>
          </cell>
          <cell r="E4">
            <v>7.8873391448450363</v>
          </cell>
          <cell r="F4" t="b">
            <v>0</v>
          </cell>
          <cell r="G4">
            <v>0.54694980764634271</v>
          </cell>
          <cell r="H4">
            <v>0</v>
          </cell>
          <cell r="I4">
            <v>4.4176905506654318E-2</v>
          </cell>
          <cell r="J4">
            <v>0.36128474795445259</v>
          </cell>
          <cell r="K4">
            <v>0</v>
          </cell>
        </row>
        <row r="5">
          <cell r="B5">
            <v>6</v>
          </cell>
          <cell r="C5" t="str">
            <v>Purdue</v>
          </cell>
          <cell r="D5" t="str">
            <v>Arizona</v>
          </cell>
          <cell r="E5">
            <v>-4.2845034550100038</v>
          </cell>
          <cell r="F5" t="b">
            <v>0</v>
          </cell>
          <cell r="G5">
            <v>0.54269219393462931</v>
          </cell>
          <cell r="H5">
            <v>0</v>
          </cell>
          <cell r="I5">
            <v>3.6048733875201473E-2</v>
          </cell>
          <cell r="J5">
            <v>3.529870472828367E-2</v>
          </cell>
          <cell r="K5">
            <v>0</v>
          </cell>
        </row>
        <row r="6">
          <cell r="B6">
            <v>5</v>
          </cell>
          <cell r="C6" t="str">
            <v>Iowa</v>
          </cell>
          <cell r="D6" t="str">
            <v>Illinois</v>
          </cell>
          <cell r="E6">
            <v>-5.2914917827182713</v>
          </cell>
          <cell r="F6" t="b">
            <v>0</v>
          </cell>
          <cell r="G6">
            <v>0.54251894234960674</v>
          </cell>
          <cell r="H6">
            <v>0</v>
          </cell>
          <cell r="I6">
            <v>3.5717980849249258E-2</v>
          </cell>
          <cell r="J6">
            <v>6.8053575495246432E-2</v>
          </cell>
          <cell r="K6">
            <v>0</v>
          </cell>
        </row>
        <row r="7">
          <cell r="B7">
            <v>7</v>
          </cell>
          <cell r="C7" t="str">
            <v>UConn</v>
          </cell>
          <cell r="D7" t="str">
            <v>Duke</v>
          </cell>
          <cell r="E7">
            <v>-3.3719170935659961</v>
          </cell>
          <cell r="F7" t="b">
            <v>0</v>
          </cell>
          <cell r="G7">
            <v>0.54052449960717686</v>
          </cell>
          <cell r="H7">
            <v>0</v>
          </cell>
          <cell r="I7">
            <v>3.1910408340974028E-2</v>
          </cell>
          <cell r="J7">
            <v>1.1193358470440231E-2</v>
          </cell>
          <cell r="K7">
            <v>0</v>
          </cell>
        </row>
        <row r="8">
          <cell r="B8">
            <v>1</v>
          </cell>
          <cell r="C8" t="str">
            <v>Illinois</v>
          </cell>
          <cell r="D8" t="str">
            <v>Iowa</v>
          </cell>
          <cell r="E8">
            <v>8.4421231024287469</v>
          </cell>
          <cell r="F8" t="b">
            <v>0</v>
          </cell>
          <cell r="G8">
            <v>0.53590911551584863</v>
          </cell>
          <cell r="H8">
            <v>0</v>
          </cell>
          <cell r="I8">
            <v>2.309922053025654E-2</v>
          </cell>
          <cell r="J8">
            <v>0.35292010839599508</v>
          </cell>
          <cell r="K8">
            <v>0</v>
          </cell>
        </row>
        <row r="9">
          <cell r="B9">
            <v>4</v>
          </cell>
          <cell r="C9" t="str">
            <v>Michigan</v>
          </cell>
          <cell r="D9" t="str">
            <v>Tennessee</v>
          </cell>
          <cell r="E9">
            <v>8.8837387917450545</v>
          </cell>
          <cell r="F9" t="b">
            <v>0</v>
          </cell>
          <cell r="G9">
            <v>0.53445903334055544</v>
          </cell>
          <cell r="H9">
            <v>0</v>
          </cell>
          <cell r="I9">
            <v>2.033088183196952E-2</v>
          </cell>
          <cell r="J9">
            <v>0.36316149241695439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Illinois</v>
          </cell>
          <cell r="C2" t="str">
            <v>Iowa</v>
          </cell>
          <cell r="D2">
            <v>18.836157720404749</v>
          </cell>
          <cell r="E2">
            <v>105.08780903665816</v>
          </cell>
          <cell r="F2">
            <v>108.93352999987511</v>
          </cell>
          <cell r="G2">
            <v>0.5511688311688312</v>
          </cell>
          <cell r="H2">
            <v>66.809032258064519</v>
          </cell>
          <cell r="I2">
            <v>62.096774193548384</v>
          </cell>
          <cell r="J2">
            <v>20.387096774193548</v>
          </cell>
          <cell r="K2">
            <v>13.258064516129032</v>
          </cell>
          <cell r="L2">
            <v>9</v>
          </cell>
          <cell r="M2">
            <v>0</v>
          </cell>
          <cell r="N2">
            <v>15.533956620207105</v>
          </cell>
          <cell r="O2">
            <v>98.238539943433466</v>
          </cell>
          <cell r="P2">
            <v>93.183243223384508</v>
          </cell>
          <cell r="Q2">
            <v>0.56555993247045577</v>
          </cell>
          <cell r="R2">
            <v>62.900606060606066</v>
          </cell>
          <cell r="S2">
            <v>53.848484848484851</v>
          </cell>
          <cell r="T2">
            <v>18.575757575757574</v>
          </cell>
          <cell r="U2">
            <v>8.8181818181818183</v>
          </cell>
          <cell r="V2">
            <v>9.6969696969696972</v>
          </cell>
          <cell r="W2">
            <v>0</v>
          </cell>
          <cell r="X2">
            <v>-7</v>
          </cell>
        </row>
        <row r="3">
          <cell r="A3">
            <v>2</v>
          </cell>
          <cell r="B3" t="str">
            <v>Arizona</v>
          </cell>
          <cell r="C3" t="str">
            <v>Purdue</v>
          </cell>
          <cell r="D3">
            <v>23.698276332727119</v>
          </cell>
          <cell r="E3">
            <v>101.76807841686704</v>
          </cell>
          <cell r="F3">
            <v>98.508521311778111</v>
          </cell>
          <cell r="G3">
            <v>0.55109126984126988</v>
          </cell>
          <cell r="H3">
            <v>70.587878787878793</v>
          </cell>
          <cell r="I3">
            <v>61.090909090909093</v>
          </cell>
          <cell r="J3">
            <v>26.060606060606062</v>
          </cell>
          <cell r="K3">
            <v>12.878787878787879</v>
          </cell>
          <cell r="L3">
            <v>10.909090909090908</v>
          </cell>
          <cell r="M3">
            <v>0</v>
          </cell>
          <cell r="N3">
            <v>20.952342842063047</v>
          </cell>
          <cell r="O3">
            <v>102.749921687376</v>
          </cell>
          <cell r="P3">
            <v>101.58084764470013</v>
          </cell>
          <cell r="Q3">
            <v>0.5771558245083207</v>
          </cell>
          <cell r="R3">
            <v>65.197575757575763</v>
          </cell>
          <cell r="S3">
            <v>60.090909090909093</v>
          </cell>
          <cell r="T3">
            <v>16.90909090909091</v>
          </cell>
          <cell r="U3">
            <v>11.363636363636363</v>
          </cell>
          <cell r="V3">
            <v>9.0303030303030312</v>
          </cell>
          <cell r="W3">
            <v>0</v>
          </cell>
          <cell r="X3">
            <v>-6</v>
          </cell>
        </row>
        <row r="4">
          <cell r="A4">
            <v>3</v>
          </cell>
          <cell r="B4" t="str">
            <v>Duke</v>
          </cell>
          <cell r="C4" t="str">
            <v>UConn</v>
          </cell>
          <cell r="D4">
            <v>23.057528028184478</v>
          </cell>
          <cell r="E4">
            <v>101.57301127857072</v>
          </cell>
          <cell r="F4">
            <v>99.429621355662846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18.116591097400342</v>
          </cell>
          <cell r="O4">
            <v>100.0952772073922</v>
          </cell>
          <cell r="P4">
            <v>94.276311107817818</v>
          </cell>
          <cell r="Q4">
            <v>0.55882352941176472</v>
          </cell>
          <cell r="R4">
            <v>66.089696969696973</v>
          </cell>
          <cell r="S4">
            <v>58.727272727272727</v>
          </cell>
          <cell r="T4">
            <v>17.696969696969695</v>
          </cell>
          <cell r="U4">
            <v>11.454545454545455</v>
          </cell>
          <cell r="V4">
            <v>11.030303030303031</v>
          </cell>
          <cell r="W4">
            <v>0</v>
          </cell>
          <cell r="X4">
            <v>-5</v>
          </cell>
        </row>
        <row r="5">
          <cell r="A5">
            <v>4</v>
          </cell>
          <cell r="B5" t="str">
            <v>Michigan</v>
          </cell>
          <cell r="C5" t="str">
            <v>Tennessee</v>
          </cell>
          <cell r="D5">
            <v>23.168628302235671</v>
          </cell>
          <cell r="E5">
            <v>98.200984374253366</v>
          </cell>
          <cell r="F5">
            <v>96.398308125131024</v>
          </cell>
          <cell r="G5">
            <v>0.58467532467532468</v>
          </cell>
          <cell r="H5">
            <v>71.510000000000005</v>
          </cell>
          <cell r="I5">
            <v>60.15625</v>
          </cell>
          <cell r="J5">
            <v>23.53125</v>
          </cell>
          <cell r="K5">
            <v>11.0625</v>
          </cell>
          <cell r="L5">
            <v>12.0625</v>
          </cell>
          <cell r="M5">
            <v>0</v>
          </cell>
          <cell r="N5">
            <v>20.60232878669483</v>
          </cell>
          <cell r="O5">
            <v>105.02195491662999</v>
          </cell>
          <cell r="P5">
            <v>93.652390264453544</v>
          </cell>
          <cell r="Q5">
            <v>0.51561725334655428</v>
          </cell>
          <cell r="R5">
            <v>67.170909090909092</v>
          </cell>
          <cell r="S5">
            <v>61.121212121212125</v>
          </cell>
          <cell r="T5">
            <v>23.666666666666668</v>
          </cell>
          <cell r="U5">
            <v>16.030303030303031</v>
          </cell>
          <cell r="V5">
            <v>11.666666666666666</v>
          </cell>
          <cell r="W5">
            <v>0</v>
          </cell>
          <cell r="X5">
            <v>-7.5</v>
          </cell>
        </row>
        <row r="6">
          <cell r="A6">
            <v>5</v>
          </cell>
          <cell r="B6" t="str">
            <v>Iowa</v>
          </cell>
          <cell r="C6" t="str">
            <v>Illinois</v>
          </cell>
          <cell r="D6">
            <v>15.533956620207105</v>
          </cell>
          <cell r="E6">
            <v>98.238539943433466</v>
          </cell>
          <cell r="F6">
            <v>93.183243223384508</v>
          </cell>
          <cell r="G6">
            <v>0.56555993247045577</v>
          </cell>
          <cell r="H6">
            <v>62.900606060606066</v>
          </cell>
          <cell r="I6">
            <v>53.848484848484851</v>
          </cell>
          <cell r="J6">
            <v>18.575757575757574</v>
          </cell>
          <cell r="K6">
            <v>8.8181818181818183</v>
          </cell>
          <cell r="L6">
            <v>9.6969696969696972</v>
          </cell>
          <cell r="M6">
            <v>0</v>
          </cell>
          <cell r="N6">
            <v>18.836157720404749</v>
          </cell>
          <cell r="O6">
            <v>105.08780903665816</v>
          </cell>
          <cell r="P6">
            <v>108.93352999987511</v>
          </cell>
          <cell r="Q6">
            <v>0.5511688311688312</v>
          </cell>
          <cell r="R6">
            <v>66.809032258064519</v>
          </cell>
          <cell r="S6">
            <v>62.096774193548384</v>
          </cell>
          <cell r="T6">
            <v>20.387096774193548</v>
          </cell>
          <cell r="U6">
            <v>13.258064516129032</v>
          </cell>
          <cell r="V6">
            <v>9</v>
          </cell>
          <cell r="W6">
            <v>0</v>
          </cell>
          <cell r="X6">
            <v>7</v>
          </cell>
        </row>
        <row r="7">
          <cell r="A7">
            <v>6</v>
          </cell>
          <cell r="B7" t="str">
            <v>Purdue</v>
          </cell>
          <cell r="C7" t="str">
            <v>Arizona</v>
          </cell>
          <cell r="D7">
            <v>20.952342842063047</v>
          </cell>
          <cell r="E7">
            <v>102.749921687376</v>
          </cell>
          <cell r="F7">
            <v>101.58084764470013</v>
          </cell>
          <cell r="G7">
            <v>0.5771558245083207</v>
          </cell>
          <cell r="H7">
            <v>65.197575757575763</v>
          </cell>
          <cell r="I7">
            <v>60.090909090909093</v>
          </cell>
          <cell r="J7">
            <v>16.90909090909091</v>
          </cell>
          <cell r="K7">
            <v>11.363636363636363</v>
          </cell>
          <cell r="L7">
            <v>9.0303030303030312</v>
          </cell>
          <cell r="M7">
            <v>0</v>
          </cell>
          <cell r="N7">
            <v>23.698276332727119</v>
          </cell>
          <cell r="O7">
            <v>101.76807841686704</v>
          </cell>
          <cell r="P7">
            <v>98.508521311778111</v>
          </cell>
          <cell r="Q7">
            <v>0.55109126984126988</v>
          </cell>
          <cell r="R7">
            <v>70.587878787878793</v>
          </cell>
          <cell r="S7">
            <v>61.090909090909093</v>
          </cell>
          <cell r="T7">
            <v>26.060606060606062</v>
          </cell>
          <cell r="U7">
            <v>12.878787878787879</v>
          </cell>
          <cell r="V7">
            <v>10.909090909090908</v>
          </cell>
          <cell r="W7">
            <v>0</v>
          </cell>
          <cell r="X7">
            <v>6</v>
          </cell>
        </row>
        <row r="8">
          <cell r="A8">
            <v>7</v>
          </cell>
          <cell r="B8" t="str">
            <v>UConn</v>
          </cell>
          <cell r="C8" t="str">
            <v>Duke</v>
          </cell>
          <cell r="D8">
            <v>18.116591097400342</v>
          </cell>
          <cell r="E8">
            <v>100.0952772073922</v>
          </cell>
          <cell r="F8">
            <v>94.276311107817818</v>
          </cell>
          <cell r="G8">
            <v>0.55882352941176472</v>
          </cell>
          <cell r="H8">
            <v>66.089696969696973</v>
          </cell>
          <cell r="I8">
            <v>58.727272727272727</v>
          </cell>
          <cell r="J8">
            <v>17.696969696969695</v>
          </cell>
          <cell r="K8">
            <v>11.454545454545455</v>
          </cell>
          <cell r="L8">
            <v>11.030303030303031</v>
          </cell>
          <cell r="M8">
            <v>0</v>
          </cell>
          <cell r="N8">
            <v>23.057528028184478</v>
          </cell>
          <cell r="O8">
            <v>101.57301127857072</v>
          </cell>
          <cell r="P8">
            <v>99.429621355662846</v>
          </cell>
          <cell r="Q8">
            <v>0.57213541666666667</v>
          </cell>
          <cell r="R8">
            <v>66.278787878787867</v>
          </cell>
          <cell r="S8">
            <v>58.18181818181818</v>
          </cell>
          <cell r="T8">
            <v>22.121212121212121</v>
          </cell>
          <cell r="U8">
            <v>12.212121212121213</v>
          </cell>
          <cell r="V8">
            <v>10.575757575757576</v>
          </cell>
          <cell r="W8">
            <v>0</v>
          </cell>
          <cell r="X8">
            <v>5</v>
          </cell>
        </row>
        <row r="9">
          <cell r="A9">
            <v>8</v>
          </cell>
          <cell r="B9" t="str">
            <v>Tennessee</v>
          </cell>
          <cell r="C9" t="str">
            <v>Michigan</v>
          </cell>
          <cell r="D9">
            <v>20.60232878669483</v>
          </cell>
          <cell r="E9">
            <v>105.02195491662999</v>
          </cell>
          <cell r="F9">
            <v>93.652390264453544</v>
          </cell>
          <cell r="G9">
            <v>0.51561725334655428</v>
          </cell>
          <cell r="H9">
            <v>67.170909090909092</v>
          </cell>
          <cell r="I9">
            <v>61.121212121212125</v>
          </cell>
          <cell r="J9">
            <v>23.666666666666668</v>
          </cell>
          <cell r="K9">
            <v>16.030303030303031</v>
          </cell>
          <cell r="L9">
            <v>11.666666666666666</v>
          </cell>
          <cell r="M9">
            <v>0</v>
          </cell>
          <cell r="N9">
            <v>23.168628302235671</v>
          </cell>
          <cell r="O9">
            <v>98.200984374253366</v>
          </cell>
          <cell r="P9">
            <v>96.398308125131024</v>
          </cell>
          <cell r="Q9">
            <v>0.58467532467532468</v>
          </cell>
          <cell r="R9">
            <v>71.510000000000005</v>
          </cell>
          <cell r="S9">
            <v>60.15625</v>
          </cell>
          <cell r="T9">
            <v>23.53125</v>
          </cell>
          <cell r="U9">
            <v>11.0625</v>
          </cell>
          <cell r="V9">
            <v>12.0625</v>
          </cell>
          <cell r="W9">
            <v>0</v>
          </cell>
          <cell r="X9">
            <v>7.5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B5" sqref="B5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3</v>
      </c>
      <c r="B2" s="6" t="str">
        <f>VLOOKUP(A2,[1]Games!$B$2:$K$398,2,FALSE)</f>
        <v>Duke</v>
      </c>
      <c r="C2" s="6" t="str">
        <f>VLOOKUP(A2,[1]Games!$B$2:$K$398,3,FALSE)</f>
        <v>UConn</v>
      </c>
      <c r="D2" s="6" t="str">
        <f>B2</f>
        <v>Duke</v>
      </c>
      <c r="E2" s="5">
        <f>VLOOKUP(A2,[1]Games!$B$2:$K$398,4,FALSE)</f>
        <v>8.2176528561273159</v>
      </c>
      <c r="F2" s="5">
        <f>-VLOOKUP(A2,[2]Games!$A$2:$X$284,24,FALSE)</f>
        <v>5</v>
      </c>
      <c r="G2" s="7">
        <f>VLOOKUP(A2,[1]Games!$B$2:$K$398,9,FALSE)</f>
        <v>0.44586204357273279</v>
      </c>
      <c r="H2" s="7">
        <f>VLOOKUP(A2,[1]Games!$B$2:$K$398,7,FALSE)</f>
        <v>0</v>
      </c>
      <c r="I2" s="7">
        <f>VLOOKUP(A2,[1]Games!$B$2:$K$398,8,FALSE)/4</f>
        <v>2.6670752525835024E-2</v>
      </c>
      <c r="J2" s="8" t="s">
        <v>443</v>
      </c>
      <c r="K2" s="5"/>
      <c r="L2" s="9">
        <f>IF(J2="Yes",(H2*1500)/100,0)</f>
        <v>0</v>
      </c>
      <c r="M2" s="1" t="s">
        <v>444</v>
      </c>
    </row>
    <row r="3" spans="1:13" x14ac:dyDescent="0.2">
      <c r="A3" s="1">
        <v>8</v>
      </c>
      <c r="B3" s="6" t="str">
        <f>VLOOKUP(A3,[1]Games!$B$2:$K$398,2,FALSE)</f>
        <v>Tennessee</v>
      </c>
      <c r="C3" s="6" t="str">
        <f>VLOOKUP(A3,[1]Games!$B$2:$K$398,3,FALSE)</f>
        <v>Michigan</v>
      </c>
      <c r="D3" s="6" t="str">
        <f t="shared" ref="D3" si="0">B3</f>
        <v>Tennessee</v>
      </c>
      <c r="E3" s="5">
        <f>VLOOKUP(A3,[1]Games!$B$2:$K$398,4,FALSE)</f>
        <v>-5.1473191413318649</v>
      </c>
      <c r="F3" s="5">
        <f>-VLOOKUP(A3,[2]Games!$A$2:$X$284,24,FALSE)</f>
        <v>-7.5</v>
      </c>
      <c r="G3" s="7">
        <f>VLOOKUP(A3,[1]Games!$B$2:$K$398,9,FALSE)</f>
        <v>2.5000999904671532E-2</v>
      </c>
      <c r="H3" s="7">
        <f>VLOOKUP(A3,[1]Games!$B$2:$K$398,7,FALSE)</f>
        <v>0</v>
      </c>
      <c r="I3" s="7">
        <f>VLOOKUP(A3,[1]Games!$B$2:$K$398,8,FALSE)/4</f>
        <v>1.6533328636260808E-2</v>
      </c>
      <c r="J3" s="8" t="s">
        <v>443</v>
      </c>
      <c r="K3" s="5"/>
      <c r="L3" s="9">
        <f t="shared" ref="L3" si="1">IF(J3="Yes",(H3*1500)/100,0)</f>
        <v>0</v>
      </c>
    </row>
    <row r="4" spans="1:13" x14ac:dyDescent="0.2">
      <c r="A4" s="1">
        <v>2</v>
      </c>
      <c r="B4" s="6" t="str">
        <f>VLOOKUP(A4,[1]Games!$B$2:$K$398,2,FALSE)</f>
        <v>Arizona</v>
      </c>
      <c r="C4" s="6" t="str">
        <f>VLOOKUP(A4,[1]Games!$B$2:$K$398,3,FALSE)</f>
        <v>Purdue</v>
      </c>
      <c r="D4" s="6" t="str">
        <f t="shared" ref="D4:D9" si="2">B4</f>
        <v>Arizona</v>
      </c>
      <c r="E4" s="5">
        <f>VLOOKUP(A4,[1]Games!$B$2:$K$398,4,FALSE)</f>
        <v>7.8873391448450363</v>
      </c>
      <c r="F4" s="5">
        <f>-VLOOKUP(A4,[2]Games!$A$2:$X$284,24,FALSE)</f>
        <v>6</v>
      </c>
      <c r="G4" s="7">
        <f>VLOOKUP(A4,[1]Games!$B$2:$K$398,9,FALSE)</f>
        <v>0.36128474795445259</v>
      </c>
      <c r="H4" s="7">
        <f>VLOOKUP(A4,[1]Games!$B$2:$K$398,7,FALSE)</f>
        <v>0</v>
      </c>
      <c r="I4" s="7">
        <f>VLOOKUP(A4,[1]Games!$B$2:$K$398,8,FALSE)/4</f>
        <v>1.104422637666358E-2</v>
      </c>
      <c r="J4" s="8" t="s">
        <v>443</v>
      </c>
      <c r="K4" s="5"/>
      <c r="L4" s="9">
        <f t="shared" ref="L4:L9" si="3">IF(J4="Yes",(H4*1500)/100,0)</f>
        <v>0</v>
      </c>
    </row>
    <row r="5" spans="1:13" x14ac:dyDescent="0.2">
      <c r="A5" s="1">
        <v>5</v>
      </c>
      <c r="B5" s="6" t="str">
        <f>VLOOKUP(A5,[1]Games!$B$2:$K$398,2,FALSE)</f>
        <v>Iowa</v>
      </c>
      <c r="C5" s="6" t="str">
        <f>VLOOKUP(A5,[1]Games!$B$2:$K$398,3,FALSE)</f>
        <v>Illinois</v>
      </c>
      <c r="D5" s="6" t="str">
        <f t="shared" si="2"/>
        <v>Iowa</v>
      </c>
      <c r="E5" s="5">
        <f>VLOOKUP(A5,[1]Games!$B$2:$K$398,4,FALSE)</f>
        <v>-5.2914917827182713</v>
      </c>
      <c r="F5" s="5">
        <f>-VLOOKUP(A5,[2]Games!$A$2:$X$284,24,FALSE)</f>
        <v>-7</v>
      </c>
      <c r="G5" s="7">
        <f>VLOOKUP(A5,[1]Games!$B$2:$K$398,9,FALSE)</f>
        <v>6.8053575495246432E-2</v>
      </c>
      <c r="H5" s="7">
        <f>VLOOKUP(A5,[1]Games!$B$2:$K$398,7,FALSE)</f>
        <v>0</v>
      </c>
      <c r="I5" s="7">
        <f>VLOOKUP(A5,[1]Games!$B$2:$K$398,8,FALSE)/4</f>
        <v>8.9294952123123144E-3</v>
      </c>
      <c r="J5" s="8" t="s">
        <v>443</v>
      </c>
      <c r="K5" s="5"/>
      <c r="L5" s="9">
        <f t="shared" si="3"/>
        <v>0</v>
      </c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462</v>
      </c>
      <c r="B25" s="1">
        <f t="shared" si="4"/>
        <v>20</v>
      </c>
      <c r="C25" s="1" t="s">
        <v>388</v>
      </c>
      <c r="D25" s="1" t="s">
        <v>463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462</v>
      </c>
      <c r="B26" s="1">
        <f t="shared" si="4"/>
        <v>21</v>
      </c>
      <c r="C26" s="1" t="s">
        <v>388</v>
      </c>
      <c r="D26" s="1" t="s">
        <v>464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465</v>
      </c>
      <c r="B27" s="1">
        <f t="shared" si="4"/>
        <v>22</v>
      </c>
      <c r="C27" s="1" t="s">
        <v>389</v>
      </c>
      <c r="D27" s="1" t="s">
        <v>466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465</v>
      </c>
      <c r="B28" s="1">
        <f t="shared" si="4"/>
        <v>23</v>
      </c>
      <c r="C28" s="1" t="s">
        <v>388</v>
      </c>
      <c r="D28" s="1" t="s">
        <v>467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3"/>
  <sheetViews>
    <sheetView tabSelected="1" workbookViewId="0">
      <selection activeCell="K13" sqref="K13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345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447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1455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468</v>
      </c>
      <c r="G6" s="1" t="s">
        <v>447</v>
      </c>
      <c r="H6" s="1" t="s">
        <v>448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265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447</v>
      </c>
      <c r="H8" s="1" t="s">
        <v>451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447</v>
      </c>
      <c r="H9" s="1" t="s">
        <v>451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447</v>
      </c>
      <c r="H10" s="1" t="s">
        <v>451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447</v>
      </c>
      <c r="H12" s="1" t="s">
        <v>451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446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413</v>
      </c>
      <c r="H13" s="1" t="s">
        <v>448</v>
      </c>
      <c r="I13" s="1" t="s">
        <v>468</v>
      </c>
      <c r="K13" s="1">
        <f t="shared" ref="K13" si="1">IF(J13=0,0,IF(J13="P",0,IF(J13="L",-E13,IF(D13&lt;0,E13*(100/-D13),E13*(D13/100)))/1))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1</v>
      </c>
      <c r="D2">
        <v>1</v>
      </c>
      <c r="E2">
        <v>0.65980000000000005</v>
      </c>
      <c r="F2">
        <v>0.46660000000000001</v>
      </c>
      <c r="G2">
        <v>0.24310000000000001</v>
      </c>
      <c r="H2" t="s">
        <v>384</v>
      </c>
      <c r="I2">
        <v>1</v>
      </c>
      <c r="J2">
        <v>23.057528028184478</v>
      </c>
    </row>
    <row r="3" spans="1:10" x14ac:dyDescent="0.2">
      <c r="A3" t="s">
        <v>2</v>
      </c>
      <c r="B3">
        <v>1</v>
      </c>
      <c r="C3">
        <v>1</v>
      </c>
      <c r="D3">
        <v>1</v>
      </c>
      <c r="E3">
        <v>0.61024999999999996</v>
      </c>
      <c r="F3">
        <v>0.34599999999999997</v>
      </c>
      <c r="G3">
        <v>0.21510000000000001</v>
      </c>
      <c r="H3" t="s">
        <v>383</v>
      </c>
      <c r="I3">
        <v>1</v>
      </c>
      <c r="J3">
        <v>23.698276332727119</v>
      </c>
    </row>
    <row r="4" spans="1:10" x14ac:dyDescent="0.2">
      <c r="A4" t="s">
        <v>3</v>
      </c>
      <c r="B4">
        <v>1</v>
      </c>
      <c r="C4">
        <v>1</v>
      </c>
      <c r="D4">
        <v>1</v>
      </c>
      <c r="E4">
        <v>0.60509999999999997</v>
      </c>
      <c r="F4">
        <v>0.31295000000000001</v>
      </c>
      <c r="G4">
        <v>0.18575</v>
      </c>
      <c r="H4" t="s">
        <v>382</v>
      </c>
      <c r="I4">
        <v>1</v>
      </c>
      <c r="J4">
        <v>23.168628302235671</v>
      </c>
    </row>
    <row r="5" spans="1:10" x14ac:dyDescent="0.2">
      <c r="A5" t="s">
        <v>7</v>
      </c>
      <c r="B5">
        <v>1</v>
      </c>
      <c r="C5">
        <v>1</v>
      </c>
      <c r="D5">
        <v>1</v>
      </c>
      <c r="E5">
        <v>0.38974999999999999</v>
      </c>
      <c r="F5">
        <v>0.17699999999999999</v>
      </c>
      <c r="G5">
        <v>8.7749999999999995E-2</v>
      </c>
      <c r="H5" t="s">
        <v>383</v>
      </c>
      <c r="I5">
        <v>2</v>
      </c>
      <c r="J5">
        <v>20.95234284206305</v>
      </c>
    </row>
    <row r="6" spans="1:10" x14ac:dyDescent="0.2">
      <c r="A6" t="s">
        <v>13</v>
      </c>
      <c r="B6">
        <v>1</v>
      </c>
      <c r="C6">
        <v>1</v>
      </c>
      <c r="D6">
        <v>1</v>
      </c>
      <c r="E6">
        <v>0.63285000000000002</v>
      </c>
      <c r="F6">
        <v>0.23955000000000001</v>
      </c>
      <c r="G6">
        <v>8.5599999999999996E-2</v>
      </c>
      <c r="H6" t="s">
        <v>385</v>
      </c>
      <c r="I6">
        <v>3</v>
      </c>
      <c r="J6">
        <v>18.836157720404749</v>
      </c>
    </row>
    <row r="7" spans="1:10" x14ac:dyDescent="0.2">
      <c r="A7" t="s">
        <v>10</v>
      </c>
      <c r="B7">
        <v>1</v>
      </c>
      <c r="C7">
        <v>1</v>
      </c>
      <c r="D7">
        <v>1</v>
      </c>
      <c r="E7">
        <v>0.39489999999999997</v>
      </c>
      <c r="F7">
        <v>0.16405</v>
      </c>
      <c r="G7">
        <v>8.4449999999999997E-2</v>
      </c>
      <c r="H7" t="s">
        <v>382</v>
      </c>
      <c r="I7">
        <v>6</v>
      </c>
      <c r="J7">
        <v>20.60232878669483</v>
      </c>
    </row>
    <row r="8" spans="1:10" x14ac:dyDescent="0.2">
      <c r="A8" t="s">
        <v>28</v>
      </c>
      <c r="B8">
        <v>1</v>
      </c>
      <c r="C8">
        <v>1</v>
      </c>
      <c r="D8">
        <v>1</v>
      </c>
      <c r="E8">
        <v>0.36714999999999998</v>
      </c>
      <c r="F8">
        <v>0.10199999999999999</v>
      </c>
      <c r="G8">
        <v>2.4049999999999998E-2</v>
      </c>
      <c r="H8" t="s">
        <v>385</v>
      </c>
      <c r="I8">
        <v>9</v>
      </c>
      <c r="J8">
        <v>15.53395662020711</v>
      </c>
    </row>
    <row r="9" spans="1:10" x14ac:dyDescent="0.2">
      <c r="A9" t="s">
        <v>386</v>
      </c>
      <c r="B9">
        <v>1</v>
      </c>
      <c r="C9">
        <v>1</v>
      </c>
      <c r="D9">
        <v>1</v>
      </c>
      <c r="E9">
        <f>1-E2</f>
        <v>0.34019999999999995</v>
      </c>
      <c r="F9">
        <v>0.157</v>
      </c>
      <c r="G9">
        <v>7.775E-2</v>
      </c>
      <c r="H9" t="s">
        <v>384</v>
      </c>
      <c r="I9">
        <v>2</v>
      </c>
      <c r="J9">
        <v>18.116591097400342</v>
      </c>
    </row>
    <row r="10" spans="1:10" x14ac:dyDescent="0.2">
      <c r="A10" t="s">
        <v>58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382</v>
      </c>
      <c r="I10">
        <v>12</v>
      </c>
      <c r="J10">
        <v>10.607575381157361</v>
      </c>
    </row>
    <row r="11" spans="1:10" x14ac:dyDescent="0.2">
      <c r="A11" t="s">
        <v>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382</v>
      </c>
      <c r="I11">
        <v>4</v>
      </c>
      <c r="J11">
        <v>19.656169100501039</v>
      </c>
    </row>
    <row r="12" spans="1:10" x14ac:dyDescent="0.2">
      <c r="A12" t="s">
        <v>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383</v>
      </c>
      <c r="I12">
        <v>4</v>
      </c>
      <c r="J12">
        <v>19.912380875616751</v>
      </c>
    </row>
    <row r="13" spans="1:10" x14ac:dyDescent="0.2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383</v>
      </c>
      <c r="I13">
        <v>6</v>
      </c>
      <c r="J13">
        <v>16.968495718532171</v>
      </c>
    </row>
    <row r="14" spans="1:10" x14ac:dyDescent="0.2">
      <c r="A14" t="s">
        <v>132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13</v>
      </c>
      <c r="J14">
        <v>4.7044196436570411</v>
      </c>
    </row>
    <row r="15" spans="1:10" x14ac:dyDescent="0.2">
      <c r="A15" t="s">
        <v>56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385</v>
      </c>
      <c r="I15">
        <v>8</v>
      </c>
      <c r="J15">
        <v>11.029310509440901</v>
      </c>
    </row>
    <row r="16" spans="1:10" x14ac:dyDescent="0.2">
      <c r="A16" t="s">
        <v>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385</v>
      </c>
      <c r="I16">
        <v>1</v>
      </c>
      <c r="J16">
        <v>22.660012020194909</v>
      </c>
    </row>
    <row r="17" spans="1:10" x14ac:dyDescent="0.2">
      <c r="A17" t="s">
        <v>206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384</v>
      </c>
      <c r="I17">
        <v>15</v>
      </c>
      <c r="J17">
        <v>0.21312405184055919</v>
      </c>
    </row>
    <row r="18" spans="1:10" x14ac:dyDescent="0.2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382</v>
      </c>
      <c r="I18">
        <v>8</v>
      </c>
      <c r="J18">
        <v>14.1383998729836</v>
      </c>
    </row>
    <row r="19" spans="1:10" x14ac:dyDescent="0.2">
      <c r="A19" t="s">
        <v>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383</v>
      </c>
      <c r="I19">
        <v>3</v>
      </c>
      <c r="J19">
        <v>20.97083468579552</v>
      </c>
    </row>
    <row r="20" spans="1:10" x14ac:dyDescent="0.2">
      <c r="A20" t="s">
        <v>154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383</v>
      </c>
      <c r="I20">
        <v>13</v>
      </c>
      <c r="J20">
        <v>2.6083148574060759</v>
      </c>
    </row>
    <row r="21" spans="1:10" x14ac:dyDescent="0.2">
      <c r="A21" t="s">
        <v>60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383</v>
      </c>
      <c r="I21">
        <v>12</v>
      </c>
      <c r="J21">
        <v>9.7941357758882948</v>
      </c>
    </row>
    <row r="22" spans="1:10" x14ac:dyDescent="0.2">
      <c r="A22" t="s">
        <v>182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382</v>
      </c>
      <c r="I22">
        <v>13</v>
      </c>
      <c r="J22">
        <v>2.1310612455384579</v>
      </c>
    </row>
    <row r="23" spans="1:10" x14ac:dyDescent="0.2">
      <c r="A23" t="s">
        <v>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2</v>
      </c>
      <c r="J23">
        <v>20.908506008479328</v>
      </c>
    </row>
    <row r="24" spans="1:10" x14ac:dyDescent="0.2">
      <c r="A24" t="s">
        <v>293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16</v>
      </c>
      <c r="J24">
        <v>-7.2185591209035449</v>
      </c>
    </row>
    <row r="25" spans="1:10" x14ac:dyDescent="0.2">
      <c r="A25" t="s">
        <v>139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385</v>
      </c>
      <c r="I25">
        <v>15</v>
      </c>
      <c r="J25">
        <v>3.942693201935243</v>
      </c>
    </row>
    <row r="26" spans="1:10" x14ac:dyDescent="0.2">
      <c r="A26" t="s">
        <v>14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382</v>
      </c>
      <c r="I26">
        <v>2</v>
      </c>
      <c r="J26">
        <v>20.65655264831895</v>
      </c>
    </row>
    <row r="27" spans="1:10" x14ac:dyDescent="0.2">
      <c r="A27" t="s">
        <v>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384</v>
      </c>
      <c r="I27">
        <v>4</v>
      </c>
      <c r="J27">
        <v>16.816980413993029</v>
      </c>
    </row>
    <row r="28" spans="1:10" x14ac:dyDescent="0.2">
      <c r="A28" t="s">
        <v>92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14</v>
      </c>
      <c r="J28">
        <v>6.970747918389864</v>
      </c>
    </row>
    <row r="29" spans="1:10" x14ac:dyDescent="0.2">
      <c r="A29" t="s">
        <v>17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382</v>
      </c>
      <c r="I29">
        <v>7</v>
      </c>
      <c r="J29">
        <v>18.061704750271812</v>
      </c>
    </row>
    <row r="30" spans="1:10" x14ac:dyDescent="0.2">
      <c r="A30" t="s">
        <v>275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383</v>
      </c>
      <c r="I30">
        <v>16</v>
      </c>
      <c r="J30">
        <v>-5.3135212359347586</v>
      </c>
    </row>
    <row r="31" spans="1:10" x14ac:dyDescent="0.2">
      <c r="A31" t="s">
        <v>18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384</v>
      </c>
      <c r="I31">
        <v>6</v>
      </c>
      <c r="J31">
        <v>16.63084451378386</v>
      </c>
    </row>
    <row r="32" spans="1:10" x14ac:dyDescent="0.2">
      <c r="A32" t="s">
        <v>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385</v>
      </c>
      <c r="I32">
        <v>12</v>
      </c>
      <c r="J32">
        <v>7.3588143041314016</v>
      </c>
    </row>
    <row r="33" spans="1:10" x14ac:dyDescent="0.2">
      <c r="A33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383</v>
      </c>
      <c r="I33">
        <v>7</v>
      </c>
      <c r="J33">
        <v>12.241609973382021</v>
      </c>
    </row>
    <row r="34" spans="1:10" x14ac:dyDescent="0.2">
      <c r="A34" t="s">
        <v>78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11</v>
      </c>
      <c r="J34">
        <v>7.7373456911862846</v>
      </c>
    </row>
    <row r="35" spans="1:10" x14ac:dyDescent="0.2">
      <c r="A35" t="s">
        <v>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384</v>
      </c>
      <c r="I35">
        <v>3</v>
      </c>
      <c r="J35">
        <v>19.99120546697802</v>
      </c>
    </row>
    <row r="36" spans="1:10" x14ac:dyDescent="0.2">
      <c r="A36" t="s">
        <v>50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383</v>
      </c>
      <c r="I36">
        <v>10</v>
      </c>
      <c r="J36">
        <v>11.96195079214662</v>
      </c>
    </row>
    <row r="37" spans="1:10" x14ac:dyDescent="0.2">
      <c r="A37" t="s">
        <v>24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4</v>
      </c>
      <c r="J37">
        <v>15.83213015954283</v>
      </c>
    </row>
    <row r="38" spans="1:10" x14ac:dyDescent="0.2">
      <c r="A38" t="s">
        <v>35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385</v>
      </c>
      <c r="I38">
        <v>6</v>
      </c>
      <c r="J38">
        <v>13.97752668447534</v>
      </c>
    </row>
    <row r="39" spans="1:10" x14ac:dyDescent="0.2">
      <c r="A39" t="s">
        <v>138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14</v>
      </c>
      <c r="J39">
        <v>3.8798755560939222</v>
      </c>
    </row>
    <row r="40" spans="1:10" x14ac:dyDescent="0.2">
      <c r="A40" t="s">
        <v>77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384</v>
      </c>
      <c r="I40">
        <v>12</v>
      </c>
      <c r="J40">
        <v>9.0872035902891817</v>
      </c>
    </row>
    <row r="41" spans="1:10" x14ac:dyDescent="0.2">
      <c r="A41" t="s">
        <v>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384</v>
      </c>
      <c r="I41">
        <v>8</v>
      </c>
      <c r="J41">
        <v>14.73771853734006</v>
      </c>
    </row>
    <row r="42" spans="1:10" x14ac:dyDescent="0.2">
      <c r="A42" t="s">
        <v>221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385</v>
      </c>
      <c r="I42">
        <v>14</v>
      </c>
      <c r="J42">
        <v>-0.36300712066444207</v>
      </c>
    </row>
    <row r="43" spans="1:10" x14ac:dyDescent="0.2">
      <c r="A43" t="s">
        <v>319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16</v>
      </c>
      <c r="J43">
        <v>-11.44814822660846</v>
      </c>
    </row>
    <row r="44" spans="1:10" x14ac:dyDescent="0.2">
      <c r="A44" t="s">
        <v>235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15</v>
      </c>
      <c r="J44">
        <v>-2.423138952361608</v>
      </c>
    </row>
    <row r="45" spans="1:10" x14ac:dyDescent="0.2">
      <c r="A45" t="s">
        <v>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382</v>
      </c>
      <c r="I45">
        <v>9</v>
      </c>
      <c r="J45">
        <v>12.90381283391684</v>
      </c>
    </row>
    <row r="46" spans="1:10" x14ac:dyDescent="0.2">
      <c r="A46" t="s">
        <v>31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7</v>
      </c>
      <c r="J46">
        <v>15.029836879013709</v>
      </c>
    </row>
    <row r="47" spans="1:10" x14ac:dyDescent="0.2">
      <c r="A47" t="s">
        <v>27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10</v>
      </c>
      <c r="J47">
        <v>15.748134392962729</v>
      </c>
    </row>
    <row r="48" spans="1:10" x14ac:dyDescent="0.2">
      <c r="A48" t="s">
        <v>316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16</v>
      </c>
      <c r="J48">
        <v>-9.5097540407855199</v>
      </c>
    </row>
    <row r="49" spans="1:10" x14ac:dyDescent="0.2">
      <c r="A49" t="s">
        <v>55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11</v>
      </c>
      <c r="J49">
        <v>10.63039633378199</v>
      </c>
    </row>
    <row r="50" spans="1:10" x14ac:dyDescent="0.2">
      <c r="A50" t="s">
        <v>30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5</v>
      </c>
      <c r="J50">
        <v>15.127354829706849</v>
      </c>
    </row>
    <row r="51" spans="1:10" x14ac:dyDescent="0.2">
      <c r="A51" t="s">
        <v>46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9</v>
      </c>
      <c r="J51">
        <v>12.689579175374289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2026-03-28T15:40:44Z</dcterms:modified>
</cp:coreProperties>
</file>