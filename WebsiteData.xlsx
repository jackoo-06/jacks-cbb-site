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CB478056-8185-7843-BAAF-481FBAFBEE45}" xr6:coauthVersionLast="47" xr6:coauthVersionMax="47" xr10:uidLastSave="{00000000-0000-0000-0000-000000000000}"/>
  <bookViews>
    <workbookView xWindow="320" yWindow="780" windowWidth="20680" windowHeight="20020" activeTab="4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4" l="1"/>
  <c r="M9" i="4"/>
  <c r="J9" i="4"/>
  <c r="H3" i="1" l="1"/>
  <c r="K3" i="1" s="1"/>
  <c r="B3" i="1"/>
  <c r="D3" i="1" s="1"/>
  <c r="C3" i="1"/>
  <c r="E3" i="1"/>
  <c r="F3" i="1"/>
  <c r="G3" i="1"/>
  <c r="I3" i="1"/>
  <c r="B4" i="1"/>
  <c r="D4" i="1" s="1"/>
  <c r="C4" i="1"/>
  <c r="E4" i="1"/>
  <c r="F4" i="1"/>
  <c r="G4" i="1"/>
  <c r="H4" i="1"/>
  <c r="I4" i="1"/>
  <c r="K4" i="1"/>
  <c r="M8" i="4" l="1"/>
  <c r="J8" i="4"/>
  <c r="G8" i="4" s="1"/>
  <c r="D2" i="4" s="1"/>
  <c r="E8" i="4"/>
  <c r="F8" i="4" s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7" i="4"/>
  <c r="H6" i="4"/>
  <c r="F6" i="4"/>
  <c r="F7" i="4" s="1"/>
  <c r="C2" i="1"/>
  <c r="B2" i="1"/>
  <c r="D2" i="1" s="1"/>
  <c r="E2" i="1" l="1"/>
  <c r="I2" i="1" l="1"/>
  <c r="G2" i="1"/>
  <c r="H2" i="1" l="1"/>
  <c r="K2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275" i="2" l="1"/>
  <c r="C7" i="2"/>
  <c r="C168" i="2"/>
  <c r="C271" i="2"/>
  <c r="C178" i="2"/>
  <c r="C61" i="2"/>
  <c r="C156" i="2"/>
  <c r="C136" i="2"/>
  <c r="C9" i="2"/>
  <c r="C22" i="2"/>
  <c r="C32" i="2"/>
  <c r="C132" i="2"/>
  <c r="C99" i="2"/>
  <c r="C31" i="2"/>
  <c r="C176" i="2"/>
  <c r="C336" i="2"/>
  <c r="C286" i="2"/>
  <c r="C17" i="2"/>
  <c r="C201" i="2"/>
  <c r="C135" i="2"/>
  <c r="C241" i="2"/>
  <c r="C333" i="2"/>
  <c r="C1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326" i="2"/>
  <c r="C197" i="2"/>
  <c r="C202" i="2"/>
  <c r="C313" i="2"/>
  <c r="C256" i="2"/>
  <c r="C325" i="2"/>
  <c r="C339" i="2"/>
  <c r="C82" i="2"/>
  <c r="C113" i="2"/>
  <c r="C143" i="2"/>
  <c r="C14" i="2"/>
  <c r="C352" i="2"/>
  <c r="C216" i="2"/>
  <c r="C128" i="2"/>
  <c r="C171" i="2"/>
  <c r="C250" i="2"/>
  <c r="C90" i="2"/>
  <c r="C161" i="2"/>
  <c r="C289" i="2"/>
  <c r="C190" i="2"/>
  <c r="C152" i="2"/>
  <c r="C282" i="2"/>
  <c r="C251" i="2"/>
  <c r="C64" i="2"/>
  <c r="C355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06" i="2"/>
  <c r="C163" i="2"/>
  <c r="C253" i="2"/>
  <c r="C258" i="2"/>
  <c r="C353" i="2"/>
  <c r="C320" i="2"/>
  <c r="C83" i="2"/>
  <c r="C363" i="2"/>
  <c r="C266" i="2"/>
  <c r="C307" i="2"/>
  <c r="C214" i="2"/>
  <c r="C160" i="2"/>
  <c r="C285" i="2"/>
  <c r="C317" i="2"/>
  <c r="C213" i="2"/>
  <c r="C279" i="2"/>
  <c r="C242" i="2"/>
  <c r="C50" i="2"/>
  <c r="C200" i="2"/>
  <c r="C107" i="2"/>
  <c r="C268" i="2"/>
  <c r="C158" i="2"/>
  <c r="C121" i="2"/>
  <c r="C111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57" i="2"/>
  <c r="C311" i="2"/>
  <c r="C55" i="2"/>
  <c r="C297" i="2"/>
  <c r="C224" i="2"/>
  <c r="C116" i="2"/>
  <c r="C118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19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269" i="2"/>
  <c r="C91" i="2"/>
  <c r="C125" i="2"/>
  <c r="C25" i="2"/>
  <c r="C21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42" i="2"/>
  <c r="C261" i="2"/>
  <c r="C16" i="2"/>
  <c r="C59" i="2"/>
  <c r="C283" i="2"/>
  <c r="C219" i="2"/>
  <c r="C169" i="2"/>
  <c r="C342" i="2"/>
  <c r="C295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<sst xmlns="http://schemas.openxmlformats.org/spreadsheetml/2006/main" count="578" uniqueCount="429">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</sst>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La Salle</v>
          </cell>
          <cell r="D2" t="str">
            <v>St. Bonaventure</v>
          </cell>
          <cell r="E2">
            <v>-1.6899304452290369</v>
          </cell>
          <cell r="F2" t="b">
            <v>0</v>
          </cell>
          <cell r="G2">
            <v>0.59410961321129374</v>
          </cell>
          <cell r="H2">
            <v>0</v>
          </cell>
          <cell r="I2">
            <v>0.13420926158519719</v>
          </cell>
          <cell r="J2">
            <v>0.17264928903385721</v>
          </cell>
          <cell r="K2">
            <v>0</v>
          </cell>
        </row>
        <row r="3">
          <cell r="B3">
            <v>2</v>
          </cell>
          <cell r="C3" t="str">
            <v>Richmond</v>
          </cell>
          <cell r="D3" t="str">
            <v>Loyola Chicago</v>
          </cell>
          <cell r="E3">
            <v>8.2069794050970266</v>
          </cell>
          <cell r="F3" t="b">
            <v>0</v>
          </cell>
          <cell r="G3">
            <v>0.57943027982880424</v>
          </cell>
          <cell r="H3">
            <v>0</v>
          </cell>
          <cell r="I3">
            <v>0.1061850796731718</v>
          </cell>
          <cell r="J3">
            <v>0.44495850192435038</v>
          </cell>
          <cell r="K3">
            <v>0</v>
          </cell>
        </row>
        <row r="4">
          <cell r="B4">
            <v>3</v>
          </cell>
          <cell r="C4" t="str">
            <v>NC State</v>
          </cell>
          <cell r="D4" t="str">
            <v>Pittsburgh</v>
          </cell>
          <cell r="E4">
            <v>11.94903389602476</v>
          </cell>
          <cell r="F4" t="b">
            <v>0</v>
          </cell>
          <cell r="G4">
            <v>0.55950033624308737</v>
          </cell>
          <cell r="H4">
            <v>0</v>
          </cell>
          <cell r="I4">
            <v>6.8137005554985031E-2</v>
          </cell>
          <cell r="J4">
            <v>0.50936749829702954</v>
          </cell>
          <cell r="K4">
            <v>0</v>
          </cell>
        </row>
        <row r="5">
          <cell r="B5">
            <v>4</v>
          </cell>
          <cell r="C5" t="str">
            <v>Louisville</v>
          </cell>
          <cell r="D5" t="str">
            <v>SMU</v>
          </cell>
          <cell r="E5">
            <v>9.8601356898145944</v>
          </cell>
          <cell r="F5" t="b">
            <v>0</v>
          </cell>
          <cell r="G5">
            <v>0.58183824718474131</v>
          </cell>
          <cell r="H5">
            <v>0</v>
          </cell>
          <cell r="I5">
            <v>0.11078210826177889</v>
          </cell>
          <cell r="J5">
            <v>0.49904632620164158</v>
          </cell>
          <cell r="K5">
            <v>0</v>
          </cell>
        </row>
        <row r="6">
          <cell r="B6">
            <v>5</v>
          </cell>
          <cell r="C6" t="str">
            <v>Florida State</v>
          </cell>
          <cell r="D6" t="str">
            <v>California</v>
          </cell>
          <cell r="E6">
            <v>3.7190951624449231</v>
          </cell>
          <cell r="F6" t="b">
            <v>0</v>
          </cell>
          <cell r="G6">
            <v>0.50700369123328271</v>
          </cell>
          <cell r="H6">
            <v>0</v>
          </cell>
          <cell r="I6">
            <v>-3.208386219100573E-2</v>
          </cell>
          <cell r="J6">
            <v>0.10266164349677311</v>
          </cell>
          <cell r="K6">
            <v>0</v>
          </cell>
        </row>
        <row r="7">
          <cell r="B7">
            <v>6</v>
          </cell>
          <cell r="C7" t="str">
            <v>Washington</v>
          </cell>
          <cell r="D7" t="str">
            <v>Southern California</v>
          </cell>
          <cell r="E7">
            <v>7.7058940436565084</v>
          </cell>
          <cell r="F7" t="b">
            <v>0</v>
          </cell>
          <cell r="G7">
            <v>0.5548277786892275</v>
          </cell>
          <cell r="H7">
            <v>0</v>
          </cell>
          <cell r="I7">
            <v>5.921666840670714E-2</v>
          </cell>
          <cell r="J7">
            <v>0.37385126584743222</v>
          </cell>
          <cell r="K7">
            <v>0</v>
          </cell>
        </row>
        <row r="8">
          <cell r="B8">
            <v>7</v>
          </cell>
          <cell r="C8" t="str">
            <v>Minnesota</v>
          </cell>
          <cell r="D8" t="str">
            <v>Rutgers</v>
          </cell>
          <cell r="E8">
            <v>7.2779547749458962</v>
          </cell>
          <cell r="F8" t="b">
            <v>0</v>
          </cell>
          <cell r="G8">
            <v>0.55660697957650707</v>
          </cell>
          <cell r="H8">
            <v>0</v>
          </cell>
          <cell r="I8">
            <v>6.2613324646058954E-2</v>
          </cell>
          <cell r="J8">
            <v>0.36484571163203278</v>
          </cell>
          <cell r="K8">
            <v>0</v>
          </cell>
        </row>
        <row r="9">
          <cell r="B9">
            <v>8</v>
          </cell>
          <cell r="C9" t="str">
            <v>Iowa State</v>
          </cell>
          <cell r="D9" t="str">
            <v>Arizona State</v>
          </cell>
          <cell r="E9">
            <v>14.233617270886111</v>
          </cell>
          <cell r="F9" t="b">
            <v>0</v>
          </cell>
          <cell r="G9">
            <v>0.56374675193794188</v>
          </cell>
          <cell r="H9">
            <v>0</v>
          </cell>
          <cell r="I9">
            <v>7.6243799154252723E-2</v>
          </cell>
          <cell r="J9">
            <v>0.57788390619688768</v>
          </cell>
          <cell r="K9">
            <v>0</v>
          </cell>
        </row>
        <row r="10">
          <cell r="B10">
            <v>9</v>
          </cell>
          <cell r="C10" t="str">
            <v>UCF</v>
          </cell>
          <cell r="D10" t="str">
            <v>Cincinnati</v>
          </cell>
          <cell r="E10">
            <v>0.76280656811762482</v>
          </cell>
          <cell r="F10" t="b">
            <v>0</v>
          </cell>
          <cell r="G10">
            <v>0.59296370480188032</v>
          </cell>
          <cell r="H10">
            <v>0</v>
          </cell>
          <cell r="I10">
            <v>0.13202161825813519</v>
          </cell>
          <cell r="J10">
            <v>0.24772575270935521</v>
          </cell>
          <cell r="K10">
            <v>0</v>
          </cell>
        </row>
        <row r="11">
          <cell r="B11">
            <v>10</v>
          </cell>
          <cell r="C11" t="str">
            <v>Kentucky</v>
          </cell>
          <cell r="D11" t="str">
            <v>LSU</v>
          </cell>
          <cell r="E11">
            <v>11.08428691745344</v>
          </cell>
          <cell r="F11" t="b">
            <v>0</v>
          </cell>
          <cell r="G11">
            <v>0.57443093752025132</v>
          </cell>
          <cell r="H11">
            <v>0</v>
          </cell>
          <cell r="I11">
            <v>9.6640880720479827E-2</v>
          </cell>
          <cell r="J11">
            <v>0.51744614310396053</v>
          </cell>
          <cell r="K11">
            <v>0</v>
          </cell>
        </row>
        <row r="12">
          <cell r="B12">
            <v>11</v>
          </cell>
          <cell r="C12" t="str">
            <v>Auburn</v>
          </cell>
          <cell r="D12" t="str">
            <v>Mississippi State</v>
          </cell>
          <cell r="E12">
            <v>11.60147444813644</v>
          </cell>
          <cell r="F12" t="b">
            <v>0</v>
          </cell>
          <cell r="G12">
            <v>0.59525607430796224</v>
          </cell>
          <cell r="H12">
            <v>0</v>
          </cell>
          <cell r="I12">
            <v>0.1363979600424734</v>
          </cell>
          <cell r="J12">
            <v>0.57577684480637059</v>
          </cell>
          <cell r="K12">
            <v>0</v>
          </cell>
        </row>
        <row r="13">
          <cell r="B13">
            <v>12</v>
          </cell>
          <cell r="C13" t="str">
            <v>Texas</v>
          </cell>
          <cell r="D13" t="str">
            <v>Ole Miss</v>
          </cell>
          <cell r="E13">
            <v>9.5046253484693821</v>
          </cell>
          <cell r="F13" t="b">
            <v>0</v>
          </cell>
          <cell r="G13">
            <v>0.58541255247556545</v>
          </cell>
          <cell r="H13">
            <v>0</v>
          </cell>
          <cell r="I13">
            <v>0.11760578199880679</v>
          </cell>
          <cell r="J13">
            <v>0.49675786675822958</v>
          </cell>
          <cell r="K13">
            <v>0</v>
          </cell>
        </row>
        <row r="14">
          <cell r="B14">
            <v>13</v>
          </cell>
          <cell r="C14" t="str">
            <v>Oklahoma</v>
          </cell>
          <cell r="D14" t="str">
            <v>South Carolina</v>
          </cell>
          <cell r="E14">
            <v>10.661252972819719</v>
          </cell>
          <cell r="F14" t="b">
            <v>0</v>
          </cell>
          <cell r="G14">
            <v>0.57657515094856104</v>
          </cell>
          <cell r="H14">
            <v>0</v>
          </cell>
          <cell r="I14">
            <v>0.1007343790836166</v>
          </cell>
          <cell r="J14">
            <v>0.51026782081407562</v>
          </cell>
          <cell r="K14">
            <v>0</v>
          </cell>
        </row>
        <row r="15">
          <cell r="B15">
            <v>14</v>
          </cell>
          <cell r="C15" t="str">
            <v>Butler</v>
          </cell>
          <cell r="D15" t="str">
            <v>Providence</v>
          </cell>
          <cell r="E15">
            <v>0.88219075058972052</v>
          </cell>
          <cell r="F15" t="b">
            <v>0</v>
          </cell>
          <cell r="G15">
            <v>0.54682232570368861</v>
          </cell>
          <cell r="H15">
            <v>0</v>
          </cell>
          <cell r="I15">
            <v>4.3933530888860102E-2</v>
          </cell>
          <cell r="J15">
            <v>0.1404514269411393</v>
          </cell>
          <cell r="K15">
            <v>0</v>
          </cell>
        </row>
        <row r="16">
          <cell r="B16">
            <v>15</v>
          </cell>
          <cell r="C16" t="str">
            <v>Marquette</v>
          </cell>
          <cell r="D16" t="str">
            <v>Xavier</v>
          </cell>
          <cell r="E16">
            <v>3.5883960455501742</v>
          </cell>
          <cell r="F16" t="b">
            <v>0</v>
          </cell>
          <cell r="G16">
            <v>0.52271754349332344</v>
          </cell>
          <cell r="H16">
            <v>0</v>
          </cell>
          <cell r="I16">
            <v>-2.0846896945642679E-3</v>
          </cell>
          <cell r="J16">
            <v>6.0890390019587903E-2</v>
          </cell>
          <cell r="K16">
            <v>0</v>
          </cell>
        </row>
        <row r="17">
          <cell r="B17">
            <v>16</v>
          </cell>
          <cell r="C17" t="str">
            <v>DePaul</v>
          </cell>
          <cell r="D17" t="str">
            <v>Georgetown</v>
          </cell>
          <cell r="E17">
            <v>2.183584765779345</v>
          </cell>
          <cell r="F17" t="b">
            <v>0</v>
          </cell>
          <cell r="G17">
            <v>0.52948448226241063</v>
          </cell>
          <cell r="H17">
            <v>0</v>
          </cell>
          <cell r="I17">
            <v>1.0834011591874859E-2</v>
          </cell>
          <cell r="J17">
            <v>0.1405787898508907</v>
          </cell>
          <cell r="K17">
            <v>0</v>
          </cell>
        </row>
        <row r="18">
          <cell r="B18">
            <v>17</v>
          </cell>
          <cell r="C18" t="str">
            <v>UNLV</v>
          </cell>
          <cell r="D18" t="str">
            <v>Wyoming</v>
          </cell>
          <cell r="E18">
            <v>6.8392961859577284</v>
          </cell>
          <cell r="F18" t="b">
            <v>0</v>
          </cell>
          <cell r="G18">
            <v>0.58266112655368385</v>
          </cell>
          <cell r="H18">
            <v>0</v>
          </cell>
          <cell r="I18">
            <v>0.1123530597843055</v>
          </cell>
          <cell r="J18">
            <v>0.41143307369573451</v>
          </cell>
          <cell r="K18">
            <v>0</v>
          </cell>
        </row>
        <row r="19">
          <cell r="B19">
            <v>18</v>
          </cell>
          <cell r="C19" t="str">
            <v>Nevada</v>
          </cell>
          <cell r="D19" t="str">
            <v>Air Force</v>
          </cell>
          <cell r="E19">
            <v>24.650327684793449</v>
          </cell>
          <cell r="F19" t="b">
            <v>0</v>
          </cell>
          <cell r="G19">
            <v>0.59020894948775116</v>
          </cell>
          <cell r="H19">
            <v>0</v>
          </cell>
          <cell r="I19">
            <v>0.12676253993116141</v>
          </cell>
          <cell r="J19">
            <v>0.80617788542611168</v>
          </cell>
          <cell r="K19">
            <v>0</v>
          </cell>
        </row>
        <row r="20">
          <cell r="B20">
            <v>19</v>
          </cell>
          <cell r="C20" t="str">
            <v>Colorado State</v>
          </cell>
          <cell r="D20" t="str">
            <v>Fresno State</v>
          </cell>
          <cell r="E20">
            <v>10.07329841477849</v>
          </cell>
          <cell r="F20" t="b">
            <v>0</v>
          </cell>
          <cell r="G20">
            <v>0.5752895590456869</v>
          </cell>
          <cell r="H20">
            <v>0</v>
          </cell>
          <cell r="I20">
            <v>9.8280067269038707E-2</v>
          </cell>
          <cell r="J20">
            <v>0.4906205857169893</v>
          </cell>
          <cell r="K20">
            <v>0</v>
          </cell>
        </row>
        <row r="21">
          <cell r="B21">
            <v>20</v>
          </cell>
          <cell r="C21" t="str">
            <v>Boise State</v>
          </cell>
          <cell r="D21" t="str">
            <v>San Jose State</v>
          </cell>
          <cell r="E21">
            <v>19.440864292966861</v>
          </cell>
          <cell r="F21" t="b">
            <v>0</v>
          </cell>
          <cell r="G21">
            <v>0.58292108048866009</v>
          </cell>
          <cell r="H21">
            <v>0</v>
          </cell>
          <cell r="I21">
            <v>0.1128493354783512</v>
          </cell>
          <cell r="J21">
            <v>0.72068280561798859</v>
          </cell>
          <cell r="K21">
            <v>0</v>
          </cell>
        </row>
        <row r="22">
          <cell r="B22">
            <v>21</v>
          </cell>
          <cell r="C22" t="str">
            <v>Memphis</v>
          </cell>
          <cell r="D22" t="str">
            <v>Tulane</v>
          </cell>
          <cell r="E22">
            <v>6.5265247624909764</v>
          </cell>
          <cell r="F22" t="b">
            <v>0</v>
          </cell>
          <cell r="G22">
            <v>0.56273527324122175</v>
          </cell>
          <cell r="H22">
            <v>0</v>
          </cell>
          <cell r="I22">
            <v>7.4312794369605251E-2</v>
          </cell>
          <cell r="J22">
            <v>0.35594490845644111</v>
          </cell>
          <cell r="K22">
            <v>0</v>
          </cell>
        </row>
        <row r="23">
          <cell r="B23">
            <v>22</v>
          </cell>
          <cell r="C23" t="str">
            <v>Florida Atlantic</v>
          </cell>
          <cell r="D23" t="str">
            <v>Temple</v>
          </cell>
          <cell r="E23">
            <v>6.6461423837319273</v>
          </cell>
          <cell r="F23" t="b">
            <v>1</v>
          </cell>
          <cell r="G23">
            <v>0.61378289356605586</v>
          </cell>
          <cell r="H23">
            <v>4.5577630595486987E-2</v>
          </cell>
          <cell r="I23">
            <v>0.1717673422624704</v>
          </cell>
          <cell r="J23">
            <v>0.4770655286441704</v>
          </cell>
          <cell r="K23">
            <v>0.88967534922390601</v>
          </cell>
        </row>
        <row r="24">
          <cell r="B24">
            <v>23</v>
          </cell>
          <cell r="C24" t="str">
            <v>Abilene Christian</v>
          </cell>
          <cell r="D24" t="str">
            <v>Tarleton</v>
          </cell>
          <cell r="E24">
            <v>-0.72094785198162958</v>
          </cell>
          <cell r="F24" t="b">
            <v>0</v>
          </cell>
          <cell r="G24">
            <v>0.53185781382550834</v>
          </cell>
          <cell r="H24">
            <v>0</v>
          </cell>
          <cell r="I24">
            <v>1.536491730324324E-2</v>
          </cell>
          <cell r="J24">
            <v>5.3152451311932858E-2</v>
          </cell>
          <cell r="K24">
            <v>0</v>
          </cell>
        </row>
        <row r="25">
          <cell r="B25">
            <v>24</v>
          </cell>
          <cell r="C25" t="str">
            <v>UC San Diego</v>
          </cell>
          <cell r="D25" t="str">
            <v>Cal Poly</v>
          </cell>
          <cell r="E25">
            <v>8.0317231583569608</v>
          </cell>
          <cell r="F25" t="b">
            <v>0</v>
          </cell>
          <cell r="G25">
            <v>0.56286328024870169</v>
          </cell>
          <cell r="H25">
            <v>0</v>
          </cell>
          <cell r="I25">
            <v>7.4557171383885068E-2</v>
          </cell>
          <cell r="J25">
            <v>0.40215831329808932</v>
          </cell>
          <cell r="K25">
            <v>0</v>
          </cell>
        </row>
        <row r="26">
          <cell r="B26">
            <v>25</v>
          </cell>
          <cell r="C26" t="str">
            <v>UC Davis</v>
          </cell>
          <cell r="D26" t="str">
            <v>UC Santa Barbara</v>
          </cell>
          <cell r="E26">
            <v>-3.7046239952515321</v>
          </cell>
          <cell r="F26" t="b">
            <v>0</v>
          </cell>
          <cell r="G26">
            <v>0.54467194635925253</v>
          </cell>
          <cell r="H26">
            <v>0</v>
          </cell>
          <cell r="I26">
            <v>3.9828261231300337E-2</v>
          </cell>
          <cell r="J26">
            <v>1.190092374598406E-2</v>
          </cell>
          <cell r="K26">
            <v>0</v>
          </cell>
        </row>
        <row r="27">
          <cell r="B27">
            <v>26</v>
          </cell>
          <cell r="C27" t="str">
            <v>St. Bonaventure</v>
          </cell>
          <cell r="D27" t="str">
            <v>La Salle</v>
          </cell>
          <cell r="E27">
            <v>8.290632109938322</v>
          </cell>
          <cell r="F27" t="b">
            <v>0</v>
          </cell>
          <cell r="G27">
            <v>0.56923014288990703</v>
          </cell>
          <cell r="H27">
            <v>0</v>
          </cell>
          <cell r="I27">
            <v>8.6712090971640787E-2</v>
          </cell>
          <cell r="J27">
            <v>0.42441689534165988</v>
          </cell>
          <cell r="K27">
            <v>0</v>
          </cell>
        </row>
        <row r="28">
          <cell r="B28">
            <v>27</v>
          </cell>
          <cell r="C28" t="str">
            <v>Loyola Chicago</v>
          </cell>
          <cell r="D28" t="str">
            <v>Richmond</v>
          </cell>
          <cell r="E28">
            <v>-2.69322596370246</v>
          </cell>
          <cell r="F28" t="b">
            <v>0</v>
          </cell>
          <cell r="G28">
            <v>0.55731821842571794</v>
          </cell>
          <cell r="H28">
            <v>0</v>
          </cell>
          <cell r="I28">
            <v>6.3971144267279789E-2</v>
          </cell>
          <cell r="J28">
            <v>5.1108338207775328E-2</v>
          </cell>
          <cell r="K28">
            <v>0</v>
          </cell>
        </row>
        <row r="29">
          <cell r="B29">
            <v>28</v>
          </cell>
          <cell r="C29" t="str">
            <v>Pittsburgh</v>
          </cell>
          <cell r="D29" t="str">
            <v>NC State</v>
          </cell>
          <cell r="E29">
            <v>-5.6053489643644738</v>
          </cell>
          <cell r="F29" t="b">
            <v>0</v>
          </cell>
          <cell r="G29">
            <v>0.59615830468775888</v>
          </cell>
          <cell r="H29">
            <v>0</v>
          </cell>
          <cell r="I29">
            <v>0.13812039985844879</v>
          </cell>
          <cell r="J29">
            <v>5.2289871048435847E-2</v>
          </cell>
          <cell r="K29">
            <v>0</v>
          </cell>
        </row>
        <row r="30">
          <cell r="B30">
            <v>29</v>
          </cell>
          <cell r="C30" t="str">
            <v>SMU</v>
          </cell>
          <cell r="D30" t="str">
            <v>Louisville</v>
          </cell>
          <cell r="E30">
            <v>-3.5577896099734789</v>
          </cell>
          <cell r="F30" t="b">
            <v>0</v>
          </cell>
          <cell r="G30">
            <v>0.5729493991476341</v>
          </cell>
          <cell r="H30">
            <v>0</v>
          </cell>
          <cell r="I30">
            <v>9.3812489281846934E-2</v>
          </cell>
          <cell r="J30">
            <v>6.1240289409861481E-2</v>
          </cell>
          <cell r="K30">
            <v>0</v>
          </cell>
        </row>
        <row r="31">
          <cell r="B31">
            <v>30</v>
          </cell>
          <cell r="C31" t="str">
            <v>California</v>
          </cell>
          <cell r="D31" t="str">
            <v>Florida State</v>
          </cell>
          <cell r="E31">
            <v>-0.59147983964283091</v>
          </cell>
          <cell r="F31" t="b">
            <v>0</v>
          </cell>
          <cell r="G31">
            <v>0.58434919733980062</v>
          </cell>
          <cell r="H31">
            <v>0</v>
          </cell>
          <cell r="I31">
            <v>0.1155757403759831</v>
          </cell>
          <cell r="J31">
            <v>0.18389058428076949</v>
          </cell>
          <cell r="K31">
            <v>0</v>
          </cell>
        </row>
        <row r="32">
          <cell r="B32">
            <v>31</v>
          </cell>
          <cell r="C32" t="str">
            <v>Southern California</v>
          </cell>
          <cell r="D32" t="str">
            <v>Washington</v>
          </cell>
          <cell r="E32">
            <v>-3.3086836647409981</v>
          </cell>
          <cell r="F32" t="b">
            <v>0</v>
          </cell>
          <cell r="G32">
            <v>0.55446771519552263</v>
          </cell>
          <cell r="H32">
            <v>0</v>
          </cell>
          <cell r="I32">
            <v>5.8529274464179548E-2</v>
          </cell>
          <cell r="J32">
            <v>2.4449946981226049E-2</v>
          </cell>
          <cell r="K32">
            <v>0</v>
          </cell>
        </row>
        <row r="33">
          <cell r="B33">
            <v>32</v>
          </cell>
          <cell r="C33" t="str">
            <v>Rutgers</v>
          </cell>
          <cell r="D33" t="str">
            <v>Minnesota</v>
          </cell>
          <cell r="E33">
            <v>-2.3598558867330288</v>
          </cell>
          <cell r="F33" t="b">
            <v>0</v>
          </cell>
          <cell r="G33">
            <v>0.56553155369156527</v>
          </cell>
          <cell r="H33">
            <v>0</v>
          </cell>
          <cell r="I33">
            <v>7.9651147956624646E-2</v>
          </cell>
          <cell r="J33">
            <v>8.1683685030238984E-2</v>
          </cell>
          <cell r="K33">
            <v>0</v>
          </cell>
        </row>
        <row r="34">
          <cell r="B34">
            <v>33</v>
          </cell>
          <cell r="C34" t="str">
            <v>Arizona State</v>
          </cell>
          <cell r="D34" t="str">
            <v>Iowa State</v>
          </cell>
          <cell r="E34">
            <v>-8.9605825392983363</v>
          </cell>
          <cell r="F34" t="b">
            <v>0</v>
          </cell>
          <cell r="G34">
            <v>0.56305273519486321</v>
          </cell>
          <cell r="H34">
            <v>0</v>
          </cell>
          <cell r="I34">
            <v>7.4918858099284336E-2</v>
          </cell>
          <cell r="J34">
            <v>0.13619242086769279</v>
          </cell>
          <cell r="K34">
            <v>0</v>
          </cell>
        </row>
        <row r="35">
          <cell r="B35">
            <v>34</v>
          </cell>
          <cell r="C35" t="str">
            <v>Cincinnati</v>
          </cell>
          <cell r="D35" t="str">
            <v>UCF</v>
          </cell>
          <cell r="E35">
            <v>5.0854779903877549</v>
          </cell>
          <cell r="F35" t="b">
            <v>0</v>
          </cell>
          <cell r="G35">
            <v>0.55185222195867534</v>
          </cell>
          <cell r="H35">
            <v>0</v>
          </cell>
          <cell r="I35">
            <v>5.3536060102925657E-2</v>
          </cell>
          <cell r="J35">
            <v>0.28572268047261418</v>
          </cell>
          <cell r="K35">
            <v>0</v>
          </cell>
        </row>
        <row r="36">
          <cell r="B36">
            <v>35</v>
          </cell>
          <cell r="C36" t="str">
            <v>LSU</v>
          </cell>
          <cell r="D36" t="str">
            <v>Kentucky</v>
          </cell>
          <cell r="E36">
            <v>-5.4074761499342872</v>
          </cell>
          <cell r="F36" t="b">
            <v>0</v>
          </cell>
          <cell r="G36">
            <v>0.56435996437717695</v>
          </cell>
          <cell r="H36">
            <v>0</v>
          </cell>
          <cell r="I36">
            <v>7.7414477447337871E-2</v>
          </cell>
          <cell r="J36">
            <v>1.9048294888557749E-2</v>
          </cell>
          <cell r="K36">
            <v>0</v>
          </cell>
        </row>
        <row r="37">
          <cell r="B37">
            <v>36</v>
          </cell>
          <cell r="C37" t="str">
            <v>Mississippi State</v>
          </cell>
          <cell r="D37" t="str">
            <v>Auburn</v>
          </cell>
          <cell r="E37">
            <v>-10.378014074670579</v>
          </cell>
          <cell r="F37" t="b">
            <v>0</v>
          </cell>
          <cell r="G37">
            <v>0.57061743564855261</v>
          </cell>
          <cell r="H37">
            <v>0</v>
          </cell>
          <cell r="I37">
            <v>8.9360558965418613E-2</v>
          </cell>
          <cell r="J37">
            <v>0.48908142633540108</v>
          </cell>
          <cell r="K37">
            <v>0</v>
          </cell>
        </row>
        <row r="38">
          <cell r="B38">
            <v>37</v>
          </cell>
          <cell r="C38" t="str">
            <v>Ole Miss</v>
          </cell>
          <cell r="D38" t="str">
            <v>Texas</v>
          </cell>
          <cell r="E38">
            <v>-3.8209156135583</v>
          </cell>
          <cell r="F38" t="b">
            <v>0</v>
          </cell>
          <cell r="G38">
            <v>0.55416555633250841</v>
          </cell>
          <cell r="H38">
            <v>0</v>
          </cell>
          <cell r="I38">
            <v>5.795242572569792E-2</v>
          </cell>
          <cell r="J38">
            <v>7.2608751393890003E-3</v>
          </cell>
          <cell r="K38">
            <v>0</v>
          </cell>
        </row>
        <row r="39">
          <cell r="B39">
            <v>38</v>
          </cell>
          <cell r="C39" t="str">
            <v>South Carolina</v>
          </cell>
          <cell r="D39" t="str">
            <v>Oklahoma</v>
          </cell>
          <cell r="E39">
            <v>-3.9712800529172081</v>
          </cell>
          <cell r="F39" t="b">
            <v>0</v>
          </cell>
          <cell r="G39">
            <v>0.58727663367616034</v>
          </cell>
          <cell r="H39">
            <v>0</v>
          </cell>
          <cell r="I39">
            <v>0.1211644824726698</v>
          </cell>
          <cell r="J39">
            <v>8.2928124048272434E-2</v>
          </cell>
          <cell r="K39">
            <v>0</v>
          </cell>
        </row>
        <row r="40">
          <cell r="B40">
            <v>39</v>
          </cell>
          <cell r="C40" t="str">
            <v>Providence</v>
          </cell>
          <cell r="D40" t="str">
            <v>Butler</v>
          </cell>
          <cell r="E40">
            <v>2.389170418246191</v>
          </cell>
          <cell r="F40" t="b">
            <v>0</v>
          </cell>
          <cell r="G40">
            <v>0.53459395741931603</v>
          </cell>
          <cell r="H40">
            <v>0</v>
          </cell>
          <cell r="I40">
            <v>2.0588464164148831E-2</v>
          </cell>
          <cell r="J40">
            <v>0.15934788009014059</v>
          </cell>
          <cell r="K40">
            <v>0</v>
          </cell>
        </row>
        <row r="41">
          <cell r="B41">
            <v>40</v>
          </cell>
          <cell r="C41" t="str">
            <v>Xavier</v>
          </cell>
          <cell r="D41" t="str">
            <v>Marquette</v>
          </cell>
          <cell r="E41">
            <v>0.1117319414913998</v>
          </cell>
          <cell r="F41" t="b">
            <v>1</v>
          </cell>
          <cell r="G41">
            <v>0.6134158993762604</v>
          </cell>
          <cell r="H41">
            <v>4.5269355476058808E-2</v>
          </cell>
          <cell r="I41">
            <v>0.17106671699104259</v>
          </cell>
          <cell r="J41">
            <v>0.27687104773437649</v>
          </cell>
          <cell r="K41">
            <v>0.88365781889266803</v>
          </cell>
        </row>
        <row r="42">
          <cell r="B42">
            <v>41</v>
          </cell>
          <cell r="C42" t="str">
            <v>Georgetown</v>
          </cell>
          <cell r="D42" t="str">
            <v>DePaul</v>
          </cell>
          <cell r="E42">
            <v>3.6118737753683932</v>
          </cell>
          <cell r="F42" t="b">
            <v>1</v>
          </cell>
          <cell r="G42">
            <v>0.61341929194969036</v>
          </cell>
          <cell r="H42">
            <v>4.5272205237740018E-2</v>
          </cell>
          <cell r="I42">
            <v>0.17107319372213611</v>
          </cell>
          <cell r="J42">
            <v>0.38526766977272009</v>
          </cell>
          <cell r="K42">
            <v>0.88371344624068515</v>
          </cell>
        </row>
        <row r="43">
          <cell r="B43">
            <v>42</v>
          </cell>
          <cell r="C43" t="str">
            <v>Wyoming</v>
          </cell>
          <cell r="D43" t="str">
            <v>UNLV</v>
          </cell>
          <cell r="E43">
            <v>-1.635807311980894</v>
          </cell>
          <cell r="F43" t="b">
            <v>0</v>
          </cell>
          <cell r="G43">
            <v>0.54637662891650507</v>
          </cell>
          <cell r="H43">
            <v>0</v>
          </cell>
          <cell r="I43">
            <v>4.3082655204236993E-2</v>
          </cell>
          <cell r="J43">
            <v>5.8670074144037687E-2</v>
          </cell>
          <cell r="K43">
            <v>0</v>
          </cell>
        </row>
        <row r="44">
          <cell r="B44">
            <v>43</v>
          </cell>
          <cell r="C44" t="str">
            <v>Air Force</v>
          </cell>
          <cell r="D44" t="str">
            <v>Nevada</v>
          </cell>
          <cell r="E44">
            <v>-19.41973642213669</v>
          </cell>
          <cell r="F44" t="b">
            <v>0</v>
          </cell>
          <cell r="G44">
            <v>0.51377480189052838</v>
          </cell>
          <cell r="H44">
            <v>0</v>
          </cell>
          <cell r="I44">
            <v>-1.9157196390809431E-2</v>
          </cell>
          <cell r="J44">
            <v>0.55522775515155154</v>
          </cell>
          <cell r="K44">
            <v>0</v>
          </cell>
        </row>
        <row r="45">
          <cell r="B45">
            <v>44</v>
          </cell>
          <cell r="C45" t="str">
            <v>Fresno State</v>
          </cell>
          <cell r="D45" t="str">
            <v>Colorado State</v>
          </cell>
          <cell r="E45">
            <v>-3.5572828322273562</v>
          </cell>
          <cell r="F45" t="b">
            <v>0</v>
          </cell>
          <cell r="G45">
            <v>0.58518254117549673</v>
          </cell>
          <cell r="H45">
            <v>0</v>
          </cell>
          <cell r="I45">
            <v>0.11716666951685741</v>
          </cell>
          <cell r="J45">
            <v>9.1084533651972222E-2</v>
          </cell>
          <cell r="K45">
            <v>0</v>
          </cell>
        </row>
        <row r="46">
          <cell r="B46">
            <v>45</v>
          </cell>
          <cell r="C46" t="str">
            <v>San Jose State</v>
          </cell>
          <cell r="D46" t="str">
            <v>Boise State</v>
          </cell>
          <cell r="E46">
            <v>-14.49014967709417</v>
          </cell>
          <cell r="F46" t="b">
            <v>0</v>
          </cell>
          <cell r="G46">
            <v>0.52516279195769644</v>
          </cell>
          <cell r="H46">
            <v>0</v>
          </cell>
          <cell r="I46">
            <v>2.583511919238723E-3</v>
          </cell>
          <cell r="J46">
            <v>0.3985641495883383</v>
          </cell>
          <cell r="K46">
            <v>0</v>
          </cell>
        </row>
        <row r="47">
          <cell r="B47">
            <v>46</v>
          </cell>
          <cell r="C47" t="str">
            <v>Tulane</v>
          </cell>
          <cell r="D47" t="str">
            <v>Memphis</v>
          </cell>
          <cell r="E47">
            <v>-2.444200559086704</v>
          </cell>
          <cell r="F47" t="b">
            <v>0</v>
          </cell>
          <cell r="G47">
            <v>0.53873109190593804</v>
          </cell>
          <cell r="H47">
            <v>0</v>
          </cell>
          <cell r="I47">
            <v>2.848663000224538E-2</v>
          </cell>
          <cell r="J47">
            <v>1.4304051807517201E-2</v>
          </cell>
          <cell r="K47">
            <v>0</v>
          </cell>
        </row>
        <row r="48">
          <cell r="B48">
            <v>47</v>
          </cell>
          <cell r="C48" t="str">
            <v>Temple</v>
          </cell>
          <cell r="D48" t="str">
            <v>Florida Atlantic</v>
          </cell>
          <cell r="E48">
            <v>-1.6018713676391161</v>
          </cell>
          <cell r="F48" t="b">
            <v>0</v>
          </cell>
          <cell r="G48">
            <v>0.50992587222668084</v>
          </cell>
          <cell r="H48">
            <v>0</v>
          </cell>
          <cell r="I48">
            <v>-2.6505153021791069E-2</v>
          </cell>
          <cell r="J48">
            <v>2.7713818816151811E-2</v>
          </cell>
          <cell r="K48">
            <v>0</v>
          </cell>
        </row>
        <row r="49">
          <cell r="B49">
            <v>48</v>
          </cell>
          <cell r="C49" t="str">
            <v>Tarleton</v>
          </cell>
          <cell r="D49" t="str">
            <v>Abilene Christian</v>
          </cell>
          <cell r="E49">
            <v>1.632149124364719</v>
          </cell>
          <cell r="F49" t="b">
            <v>0</v>
          </cell>
          <cell r="G49">
            <v>0.50917114625703408</v>
          </cell>
          <cell r="H49">
            <v>0</v>
          </cell>
          <cell r="I49">
            <v>-2.794599350929855E-2</v>
          </cell>
          <cell r="J49">
            <v>3.0493141969422991E-2</v>
          </cell>
          <cell r="K49">
            <v>0</v>
          </cell>
        </row>
        <row r="50">
          <cell r="B50">
            <v>49</v>
          </cell>
          <cell r="C50" t="str">
            <v>Cal Poly</v>
          </cell>
          <cell r="D50" t="str">
            <v>UC San Diego</v>
          </cell>
          <cell r="E50">
            <v>-3.7788117608938738</v>
          </cell>
          <cell r="F50" t="b">
            <v>0</v>
          </cell>
          <cell r="G50">
            <v>0.54283329394954039</v>
          </cell>
          <cell r="H50">
            <v>0</v>
          </cell>
          <cell r="I50">
            <v>3.6318106630940761E-2</v>
          </cell>
          <cell r="J50">
            <v>1.871188710812766E-2</v>
          </cell>
          <cell r="K50">
            <v>0</v>
          </cell>
        </row>
        <row r="51">
          <cell r="B51">
            <v>50</v>
          </cell>
          <cell r="C51" t="str">
            <v>UC Santa Barbara</v>
          </cell>
          <cell r="D51" t="str">
            <v>UC Davis</v>
          </cell>
          <cell r="E51">
            <v>7.1562897707120268</v>
          </cell>
          <cell r="F51" t="b">
            <v>0</v>
          </cell>
          <cell r="G51">
            <v>0.54122411176222462</v>
          </cell>
          <cell r="H51">
            <v>0</v>
          </cell>
          <cell r="I51">
            <v>3.3246031546065258E-2</v>
          </cell>
          <cell r="J51">
            <v>0.32546178103347367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La Salle</v>
          </cell>
          <cell r="C2" t="str">
            <v>St. Bonaventure</v>
          </cell>
          <cell r="D2">
            <v>-1.7543373617566602</v>
          </cell>
          <cell r="E2">
            <v>99.400442120019406</v>
          </cell>
          <cell r="F2">
            <v>105.87504110134817</v>
          </cell>
          <cell r="G2">
            <v>0.45664575014261266</v>
          </cell>
          <cell r="H2">
            <v>65.735483870967741</v>
          </cell>
          <cell r="I2">
            <v>56.548387096774192</v>
          </cell>
          <cell r="J2">
            <v>20.806451612903224</v>
          </cell>
          <cell r="K2">
            <v>12.129032258064516</v>
          </cell>
          <cell r="L2">
            <v>12.161290322580646</v>
          </cell>
          <cell r="M2">
            <v>0</v>
          </cell>
          <cell r="N2">
            <v>3.6587011371081828</v>
          </cell>
          <cell r="O2">
            <v>100.06821327722717</v>
          </cell>
          <cell r="P2">
            <v>98.203101803703447</v>
          </cell>
          <cell r="Q2">
            <v>0.52207505518763797</v>
          </cell>
          <cell r="R2">
            <v>67.670666666666662</v>
          </cell>
          <cell r="S2">
            <v>60.4</v>
          </cell>
          <cell r="T2">
            <v>17.433333333333334</v>
          </cell>
          <cell r="U2">
            <v>11.866666666666667</v>
          </cell>
          <cell r="V2">
            <v>11.466666666666667</v>
          </cell>
          <cell r="W2">
            <v>0</v>
          </cell>
          <cell r="X2">
            <v>5.5</v>
          </cell>
        </row>
        <row r="3">
          <cell r="A3">
            <v>2</v>
          </cell>
          <cell r="B3" t="str">
            <v>Richmond</v>
          </cell>
          <cell r="C3" t="str">
            <v>Loyola Chicago</v>
          </cell>
          <cell r="D3">
            <v>3.2652701417144381</v>
          </cell>
          <cell r="E3">
            <v>97.873139359991683</v>
          </cell>
          <cell r="F3">
            <v>101.23347144126602</v>
          </cell>
          <cell r="G3">
            <v>0.5270647321428571</v>
          </cell>
          <cell r="H3">
            <v>68.4425806451613</v>
          </cell>
          <cell r="I3">
            <v>57.806451612903224</v>
          </cell>
          <cell r="J3">
            <v>21.387096774193548</v>
          </cell>
          <cell r="K3">
            <v>8.67741935483871</v>
          </cell>
          <cell r="L3">
            <v>9.9032258064516121</v>
          </cell>
          <cell r="M3">
            <v>0</v>
          </cell>
          <cell r="N3">
            <v>-4.8270734029954374</v>
          </cell>
          <cell r="O3">
            <v>95.812691466083152</v>
          </cell>
          <cell r="P3">
            <v>110.4400700823726</v>
          </cell>
          <cell r="Q3">
            <v>0.4958579881656805</v>
          </cell>
          <cell r="R3">
            <v>65.51483870967742</v>
          </cell>
          <cell r="S3">
            <v>54.516129032258064</v>
          </cell>
          <cell r="T3">
            <v>18.838709677419356</v>
          </cell>
          <cell r="U3">
            <v>10.35483870967742</v>
          </cell>
          <cell r="V3">
            <v>13.064516129032258</v>
          </cell>
          <cell r="W3">
            <v>0</v>
          </cell>
          <cell r="X3">
            <v>-5</v>
          </cell>
        </row>
        <row r="4">
          <cell r="A4">
            <v>3</v>
          </cell>
          <cell r="B4" t="str">
            <v>NC State</v>
          </cell>
          <cell r="C4" t="str">
            <v>Pittsburgh</v>
          </cell>
          <cell r="D4">
            <v>12.828546458354715</v>
          </cell>
          <cell r="E4">
            <v>100.3633950900832</v>
          </cell>
          <cell r="F4">
            <v>106.43023746558204</v>
          </cell>
          <cell r="G4">
            <v>0.55110642781875663</v>
          </cell>
          <cell r="H4">
            <v>69.812903225806451</v>
          </cell>
          <cell r="I4">
            <v>61.225806451612904</v>
          </cell>
          <cell r="J4">
            <v>21.129032258064516</v>
          </cell>
          <cell r="K4">
            <v>10.03225806451613</v>
          </cell>
          <cell r="L4">
            <v>9.32258064516129</v>
          </cell>
          <cell r="M4">
            <v>0</v>
          </cell>
          <cell r="N4">
            <v>5.158748804537038</v>
          </cell>
          <cell r="O4">
            <v>100.13985858248427</v>
          </cell>
          <cell r="P4">
            <v>104.42105719874289</v>
          </cell>
          <cell r="Q4">
            <v>0.50756726457399104</v>
          </cell>
          <cell r="R4">
            <v>64.803870967741929</v>
          </cell>
          <cell r="S4">
            <v>57.548387096774192</v>
          </cell>
          <cell r="T4">
            <v>17.516129032258064</v>
          </cell>
          <cell r="U4">
            <v>11.774193548387096</v>
          </cell>
          <cell r="V4">
            <v>11.32258064516129</v>
          </cell>
          <cell r="W4">
            <v>0</v>
          </cell>
          <cell r="X4">
            <v>-9.5</v>
          </cell>
        </row>
        <row r="5">
          <cell r="A5">
            <v>4</v>
          </cell>
          <cell r="B5" t="str">
            <v>Louisville</v>
          </cell>
          <cell r="C5" t="str">
            <v>SMU</v>
          </cell>
          <cell r="D5">
            <v>17.621046484960765</v>
          </cell>
          <cell r="E5">
            <v>99.240870005058156</v>
          </cell>
          <cell r="F5">
            <v>98.862537345674525</v>
          </cell>
          <cell r="G5">
            <v>0.56843209229155744</v>
          </cell>
          <cell r="H5">
            <v>70.765161290322581</v>
          </cell>
          <cell r="I5">
            <v>61.516129032258064</v>
          </cell>
          <cell r="J5">
            <v>20.580645161290324</v>
          </cell>
          <cell r="K5">
            <v>11.451612903225806</v>
          </cell>
          <cell r="L5">
            <v>11.64516129032258</v>
          </cell>
          <cell r="M5">
            <v>0</v>
          </cell>
          <cell r="N5">
            <v>13.530422338654081</v>
          </cell>
          <cell r="O5">
            <v>100.42773804088671</v>
          </cell>
          <cell r="P5">
            <v>99.400324400971755</v>
          </cell>
          <cell r="Q5">
            <v>0.55947476828012355</v>
          </cell>
          <cell r="R5">
            <v>70.745806451612893</v>
          </cell>
          <cell r="S5">
            <v>62.645161290322584</v>
          </cell>
          <cell r="T5">
            <v>20.096774193548388</v>
          </cell>
          <cell r="U5">
            <v>12.096774193548388</v>
          </cell>
          <cell r="V5">
            <v>11.35483870967742</v>
          </cell>
          <cell r="W5">
            <v>0</v>
          </cell>
          <cell r="X5">
            <v>-6.5</v>
          </cell>
        </row>
        <row r="6">
          <cell r="A6">
            <v>5</v>
          </cell>
          <cell r="B6" t="str">
            <v>Florida State</v>
          </cell>
          <cell r="C6" t="str">
            <v>California</v>
          </cell>
          <cell r="D6">
            <v>8.0220080481701448</v>
          </cell>
          <cell r="E6">
            <v>100.38053362646147</v>
          </cell>
          <cell r="F6">
            <v>93.384659910766914</v>
          </cell>
          <cell r="G6">
            <v>0.51550387596899228</v>
          </cell>
          <cell r="H6">
            <v>71.243870967741941</v>
          </cell>
          <cell r="I6">
            <v>62.41935483870968</v>
          </cell>
          <cell r="J6">
            <v>21.741935483870968</v>
          </cell>
          <cell r="K6">
            <v>11.870967741935484</v>
          </cell>
          <cell r="L6">
            <v>11.129032258064516</v>
          </cell>
          <cell r="M6">
            <v>0</v>
          </cell>
          <cell r="N6">
            <v>9.4371239942831391</v>
          </cell>
          <cell r="O6">
            <v>97.807837920802214</v>
          </cell>
          <cell r="P6">
            <v>91.497938718120935</v>
          </cell>
          <cell r="Q6">
            <v>0.51712707182320439</v>
          </cell>
          <cell r="R6">
            <v>69.300645161290333</v>
          </cell>
          <cell r="S6">
            <v>58.387096774193552</v>
          </cell>
          <cell r="T6">
            <v>21.870967741935484</v>
          </cell>
          <cell r="U6">
            <v>8.9677419354838701</v>
          </cell>
          <cell r="V6">
            <v>10.258064516129032</v>
          </cell>
          <cell r="W6">
            <v>0</v>
          </cell>
          <cell r="X6">
            <v>-4</v>
          </cell>
        </row>
        <row r="7">
          <cell r="A7">
            <v>6</v>
          </cell>
          <cell r="B7" t="str">
            <v>Washington</v>
          </cell>
          <cell r="C7" t="str">
            <v>Southern California</v>
          </cell>
          <cell r="D7">
            <v>11.573237900042043</v>
          </cell>
          <cell r="E7">
            <v>100.95814989656817</v>
          </cell>
          <cell r="F7">
            <v>98.788425473817696</v>
          </cell>
          <cell r="G7">
            <v>0.51374933897408781</v>
          </cell>
          <cell r="H7">
            <v>68.007741935483864</v>
          </cell>
          <cell r="I7">
            <v>61</v>
          </cell>
          <cell r="J7">
            <v>18.419354838709676</v>
          </cell>
          <cell r="K7">
            <v>11.67741935483871</v>
          </cell>
          <cell r="L7">
            <v>10.580645161290322</v>
          </cell>
          <cell r="M7">
            <v>0</v>
          </cell>
          <cell r="N7">
            <v>9.8764289874834752</v>
          </cell>
          <cell r="O7">
            <v>98.154746804566301</v>
          </cell>
          <cell r="P7">
            <v>95.063379517793805</v>
          </cell>
          <cell r="Q7">
            <v>0.50687190764156131</v>
          </cell>
          <cell r="R7">
            <v>71.230967741935473</v>
          </cell>
          <cell r="S7">
            <v>58.677419354838712</v>
          </cell>
          <cell r="T7">
            <v>26.258064516129032</v>
          </cell>
          <cell r="U7">
            <v>11.451612903225806</v>
          </cell>
          <cell r="V7">
            <v>12.451612903225806</v>
          </cell>
          <cell r="W7">
            <v>0</v>
          </cell>
          <cell r="X7">
            <v>-5.5</v>
          </cell>
        </row>
        <row r="8">
          <cell r="A8">
            <v>7</v>
          </cell>
          <cell r="B8" t="str">
            <v>Minnesota</v>
          </cell>
          <cell r="C8" t="str">
            <v>Rutgers</v>
          </cell>
          <cell r="D8">
            <v>7.5715398213472591</v>
          </cell>
          <cell r="E8">
            <v>96.876255319148925</v>
          </cell>
          <cell r="F8">
            <v>103.17043040864252</v>
          </cell>
          <cell r="G8">
            <v>0.54020871700429707</v>
          </cell>
          <cell r="H8">
            <v>62.775483870967733</v>
          </cell>
          <cell r="I8">
            <v>52.548387096774192</v>
          </cell>
          <cell r="J8">
            <v>19.06451612903226</v>
          </cell>
          <cell r="K8">
            <v>8.6451612903225801</v>
          </cell>
          <cell r="L8">
            <v>10.483870967741936</v>
          </cell>
          <cell r="M8">
            <v>0</v>
          </cell>
          <cell r="N8">
            <v>3.687338801888731</v>
          </cell>
          <cell r="O8">
            <v>100.43181818181819</v>
          </cell>
          <cell r="P8">
            <v>100.48315494867275</v>
          </cell>
          <cell r="Q8">
            <v>0.47639608520437537</v>
          </cell>
          <cell r="R8">
            <v>66.754666666666665</v>
          </cell>
          <cell r="S8">
            <v>57.9</v>
          </cell>
          <cell r="T8">
            <v>21.866666666666667</v>
          </cell>
          <cell r="U8">
            <v>10.933333333333334</v>
          </cell>
          <cell r="V8">
            <v>10.166666666666666</v>
          </cell>
          <cell r="W8">
            <v>0</v>
          </cell>
          <cell r="X8">
            <v>-5</v>
          </cell>
        </row>
        <row r="9">
          <cell r="A9">
            <v>8</v>
          </cell>
          <cell r="B9" t="str">
            <v>Iowa State</v>
          </cell>
          <cell r="C9" t="str">
            <v>Arizona State</v>
          </cell>
          <cell r="D9">
            <v>19.724267702693741</v>
          </cell>
          <cell r="E9">
            <v>101.38630280766203</v>
          </cell>
          <cell r="F9">
            <v>95.516490153604366</v>
          </cell>
          <cell r="G9">
            <v>0.56290322580645158</v>
          </cell>
          <cell r="H9">
            <v>67.727741935483877</v>
          </cell>
          <cell r="I9">
            <v>60</v>
          </cell>
          <cell r="J9">
            <v>20.93548387096774</v>
          </cell>
          <cell r="K9">
            <v>11.806451612903226</v>
          </cell>
          <cell r="L9">
            <v>10.32258064516129</v>
          </cell>
          <cell r="M9">
            <v>0</v>
          </cell>
          <cell r="N9">
            <v>11.677515249742708</v>
          </cell>
          <cell r="O9">
            <v>97.795147404122091</v>
          </cell>
          <cell r="P9">
            <v>95.965512535699588</v>
          </cell>
          <cell r="Q9">
            <v>0.50599315068493156</v>
          </cell>
          <cell r="R9">
            <v>69.834666666666664</v>
          </cell>
          <cell r="S9">
            <v>58.4</v>
          </cell>
          <cell r="T9">
            <v>23.033333333333335</v>
          </cell>
          <cell r="U9">
            <v>10.366666666666667</v>
          </cell>
          <cell r="V9">
            <v>11.666666666666666</v>
          </cell>
          <cell r="W9">
            <v>0</v>
          </cell>
          <cell r="X9">
            <v>-11.5</v>
          </cell>
        </row>
        <row r="10">
          <cell r="A10">
            <v>9</v>
          </cell>
          <cell r="B10" t="str">
            <v>UCF</v>
          </cell>
          <cell r="C10" t="str">
            <v>Cincinnati</v>
          </cell>
          <cell r="D10">
            <v>12.68819911571482</v>
          </cell>
          <cell r="E10">
            <v>100.7354909489852</v>
          </cell>
          <cell r="F10">
            <v>98.072123997625383</v>
          </cell>
          <cell r="G10">
            <v>0.53966942148760333</v>
          </cell>
          <cell r="H10">
            <v>70.147586206896563</v>
          </cell>
          <cell r="I10">
            <v>62.586206896551722</v>
          </cell>
          <cell r="J10">
            <v>19.379310344827587</v>
          </cell>
          <cell r="K10">
            <v>12.172413793103448</v>
          </cell>
          <cell r="L10">
            <v>11.206896551724139</v>
          </cell>
          <cell r="M10">
            <v>0</v>
          </cell>
          <cell r="N10">
            <v>13.010355596724756</v>
          </cell>
          <cell r="O10">
            <v>98.819278377666578</v>
          </cell>
          <cell r="P10">
            <v>97.225851270115911</v>
          </cell>
          <cell r="Q10">
            <v>0.50693703308431159</v>
          </cell>
          <cell r="R10">
            <v>68.820645161290329</v>
          </cell>
          <cell r="S10">
            <v>60.451612903225808</v>
          </cell>
          <cell r="T10">
            <v>17.774193548387096</v>
          </cell>
          <cell r="U10">
            <v>11.161290322580646</v>
          </cell>
          <cell r="V10">
            <v>11.709677419354838</v>
          </cell>
          <cell r="W10">
            <v>0</v>
          </cell>
          <cell r="X10">
            <v>3</v>
          </cell>
        </row>
        <row r="11">
          <cell r="A11">
            <v>10</v>
          </cell>
          <cell r="B11" t="str">
            <v>Kentucky</v>
          </cell>
          <cell r="C11" t="str">
            <v>LSU</v>
          </cell>
          <cell r="D11">
            <v>18.55702494743041</v>
          </cell>
          <cell r="E11">
            <v>101.42630906768839</v>
          </cell>
          <cell r="F11">
            <v>97.25385817981919</v>
          </cell>
          <cell r="G11">
            <v>0.53432676955827563</v>
          </cell>
          <cell r="H11">
            <v>69.038709677419348</v>
          </cell>
          <cell r="I11">
            <v>60.612903225806448</v>
          </cell>
          <cell r="J11">
            <v>22.741935483870968</v>
          </cell>
          <cell r="K11">
            <v>12.258064516129032</v>
          </cell>
          <cell r="L11">
            <v>10.67741935483871</v>
          </cell>
          <cell r="M11">
            <v>0</v>
          </cell>
          <cell r="N11">
            <v>12.089970670975044</v>
          </cell>
          <cell r="O11">
            <v>99.55282235888204</v>
          </cell>
          <cell r="P11">
            <v>93.972916178073561</v>
          </cell>
          <cell r="Q11">
            <v>0.5277173913043478</v>
          </cell>
          <cell r="R11">
            <v>69.998709677419356</v>
          </cell>
          <cell r="S11">
            <v>59.354838709677416</v>
          </cell>
          <cell r="T11">
            <v>24.483870967741936</v>
          </cell>
          <cell r="U11">
            <v>11.193548387096774</v>
          </cell>
          <cell r="V11">
            <v>11.064516129032258</v>
          </cell>
          <cell r="W11">
            <v>0</v>
          </cell>
          <cell r="X11">
            <v>-8</v>
          </cell>
        </row>
        <row r="12">
          <cell r="A12">
            <v>11</v>
          </cell>
          <cell r="B12" t="str">
            <v>Auburn</v>
          </cell>
          <cell r="C12" t="str">
            <v>Mississippi State</v>
          </cell>
          <cell r="D12">
            <v>17.579382543026234</v>
          </cell>
          <cell r="E12">
            <v>103.12857214353635</v>
          </cell>
          <cell r="F12">
            <v>92.623653201414598</v>
          </cell>
          <cell r="G12">
            <v>0.52776280323450131</v>
          </cell>
          <cell r="H12">
            <v>68.739354838709673</v>
          </cell>
          <cell r="I12">
            <v>59.838709677419352</v>
          </cell>
          <cell r="J12">
            <v>27.193548387096776</v>
          </cell>
          <cell r="K12">
            <v>13.35483870967742</v>
          </cell>
          <cell r="L12">
            <v>10.290322580645162</v>
          </cell>
          <cell r="M12">
            <v>0</v>
          </cell>
          <cell r="N12">
            <v>6.4942382743878708</v>
          </cell>
          <cell r="O12">
            <v>99.153749560500287</v>
          </cell>
          <cell r="P12">
            <v>105.08135053354198</v>
          </cell>
          <cell r="Q12">
            <v>0.51741803278688525</v>
          </cell>
          <cell r="R12">
            <v>71.816774193548397</v>
          </cell>
          <cell r="S12">
            <v>62.967741935483872</v>
          </cell>
          <cell r="T12">
            <v>19.451612903225808</v>
          </cell>
          <cell r="U12">
            <v>11.35483870967742</v>
          </cell>
          <cell r="V12">
            <v>11.64516129032258</v>
          </cell>
          <cell r="W12">
            <v>0</v>
          </cell>
          <cell r="X12">
            <v>-7.5</v>
          </cell>
        </row>
        <row r="13">
          <cell r="A13">
            <v>12</v>
          </cell>
          <cell r="B13" t="str">
            <v>Texas</v>
          </cell>
          <cell r="C13" t="str">
            <v>Ole Miss</v>
          </cell>
          <cell r="D13">
            <v>15.345431944848261</v>
          </cell>
          <cell r="E13">
            <v>100.78946839513617</v>
          </cell>
          <cell r="F13">
            <v>96.627633983172757</v>
          </cell>
          <cell r="G13">
            <v>0.55365044247787609</v>
          </cell>
          <cell r="H13">
            <v>68.771612903225815</v>
          </cell>
          <cell r="I13">
            <v>58.322580645161288</v>
          </cell>
          <cell r="J13">
            <v>26.387096774193548</v>
          </cell>
          <cell r="K13">
            <v>12.129032258064516</v>
          </cell>
          <cell r="L13">
            <v>10.96774193548387</v>
          </cell>
          <cell r="M13">
            <v>0</v>
          </cell>
          <cell r="N13">
            <v>8.9278178203979799</v>
          </cell>
          <cell r="O13">
            <v>100.09953473783261</v>
          </cell>
          <cell r="P13">
            <v>93.948889412718557</v>
          </cell>
          <cell r="Q13">
            <v>0.50161812297734631</v>
          </cell>
          <cell r="R13">
            <v>68.278709677419357</v>
          </cell>
          <cell r="S13">
            <v>59.806451612903224</v>
          </cell>
          <cell r="T13">
            <v>20.35483870967742</v>
          </cell>
          <cell r="U13">
            <v>10.225806451612904</v>
          </cell>
          <cell r="V13">
            <v>9.741935483870968</v>
          </cell>
          <cell r="W13">
            <v>0</v>
          </cell>
          <cell r="X13">
            <v>-6</v>
          </cell>
        </row>
        <row r="14">
          <cell r="A14">
            <v>13</v>
          </cell>
          <cell r="B14" t="str">
            <v>Oklahoma</v>
          </cell>
          <cell r="C14" t="str">
            <v>South Carolina</v>
          </cell>
          <cell r="D14">
            <v>12.428734007880106</v>
          </cell>
          <cell r="E14">
            <v>101.17459989674755</v>
          </cell>
          <cell r="F14">
            <v>99.400305910729628</v>
          </cell>
          <cell r="G14">
            <v>0.55080213903743314</v>
          </cell>
          <cell r="H14">
            <v>68.590967741935486</v>
          </cell>
          <cell r="I14">
            <v>60.322580645161288</v>
          </cell>
          <cell r="J14">
            <v>21.870967741935484</v>
          </cell>
          <cell r="K14">
            <v>11.516129032258064</v>
          </cell>
          <cell r="L14">
            <v>10.161290322580646</v>
          </cell>
          <cell r="M14">
            <v>0</v>
          </cell>
          <cell r="N14">
            <v>6.2410183008098024</v>
          </cell>
          <cell r="O14">
            <v>98.323064113238985</v>
          </cell>
          <cell r="P14">
            <v>106.9078483309214</v>
          </cell>
          <cell r="Q14">
            <v>0.50306577480490522</v>
          </cell>
          <cell r="R14">
            <v>68.166451612903217</v>
          </cell>
          <cell r="S14">
            <v>57.87096774193548</v>
          </cell>
          <cell r="T14">
            <v>21.419354838709676</v>
          </cell>
          <cell r="U14">
            <v>9.0322580645161299</v>
          </cell>
          <cell r="V14">
            <v>9.9032258064516121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Butler</v>
          </cell>
          <cell r="C15" t="str">
            <v>Providence</v>
          </cell>
          <cell r="D15">
            <v>7.0628672725403812</v>
          </cell>
          <cell r="E15">
            <v>100.64559729676009</v>
          </cell>
          <cell r="F15">
            <v>103.05948535787746</v>
          </cell>
          <cell r="G15">
            <v>0.50941872981700753</v>
          </cell>
          <cell r="H15">
            <v>70.087741935483876</v>
          </cell>
          <cell r="I15">
            <v>59.935483870967744</v>
          </cell>
          <cell r="J15">
            <v>25.419354838709676</v>
          </cell>
          <cell r="K15">
            <v>12.483870967741936</v>
          </cell>
          <cell r="L15">
            <v>11.451612903225806</v>
          </cell>
          <cell r="M15">
            <v>0</v>
          </cell>
          <cell r="N15">
            <v>7.2230139841859584</v>
          </cell>
          <cell r="O15">
            <v>97.978328173374621</v>
          </cell>
          <cell r="P15">
            <v>103.93584445667233</v>
          </cell>
          <cell r="Q15">
            <v>0.54862194487779514</v>
          </cell>
          <cell r="R15">
            <v>73.363870967741946</v>
          </cell>
          <cell r="S15">
            <v>62.032258064516128</v>
          </cell>
          <cell r="T15">
            <v>22.967741935483872</v>
          </cell>
          <cell r="U15">
            <v>11.290322580645162</v>
          </cell>
          <cell r="V15">
            <v>12.516129032258064</v>
          </cell>
          <cell r="W15">
            <v>0</v>
          </cell>
          <cell r="X15">
            <v>1</v>
          </cell>
        </row>
        <row r="16">
          <cell r="A16">
            <v>15</v>
          </cell>
          <cell r="B16" t="str">
            <v>Marquette</v>
          </cell>
          <cell r="C16" t="str">
            <v>Xavier</v>
          </cell>
          <cell r="D16">
            <v>5.8945416273944717</v>
          </cell>
          <cell r="E16">
            <v>98.916491515866099</v>
          </cell>
          <cell r="F16">
            <v>105.33649346707044</v>
          </cell>
          <cell r="G16">
            <v>0.50505050505050508</v>
          </cell>
          <cell r="H16">
            <v>69.943225806451608</v>
          </cell>
          <cell r="I16">
            <v>60.677419354838712</v>
          </cell>
          <cell r="J16">
            <v>20.032258064516128</v>
          </cell>
          <cell r="K16">
            <v>11</v>
          </cell>
          <cell r="L16">
            <v>11.451612903225806</v>
          </cell>
          <cell r="M16">
            <v>0</v>
          </cell>
          <cell r="N16">
            <v>6.157542482984514</v>
          </cell>
          <cell r="O16">
            <v>99.56029532403609</v>
          </cell>
          <cell r="P16">
            <v>103.64727426404355</v>
          </cell>
          <cell r="Q16">
            <v>0.51752158456069075</v>
          </cell>
          <cell r="R16">
            <v>71.123870967741937</v>
          </cell>
          <cell r="S16">
            <v>63.516129032258064</v>
          </cell>
          <cell r="T16">
            <v>17.29032258064516</v>
          </cell>
          <cell r="U16">
            <v>9.9677419354838701</v>
          </cell>
          <cell r="V16">
            <v>9.9677419354838701</v>
          </cell>
          <cell r="W16">
            <v>0</v>
          </cell>
          <cell r="X16">
            <v>-4.5</v>
          </cell>
        </row>
        <row r="17">
          <cell r="A17">
            <v>16</v>
          </cell>
          <cell r="B17" t="str">
            <v>DePaul</v>
          </cell>
          <cell r="C17" t="str">
            <v>Georgetown</v>
          </cell>
          <cell r="D17">
            <v>4.6286910175516631</v>
          </cell>
          <cell r="E17">
            <v>97.221445221445222</v>
          </cell>
          <cell r="F17">
            <v>94.981634605679773</v>
          </cell>
          <cell r="G17">
            <v>0.5</v>
          </cell>
          <cell r="H17">
            <v>67.300645161290319</v>
          </cell>
          <cell r="I17">
            <v>56.677419354838712</v>
          </cell>
          <cell r="J17">
            <v>20.258064516129032</v>
          </cell>
          <cell r="K17">
            <v>10.419354838709678</v>
          </cell>
          <cell r="L17">
            <v>12.129032258064516</v>
          </cell>
          <cell r="M17">
            <v>0</v>
          </cell>
          <cell r="N17">
            <v>4.8967002257276384</v>
          </cell>
          <cell r="O17">
            <v>100.17815881645672</v>
          </cell>
          <cell r="P17">
            <v>97.299068250229467</v>
          </cell>
          <cell r="Q17">
            <v>0.49889380530973454</v>
          </cell>
          <cell r="R17">
            <v>67.492903225806458</v>
          </cell>
          <cell r="S17">
            <v>58.322580645161288</v>
          </cell>
          <cell r="T17">
            <v>22.161290322580644</v>
          </cell>
          <cell r="U17">
            <v>11.161290322580646</v>
          </cell>
          <cell r="V17">
            <v>10.580645161290322</v>
          </cell>
          <cell r="W17">
            <v>0</v>
          </cell>
          <cell r="X17">
            <v>-1</v>
          </cell>
        </row>
        <row r="18">
          <cell r="A18">
            <v>17</v>
          </cell>
          <cell r="B18" t="str">
            <v>UNLV</v>
          </cell>
          <cell r="C18" t="str">
            <v>Wyoming</v>
          </cell>
          <cell r="D18">
            <v>8.1833176881236689</v>
          </cell>
          <cell r="E18">
            <v>98.332117488961416</v>
          </cell>
          <cell r="F18">
            <v>88.010291760587222</v>
          </cell>
          <cell r="G18">
            <v>0.53103629668595476</v>
          </cell>
          <cell r="H18">
            <v>70.896249999999995</v>
          </cell>
          <cell r="I18">
            <v>59.40625</v>
          </cell>
          <cell r="J18">
            <v>24.125</v>
          </cell>
          <cell r="K18">
            <v>11.03125</v>
          </cell>
          <cell r="L18">
            <v>11.90625</v>
          </cell>
          <cell r="M18">
            <v>0</v>
          </cell>
          <cell r="N18">
            <v>4.0658873305135579</v>
          </cell>
          <cell r="O18">
            <v>100.20902311313272</v>
          </cell>
          <cell r="P18">
            <v>88.745774769912202</v>
          </cell>
          <cell r="Q18">
            <v>0.52790055248618784</v>
          </cell>
          <cell r="R18">
            <v>67.074838709677422</v>
          </cell>
          <cell r="S18">
            <v>58.387096774193552</v>
          </cell>
          <cell r="T18">
            <v>21.06451612903226</v>
          </cell>
          <cell r="U18">
            <v>11.806451612903226</v>
          </cell>
          <cell r="V18">
            <v>11.225806451612904</v>
          </cell>
          <cell r="W18">
            <v>0</v>
          </cell>
          <cell r="X18">
            <v>-3.5</v>
          </cell>
        </row>
        <row r="19">
          <cell r="A19">
            <v>18</v>
          </cell>
          <cell r="B19" t="str">
            <v>Nevada</v>
          </cell>
          <cell r="C19" t="str">
            <v>Air Force</v>
          </cell>
          <cell r="D19">
            <v>9.2097769172278117</v>
          </cell>
          <cell r="E19">
            <v>101.36929460580913</v>
          </cell>
          <cell r="F19">
            <v>93.092548572138085</v>
          </cell>
          <cell r="G19">
            <v>0.49772598067083568</v>
          </cell>
          <cell r="H19">
            <v>66.516129032258064</v>
          </cell>
          <cell r="I19">
            <v>56.741935483870968</v>
          </cell>
          <cell r="J19">
            <v>25.806451612903224</v>
          </cell>
          <cell r="K19">
            <v>11.419354838709678</v>
          </cell>
          <cell r="L19">
            <v>9.8387096774193541</v>
          </cell>
          <cell r="M19">
            <v>0</v>
          </cell>
          <cell r="N19">
            <v>-7.8910227236867803</v>
          </cell>
          <cell r="O19">
            <v>89.173849564700149</v>
          </cell>
          <cell r="P19">
            <v>98.911508471880353</v>
          </cell>
          <cell r="Q19">
            <v>0.49588607594936707</v>
          </cell>
          <cell r="R19">
            <v>66.668387096774197</v>
          </cell>
          <cell r="S19">
            <v>50.967741935483872</v>
          </cell>
          <cell r="T19">
            <v>18.161290322580644</v>
          </cell>
          <cell r="U19">
            <v>6.967741935483871</v>
          </cell>
          <cell r="V19">
            <v>14.67741935483871</v>
          </cell>
          <cell r="W19">
            <v>0</v>
          </cell>
          <cell r="X19">
            <v>-20</v>
          </cell>
        </row>
        <row r="20">
          <cell r="A20">
            <v>19</v>
          </cell>
          <cell r="B20" t="str">
            <v>Colorado State</v>
          </cell>
          <cell r="C20" t="str">
            <v>Fresno State</v>
          </cell>
          <cell r="D20">
            <v>8.5339796324207295</v>
          </cell>
          <cell r="E20">
            <v>94.860057662452874</v>
          </cell>
          <cell r="F20">
            <v>97.322923067838047</v>
          </cell>
          <cell r="G20">
            <v>0.59351385390428213</v>
          </cell>
          <cell r="H20">
            <v>63.689032258064522</v>
          </cell>
          <cell r="I20">
            <v>51.225806451612904</v>
          </cell>
          <cell r="J20">
            <v>20.774193548387096</v>
          </cell>
          <cell r="K20">
            <v>8.4838709677419359</v>
          </cell>
          <cell r="L20">
            <v>11.806451612903226</v>
          </cell>
          <cell r="M20">
            <v>0</v>
          </cell>
          <cell r="N20">
            <v>3.9705453804677195</v>
          </cell>
          <cell r="O20">
            <v>95.862667002772881</v>
          </cell>
          <cell r="P20">
            <v>95.778549141302761</v>
          </cell>
          <cell r="Q20">
            <v>0.51114736269711802</v>
          </cell>
          <cell r="R20">
            <v>68.930000000000007</v>
          </cell>
          <cell r="S20">
            <v>57.46875</v>
          </cell>
          <cell r="T20">
            <v>19.65625</v>
          </cell>
          <cell r="U20">
            <v>9.65625</v>
          </cell>
          <cell r="V20">
            <v>12.46875</v>
          </cell>
          <cell r="W20">
            <v>0</v>
          </cell>
          <cell r="X20">
            <v>-7</v>
          </cell>
        </row>
        <row r="21">
          <cell r="A21">
            <v>20</v>
          </cell>
          <cell r="B21" t="str">
            <v>Boise State</v>
          </cell>
          <cell r="C21" t="str">
            <v>San Jose State</v>
          </cell>
          <cell r="D21">
            <v>11.59341731459967</v>
          </cell>
          <cell r="E21">
            <v>98.161280330407848</v>
          </cell>
          <cell r="F21">
            <v>94.856866305885674</v>
          </cell>
          <cell r="G21">
            <v>0.52932801822323461</v>
          </cell>
          <cell r="H21">
            <v>67.917419354838714</v>
          </cell>
          <cell r="I21">
            <v>56.645161290322584</v>
          </cell>
          <cell r="J21">
            <v>23.419354838709676</v>
          </cell>
          <cell r="K21">
            <v>10.67741935483871</v>
          </cell>
          <cell r="L21">
            <v>11.64516129032258</v>
          </cell>
          <cell r="M21">
            <v>0</v>
          </cell>
          <cell r="N21">
            <v>1.2297522989322691</v>
          </cell>
          <cell r="O21">
            <v>99.839552852211085</v>
          </cell>
          <cell r="P21">
            <v>97.642943611924565</v>
          </cell>
          <cell r="Q21">
            <v>0.50196739741427765</v>
          </cell>
          <cell r="R21">
            <v>65.403870967741938</v>
          </cell>
          <cell r="S21">
            <v>57.387096774193552</v>
          </cell>
          <cell r="T21">
            <v>18.806451612903224</v>
          </cell>
          <cell r="U21">
            <v>10.387096774193548</v>
          </cell>
          <cell r="V21">
            <v>10.129032258064516</v>
          </cell>
          <cell r="W21">
            <v>0</v>
          </cell>
          <cell r="X21">
            <v>-15.5</v>
          </cell>
        </row>
        <row r="22">
          <cell r="A22">
            <v>21</v>
          </cell>
          <cell r="B22" t="str">
            <v>Memphis</v>
          </cell>
          <cell r="C22" t="str">
            <v>Tulane</v>
          </cell>
          <cell r="D22">
            <v>5.2852090117820074</v>
          </cell>
          <cell r="E22">
            <v>98.675679735616654</v>
          </cell>
          <cell r="F22">
            <v>94.588264735691467</v>
          </cell>
          <cell r="G22">
            <v>0.48976377952755906</v>
          </cell>
          <cell r="H22">
            <v>71.36516129032259</v>
          </cell>
          <cell r="I22">
            <v>61.451612903225808</v>
          </cell>
          <cell r="J22">
            <v>21.06451612903226</v>
          </cell>
          <cell r="K22">
            <v>13</v>
          </cell>
          <cell r="L22">
            <v>13.64516129032258</v>
          </cell>
          <cell r="M22">
            <v>0</v>
          </cell>
          <cell r="N22">
            <v>-3.1723250454210019</v>
          </cell>
          <cell r="O22">
            <v>95.403301280403156</v>
          </cell>
          <cell r="P22">
            <v>107.95545364066687</v>
          </cell>
          <cell r="Q22">
            <v>0.50029603315571347</v>
          </cell>
          <cell r="R22">
            <v>68.073548387096764</v>
          </cell>
          <cell r="S22">
            <v>54.483870967741936</v>
          </cell>
          <cell r="T22">
            <v>23.774193548387096</v>
          </cell>
          <cell r="U22">
            <v>7.774193548387097</v>
          </cell>
          <cell r="V22">
            <v>10.903225806451612</v>
          </cell>
          <cell r="W22">
            <v>0</v>
          </cell>
          <cell r="X22">
            <v>-4</v>
          </cell>
        </row>
        <row r="23">
          <cell r="A23">
            <v>22</v>
          </cell>
          <cell r="B23" t="str">
            <v>Florida Atlantic</v>
          </cell>
          <cell r="C23" t="str">
            <v>Temple</v>
          </cell>
          <cell r="D23">
            <v>4.6030930008749307</v>
          </cell>
          <cell r="E23">
            <v>99.141599173778332</v>
          </cell>
          <cell r="F23">
            <v>99.966103024621688</v>
          </cell>
          <cell r="G23">
            <v>0.52277840269966258</v>
          </cell>
          <cell r="H23">
            <v>70.492413793103438</v>
          </cell>
          <cell r="I23">
            <v>61.310344827586206</v>
          </cell>
          <cell r="J23">
            <v>20.241379310344829</v>
          </cell>
          <cell r="K23">
            <v>12</v>
          </cell>
          <cell r="L23">
            <v>12.275862068965518</v>
          </cell>
          <cell r="M23">
            <v>0</v>
          </cell>
          <cell r="N23">
            <v>1.4240194446793408</v>
          </cell>
          <cell r="O23">
            <v>100.67450727673058</v>
          </cell>
          <cell r="P23">
            <v>98.51115906935253</v>
          </cell>
          <cell r="Q23">
            <v>0.51154734411085445</v>
          </cell>
          <cell r="R23">
            <v>65.051612903225802</v>
          </cell>
          <cell r="S23">
            <v>55.87096774193548</v>
          </cell>
          <cell r="T23">
            <v>23.06451612903226</v>
          </cell>
          <cell r="U23">
            <v>9.9677419354838701</v>
          </cell>
          <cell r="V23">
            <v>9</v>
          </cell>
          <cell r="W23">
            <v>0</v>
          </cell>
          <cell r="X23">
            <v>-2</v>
          </cell>
        </row>
        <row r="24">
          <cell r="A24">
            <v>23</v>
          </cell>
          <cell r="B24" t="str">
            <v>Abilene Christian</v>
          </cell>
          <cell r="C24" t="str">
            <v>Tarleton</v>
          </cell>
          <cell r="D24">
            <v>2.6108500511836068</v>
          </cell>
          <cell r="E24">
            <v>95.971914026906788</v>
          </cell>
          <cell r="F24">
            <v>82.024490698053327</v>
          </cell>
          <cell r="G24">
            <v>0.48189910979228484</v>
          </cell>
          <cell r="H24">
            <v>68.356000000000009</v>
          </cell>
          <cell r="I24">
            <v>56.166666666666664</v>
          </cell>
          <cell r="J24">
            <v>21.566666666666666</v>
          </cell>
          <cell r="K24">
            <v>11.433333333333334</v>
          </cell>
          <cell r="L24">
            <v>14.133333333333333</v>
          </cell>
          <cell r="M24">
            <v>0</v>
          </cell>
          <cell r="N24">
            <v>3.2524514288719582</v>
          </cell>
          <cell r="O24">
            <v>95.43107796907556</v>
          </cell>
          <cell r="P24">
            <v>82.703980725402943</v>
          </cell>
          <cell r="Q24">
            <v>0.48946063236205828</v>
          </cell>
          <cell r="R24">
            <v>71.19714285714285</v>
          </cell>
          <cell r="S24">
            <v>57.607142857142854</v>
          </cell>
          <cell r="T24">
            <v>23.5</v>
          </cell>
          <cell r="U24">
            <v>11.071428571428571</v>
          </cell>
          <cell r="V24">
            <v>14.321428571428571</v>
          </cell>
          <cell r="W24">
            <v>0</v>
          </cell>
          <cell r="X24">
            <v>2</v>
          </cell>
        </row>
        <row r="25">
          <cell r="A25">
            <v>24</v>
          </cell>
          <cell r="B25" t="str">
            <v>UC San Diego</v>
          </cell>
          <cell r="C25" t="str">
            <v>Cal Poly</v>
          </cell>
          <cell r="D25">
            <v>2.6229869298958355</v>
          </cell>
          <cell r="E25">
            <v>97.589773023741202</v>
          </cell>
          <cell r="F25">
            <v>94.197808324110923</v>
          </cell>
          <cell r="G25">
            <v>0.53349673202614378</v>
          </cell>
          <cell r="H25">
            <v>69.04129032258065</v>
          </cell>
          <cell r="I25">
            <v>59.225806451612904</v>
          </cell>
          <cell r="J25">
            <v>18.93548387096774</v>
          </cell>
          <cell r="K25">
            <v>9.612903225806452</v>
          </cell>
          <cell r="L25">
            <v>11.096774193548388</v>
          </cell>
          <cell r="M25">
            <v>0</v>
          </cell>
          <cell r="N25">
            <v>-1.2306506967172497</v>
          </cell>
          <cell r="O25">
            <v>94.911941073705094</v>
          </cell>
          <cell r="P25">
            <v>91.94856963955165</v>
          </cell>
          <cell r="Q25">
            <v>0.5220550077841204</v>
          </cell>
          <cell r="R25">
            <v>75.787096774193557</v>
          </cell>
          <cell r="S25">
            <v>62.161290322580648</v>
          </cell>
          <cell r="T25">
            <v>22.096774193548388</v>
          </cell>
          <cell r="U25">
            <v>11.35483870967742</v>
          </cell>
          <cell r="V25">
            <v>15.258064516129032</v>
          </cell>
          <cell r="W25">
            <v>0</v>
          </cell>
          <cell r="X25">
            <v>-5.5</v>
          </cell>
        </row>
        <row r="26">
          <cell r="A26">
            <v>25</v>
          </cell>
          <cell r="B26" t="str">
            <v>UC Davis</v>
          </cell>
          <cell r="C26" t="str">
            <v>UC Santa Barbara</v>
          </cell>
          <cell r="D26">
            <v>0.3110890520732752</v>
          </cell>
          <cell r="E26">
            <v>95.283606557377055</v>
          </cell>
          <cell r="F26">
            <v>93.284677256227894</v>
          </cell>
          <cell r="G26">
            <v>0.52060359837492742</v>
          </cell>
          <cell r="H26">
            <v>71.125333333333344</v>
          </cell>
          <cell r="I26">
            <v>57.43333333333333</v>
          </cell>
          <cell r="J26">
            <v>23.466666666666665</v>
          </cell>
          <cell r="K26">
            <v>9.5</v>
          </cell>
          <cell r="L26">
            <v>12.866666666666667</v>
          </cell>
          <cell r="M26">
            <v>0</v>
          </cell>
          <cell r="N26">
            <v>2.9663002974644832</v>
          </cell>
          <cell r="O26">
            <v>96.491121037150023</v>
          </cell>
          <cell r="P26">
            <v>89.770876084821566</v>
          </cell>
          <cell r="Q26">
            <v>0.5491363907087552</v>
          </cell>
          <cell r="R26">
            <v>67.414666666666662</v>
          </cell>
          <cell r="S26">
            <v>55.966666666666669</v>
          </cell>
          <cell r="T26">
            <v>20.866666666666667</v>
          </cell>
          <cell r="U26">
            <v>10.733333333333333</v>
          </cell>
          <cell r="V26">
            <v>13</v>
          </cell>
          <cell r="W26">
            <v>0</v>
          </cell>
          <cell r="X26">
            <v>5.5</v>
          </cell>
        </row>
        <row r="27">
          <cell r="A27">
            <v>26</v>
          </cell>
          <cell r="B27" t="str">
            <v>St. Bonaventure</v>
          </cell>
          <cell r="C27" t="str">
            <v>La Salle</v>
          </cell>
          <cell r="D27">
            <v>3.6587011371081828</v>
          </cell>
          <cell r="E27">
            <v>100.06821327722717</v>
          </cell>
          <cell r="F27">
            <v>98.203101803703447</v>
          </cell>
          <cell r="G27">
            <v>0.52207505518763797</v>
          </cell>
          <cell r="H27">
            <v>67.670666666666662</v>
          </cell>
          <cell r="I27">
            <v>60.4</v>
          </cell>
          <cell r="J27">
            <v>17.433333333333334</v>
          </cell>
          <cell r="K27">
            <v>11.866666666666667</v>
          </cell>
          <cell r="L27">
            <v>11.466666666666667</v>
          </cell>
          <cell r="M27">
            <v>0</v>
          </cell>
          <cell r="N27">
            <v>-1.7543373617566602</v>
          </cell>
          <cell r="O27">
            <v>99.400442120019406</v>
          </cell>
          <cell r="P27">
            <v>105.87504110134817</v>
          </cell>
          <cell r="Q27">
            <v>0.45664575014261266</v>
          </cell>
          <cell r="R27">
            <v>65.735483870967741</v>
          </cell>
          <cell r="S27">
            <v>56.548387096774192</v>
          </cell>
          <cell r="T27">
            <v>20.806451612903224</v>
          </cell>
          <cell r="U27">
            <v>12.129032258064516</v>
          </cell>
          <cell r="V27">
            <v>12.161290322580646</v>
          </cell>
          <cell r="W27">
            <v>0</v>
          </cell>
          <cell r="X27">
            <v>-5.5</v>
          </cell>
        </row>
        <row r="28">
          <cell r="A28">
            <v>27</v>
          </cell>
          <cell r="B28" t="str">
            <v>Loyola Chicago</v>
          </cell>
          <cell r="C28" t="str">
            <v>Richmond</v>
          </cell>
          <cell r="D28">
            <v>-4.8270734029954374</v>
          </cell>
          <cell r="E28">
            <v>95.812691466083152</v>
          </cell>
          <cell r="F28">
            <v>110.4400700823726</v>
          </cell>
          <cell r="G28">
            <v>0.4958579881656805</v>
          </cell>
          <cell r="H28">
            <v>65.51483870967742</v>
          </cell>
          <cell r="I28">
            <v>54.516129032258064</v>
          </cell>
          <cell r="J28">
            <v>18.838709677419356</v>
          </cell>
          <cell r="K28">
            <v>10.35483870967742</v>
          </cell>
          <cell r="L28">
            <v>13.064516129032258</v>
          </cell>
          <cell r="M28">
            <v>0</v>
          </cell>
          <cell r="N28">
            <v>3.2652701417144381</v>
          </cell>
          <cell r="O28">
            <v>97.873139359991683</v>
          </cell>
          <cell r="P28">
            <v>101.23347144126602</v>
          </cell>
          <cell r="Q28">
            <v>0.5270647321428571</v>
          </cell>
          <cell r="R28">
            <v>68.4425806451613</v>
          </cell>
          <cell r="S28">
            <v>57.806451612903224</v>
          </cell>
          <cell r="T28">
            <v>21.387096774193548</v>
          </cell>
          <cell r="U28">
            <v>8.67741935483871</v>
          </cell>
          <cell r="V28">
            <v>9.9032258064516121</v>
          </cell>
          <cell r="W28">
            <v>0</v>
          </cell>
          <cell r="X28">
            <v>5</v>
          </cell>
        </row>
        <row r="29">
          <cell r="A29">
            <v>28</v>
          </cell>
          <cell r="B29" t="str">
            <v>Pittsburgh</v>
          </cell>
          <cell r="C29" t="str">
            <v>NC State</v>
          </cell>
          <cell r="D29">
            <v>5.158748804537038</v>
          </cell>
          <cell r="E29">
            <v>100.13985858248427</v>
          </cell>
          <cell r="F29">
            <v>104.42105719874289</v>
          </cell>
          <cell r="G29">
            <v>0.50756726457399104</v>
          </cell>
          <cell r="H29">
            <v>64.803870967741929</v>
          </cell>
          <cell r="I29">
            <v>57.548387096774192</v>
          </cell>
          <cell r="J29">
            <v>17.516129032258064</v>
          </cell>
          <cell r="K29">
            <v>11.774193548387096</v>
          </cell>
          <cell r="L29">
            <v>11.32258064516129</v>
          </cell>
          <cell r="M29">
            <v>0</v>
          </cell>
          <cell r="N29">
            <v>12.828546458354715</v>
          </cell>
          <cell r="O29">
            <v>100.3633950900832</v>
          </cell>
          <cell r="P29">
            <v>106.43023746558204</v>
          </cell>
          <cell r="Q29">
            <v>0.55110642781875663</v>
          </cell>
          <cell r="R29">
            <v>69.812903225806451</v>
          </cell>
          <cell r="S29">
            <v>61.225806451612904</v>
          </cell>
          <cell r="T29">
            <v>21.129032258064516</v>
          </cell>
          <cell r="U29">
            <v>10.03225806451613</v>
          </cell>
          <cell r="V29">
            <v>9.32258064516129</v>
          </cell>
          <cell r="W29">
            <v>0</v>
          </cell>
          <cell r="X29">
            <v>9.5</v>
          </cell>
        </row>
        <row r="30">
          <cell r="A30">
            <v>29</v>
          </cell>
          <cell r="B30" t="str">
            <v>SMU</v>
          </cell>
          <cell r="C30" t="str">
            <v>Louisville</v>
          </cell>
          <cell r="D30">
            <v>13.530422338654081</v>
          </cell>
          <cell r="E30">
            <v>100.42773804088671</v>
          </cell>
          <cell r="F30">
            <v>99.400324400971755</v>
          </cell>
          <cell r="G30">
            <v>0.55947476828012355</v>
          </cell>
          <cell r="H30">
            <v>70.745806451612893</v>
          </cell>
          <cell r="I30">
            <v>62.645161290322584</v>
          </cell>
          <cell r="J30">
            <v>20.096774193548388</v>
          </cell>
          <cell r="K30">
            <v>12.096774193548388</v>
          </cell>
          <cell r="L30">
            <v>11.35483870967742</v>
          </cell>
          <cell r="M30">
            <v>0</v>
          </cell>
          <cell r="N30">
            <v>17.621046484960765</v>
          </cell>
          <cell r="O30">
            <v>99.240870005058156</v>
          </cell>
          <cell r="P30">
            <v>98.862537345674525</v>
          </cell>
          <cell r="Q30">
            <v>0.56843209229155744</v>
          </cell>
          <cell r="R30">
            <v>70.765161290322581</v>
          </cell>
          <cell r="S30">
            <v>61.516129032258064</v>
          </cell>
          <cell r="T30">
            <v>20.580645161290324</v>
          </cell>
          <cell r="U30">
            <v>11.451612903225806</v>
          </cell>
          <cell r="V30">
            <v>11.64516129032258</v>
          </cell>
          <cell r="W30">
            <v>0</v>
          </cell>
          <cell r="X30">
            <v>6.5</v>
          </cell>
        </row>
        <row r="31">
          <cell r="A31">
            <v>30</v>
          </cell>
          <cell r="B31" t="str">
            <v>California</v>
          </cell>
          <cell r="C31" t="str">
            <v>Florida State</v>
          </cell>
          <cell r="D31">
            <v>9.4371239942831391</v>
          </cell>
          <cell r="E31">
            <v>97.807837920802214</v>
          </cell>
          <cell r="F31">
            <v>91.497938718120935</v>
          </cell>
          <cell r="G31">
            <v>0.51712707182320439</v>
          </cell>
          <cell r="H31">
            <v>69.300645161290333</v>
          </cell>
          <cell r="I31">
            <v>58.387096774193552</v>
          </cell>
          <cell r="J31">
            <v>21.870967741935484</v>
          </cell>
          <cell r="K31">
            <v>8.9677419354838701</v>
          </cell>
          <cell r="L31">
            <v>10.258064516129032</v>
          </cell>
          <cell r="M31">
            <v>0</v>
          </cell>
          <cell r="N31">
            <v>8.0220080481701448</v>
          </cell>
          <cell r="O31">
            <v>100.38053362646147</v>
          </cell>
          <cell r="P31">
            <v>93.384659910766914</v>
          </cell>
          <cell r="Q31">
            <v>0.51550387596899228</v>
          </cell>
          <cell r="R31">
            <v>71.243870967741941</v>
          </cell>
          <cell r="S31">
            <v>62.41935483870968</v>
          </cell>
          <cell r="T31">
            <v>21.741935483870968</v>
          </cell>
          <cell r="U31">
            <v>11.870967741935484</v>
          </cell>
          <cell r="V31">
            <v>11.129032258064516</v>
          </cell>
          <cell r="W31">
            <v>0</v>
          </cell>
          <cell r="X31">
            <v>4</v>
          </cell>
        </row>
        <row r="32">
          <cell r="A32">
            <v>31</v>
          </cell>
          <cell r="B32" t="str">
            <v>Southern California</v>
          </cell>
          <cell r="C32" t="str">
            <v>Washington</v>
          </cell>
          <cell r="D32">
            <v>9.8764289874834752</v>
          </cell>
          <cell r="E32">
            <v>98.154746804566301</v>
          </cell>
          <cell r="F32">
            <v>95.063379517793805</v>
          </cell>
          <cell r="G32">
            <v>0.50687190764156131</v>
          </cell>
          <cell r="H32">
            <v>71.230967741935473</v>
          </cell>
          <cell r="I32">
            <v>58.677419354838712</v>
          </cell>
          <cell r="J32">
            <v>26.258064516129032</v>
          </cell>
          <cell r="K32">
            <v>11.451612903225806</v>
          </cell>
          <cell r="L32">
            <v>12.451612903225806</v>
          </cell>
          <cell r="M32">
            <v>0</v>
          </cell>
          <cell r="N32">
            <v>11.573237900042043</v>
          </cell>
          <cell r="O32">
            <v>100.95814989656817</v>
          </cell>
          <cell r="P32">
            <v>98.788425473817696</v>
          </cell>
          <cell r="Q32">
            <v>0.51374933897408781</v>
          </cell>
          <cell r="R32">
            <v>68.007741935483864</v>
          </cell>
          <cell r="S32">
            <v>61</v>
          </cell>
          <cell r="T32">
            <v>18.419354838709676</v>
          </cell>
          <cell r="U32">
            <v>11.67741935483871</v>
          </cell>
          <cell r="V32">
            <v>10.580645161290322</v>
          </cell>
          <cell r="W32">
            <v>0</v>
          </cell>
          <cell r="X32">
            <v>5.5</v>
          </cell>
        </row>
        <row r="33">
          <cell r="A33">
            <v>32</v>
          </cell>
          <cell r="B33" t="str">
            <v>Rutgers</v>
          </cell>
          <cell r="C33" t="str">
            <v>Minnesota</v>
          </cell>
          <cell r="D33">
            <v>3.687338801888731</v>
          </cell>
          <cell r="E33">
            <v>100.43181818181819</v>
          </cell>
          <cell r="F33">
            <v>100.48315494867275</v>
          </cell>
          <cell r="G33">
            <v>0.47639608520437537</v>
          </cell>
          <cell r="H33">
            <v>66.754666666666665</v>
          </cell>
          <cell r="I33">
            <v>57.9</v>
          </cell>
          <cell r="J33">
            <v>21.866666666666667</v>
          </cell>
          <cell r="K33">
            <v>10.933333333333334</v>
          </cell>
          <cell r="L33">
            <v>10.166666666666666</v>
          </cell>
          <cell r="M33">
            <v>0</v>
          </cell>
          <cell r="N33">
            <v>7.5715398213472591</v>
          </cell>
          <cell r="O33">
            <v>96.876255319148925</v>
          </cell>
          <cell r="P33">
            <v>103.17043040864252</v>
          </cell>
          <cell r="Q33">
            <v>0.54020871700429707</v>
          </cell>
          <cell r="R33">
            <v>62.775483870967733</v>
          </cell>
          <cell r="S33">
            <v>52.548387096774192</v>
          </cell>
          <cell r="T33">
            <v>19.06451612903226</v>
          </cell>
          <cell r="U33">
            <v>8.6451612903225801</v>
          </cell>
          <cell r="V33">
            <v>10.483870967741936</v>
          </cell>
          <cell r="W33">
            <v>0</v>
          </cell>
          <cell r="X33">
            <v>5</v>
          </cell>
        </row>
        <row r="34">
          <cell r="A34">
            <v>33</v>
          </cell>
          <cell r="B34" t="str">
            <v>Arizona State</v>
          </cell>
          <cell r="C34" t="str">
            <v>Iowa State</v>
          </cell>
          <cell r="D34">
            <v>11.677515249742708</v>
          </cell>
          <cell r="E34">
            <v>97.795147404122091</v>
          </cell>
          <cell r="F34">
            <v>95.965512535699588</v>
          </cell>
          <cell r="G34">
            <v>0.50599315068493156</v>
          </cell>
          <cell r="H34">
            <v>69.834666666666664</v>
          </cell>
          <cell r="I34">
            <v>58.4</v>
          </cell>
          <cell r="J34">
            <v>23.033333333333335</v>
          </cell>
          <cell r="K34">
            <v>10.366666666666667</v>
          </cell>
          <cell r="L34">
            <v>11.666666666666666</v>
          </cell>
          <cell r="M34">
            <v>0</v>
          </cell>
          <cell r="N34">
            <v>19.724267702693741</v>
          </cell>
          <cell r="O34">
            <v>101.38630280766203</v>
          </cell>
          <cell r="P34">
            <v>95.516490153604366</v>
          </cell>
          <cell r="Q34">
            <v>0.56290322580645158</v>
          </cell>
          <cell r="R34">
            <v>67.727741935483877</v>
          </cell>
          <cell r="S34">
            <v>60</v>
          </cell>
          <cell r="T34">
            <v>20.93548387096774</v>
          </cell>
          <cell r="U34">
            <v>11.806451612903226</v>
          </cell>
          <cell r="V34">
            <v>10.32258064516129</v>
          </cell>
          <cell r="W34">
            <v>0</v>
          </cell>
          <cell r="X34">
            <v>11.5</v>
          </cell>
        </row>
        <row r="35">
          <cell r="A35">
            <v>34</v>
          </cell>
          <cell r="B35" t="str">
            <v>Cincinnati</v>
          </cell>
          <cell r="C35" t="str">
            <v>UCF</v>
          </cell>
          <cell r="D35">
            <v>13.010355596724756</v>
          </cell>
          <cell r="E35">
            <v>98.819278377666578</v>
          </cell>
          <cell r="F35">
            <v>97.225851270115911</v>
          </cell>
          <cell r="G35">
            <v>0.50693703308431159</v>
          </cell>
          <cell r="H35">
            <v>68.820645161290329</v>
          </cell>
          <cell r="I35">
            <v>60.451612903225808</v>
          </cell>
          <cell r="J35">
            <v>17.774193548387096</v>
          </cell>
          <cell r="K35">
            <v>11.161290322580646</v>
          </cell>
          <cell r="L35">
            <v>11.709677419354838</v>
          </cell>
          <cell r="M35">
            <v>0</v>
          </cell>
          <cell r="N35">
            <v>12.68819911571482</v>
          </cell>
          <cell r="O35">
            <v>100.7354909489852</v>
          </cell>
          <cell r="P35">
            <v>98.072123997625383</v>
          </cell>
          <cell r="Q35">
            <v>0.53966942148760333</v>
          </cell>
          <cell r="R35">
            <v>70.147586206896563</v>
          </cell>
          <cell r="S35">
            <v>62.586206896551722</v>
          </cell>
          <cell r="T35">
            <v>19.379310344827587</v>
          </cell>
          <cell r="U35">
            <v>12.172413793103448</v>
          </cell>
          <cell r="V35">
            <v>11.206896551724139</v>
          </cell>
          <cell r="W35">
            <v>0</v>
          </cell>
          <cell r="X35">
            <v>-3</v>
          </cell>
        </row>
        <row r="36">
          <cell r="A36">
            <v>35</v>
          </cell>
          <cell r="B36" t="str">
            <v>LSU</v>
          </cell>
          <cell r="C36" t="str">
            <v>Kentucky</v>
          </cell>
          <cell r="D36">
            <v>12.089970670975044</v>
          </cell>
          <cell r="E36">
            <v>99.55282235888204</v>
          </cell>
          <cell r="F36">
            <v>93.972916178073561</v>
          </cell>
          <cell r="G36">
            <v>0.5277173913043478</v>
          </cell>
          <cell r="H36">
            <v>69.998709677419356</v>
          </cell>
          <cell r="I36">
            <v>59.354838709677416</v>
          </cell>
          <cell r="J36">
            <v>24.483870967741936</v>
          </cell>
          <cell r="K36">
            <v>11.193548387096774</v>
          </cell>
          <cell r="L36">
            <v>11.064516129032258</v>
          </cell>
          <cell r="M36">
            <v>0</v>
          </cell>
          <cell r="N36">
            <v>18.55702494743041</v>
          </cell>
          <cell r="O36">
            <v>101.42630906768839</v>
          </cell>
          <cell r="P36">
            <v>97.25385817981919</v>
          </cell>
          <cell r="Q36">
            <v>0.53432676955827563</v>
          </cell>
          <cell r="R36">
            <v>69.038709677419348</v>
          </cell>
          <cell r="S36">
            <v>60.612903225806448</v>
          </cell>
          <cell r="T36">
            <v>22.741935483870968</v>
          </cell>
          <cell r="U36">
            <v>12.258064516129032</v>
          </cell>
          <cell r="V36">
            <v>10.67741935483871</v>
          </cell>
          <cell r="W36">
            <v>0</v>
          </cell>
          <cell r="X36">
            <v>8</v>
          </cell>
        </row>
        <row r="37">
          <cell r="A37">
            <v>36</v>
          </cell>
          <cell r="B37" t="str">
            <v>Mississippi State</v>
          </cell>
          <cell r="C37" t="str">
            <v>Auburn</v>
          </cell>
          <cell r="D37">
            <v>6.4942382743878708</v>
          </cell>
          <cell r="E37">
            <v>99.153749560500287</v>
          </cell>
          <cell r="F37">
            <v>105.08135053354198</v>
          </cell>
          <cell r="G37">
            <v>0.51741803278688525</v>
          </cell>
          <cell r="H37">
            <v>71.816774193548397</v>
          </cell>
          <cell r="I37">
            <v>62.967741935483872</v>
          </cell>
          <cell r="J37">
            <v>19.451612903225808</v>
          </cell>
          <cell r="K37">
            <v>11.35483870967742</v>
          </cell>
          <cell r="L37">
            <v>11.64516129032258</v>
          </cell>
          <cell r="M37">
            <v>0</v>
          </cell>
          <cell r="N37">
            <v>17.579382543026234</v>
          </cell>
          <cell r="O37">
            <v>103.12857214353635</v>
          </cell>
          <cell r="P37">
            <v>92.623653201414598</v>
          </cell>
          <cell r="Q37">
            <v>0.52776280323450131</v>
          </cell>
          <cell r="R37">
            <v>68.739354838709673</v>
          </cell>
          <cell r="S37">
            <v>59.838709677419352</v>
          </cell>
          <cell r="T37">
            <v>27.193548387096776</v>
          </cell>
          <cell r="U37">
            <v>13.35483870967742</v>
          </cell>
          <cell r="V37">
            <v>10.290322580645162</v>
          </cell>
          <cell r="W37">
            <v>0</v>
          </cell>
          <cell r="X37">
            <v>7.5</v>
          </cell>
        </row>
        <row r="38">
          <cell r="A38">
            <v>37</v>
          </cell>
          <cell r="B38" t="str">
            <v>Ole Miss</v>
          </cell>
          <cell r="C38" t="str">
            <v>Texas</v>
          </cell>
          <cell r="D38">
            <v>8.9278178203979799</v>
          </cell>
          <cell r="E38">
            <v>100.09953473783261</v>
          </cell>
          <cell r="F38">
            <v>93.948889412718557</v>
          </cell>
          <cell r="G38">
            <v>0.50161812297734631</v>
          </cell>
          <cell r="H38">
            <v>68.278709677419357</v>
          </cell>
          <cell r="I38">
            <v>59.806451612903224</v>
          </cell>
          <cell r="J38">
            <v>20.35483870967742</v>
          </cell>
          <cell r="K38">
            <v>10.225806451612904</v>
          </cell>
          <cell r="L38">
            <v>9.741935483870968</v>
          </cell>
          <cell r="M38">
            <v>0</v>
          </cell>
          <cell r="N38">
            <v>15.345431944848261</v>
          </cell>
          <cell r="O38">
            <v>100.78946839513617</v>
          </cell>
          <cell r="P38">
            <v>96.627633983172757</v>
          </cell>
          <cell r="Q38">
            <v>0.55365044247787609</v>
          </cell>
          <cell r="R38">
            <v>68.771612903225815</v>
          </cell>
          <cell r="S38">
            <v>58.322580645161288</v>
          </cell>
          <cell r="T38">
            <v>26.387096774193548</v>
          </cell>
          <cell r="U38">
            <v>12.129032258064516</v>
          </cell>
          <cell r="V38">
            <v>10.96774193548387</v>
          </cell>
          <cell r="W38">
            <v>0</v>
          </cell>
          <cell r="X38">
            <v>6</v>
          </cell>
        </row>
        <row r="39">
          <cell r="A39">
            <v>38</v>
          </cell>
          <cell r="B39" t="str">
            <v>South Carolina</v>
          </cell>
          <cell r="C39" t="str">
            <v>Oklahoma</v>
          </cell>
          <cell r="D39">
            <v>6.2410183008098024</v>
          </cell>
          <cell r="E39">
            <v>98.323064113238985</v>
          </cell>
          <cell r="F39">
            <v>106.9078483309214</v>
          </cell>
          <cell r="G39">
            <v>0.50306577480490522</v>
          </cell>
          <cell r="H39">
            <v>68.166451612903217</v>
          </cell>
          <cell r="I39">
            <v>57.87096774193548</v>
          </cell>
          <cell r="J39">
            <v>21.419354838709676</v>
          </cell>
          <cell r="K39">
            <v>9.0322580645161299</v>
          </cell>
          <cell r="L39">
            <v>9.9032258064516121</v>
          </cell>
          <cell r="M39">
            <v>0</v>
          </cell>
          <cell r="N39">
            <v>12.428734007880106</v>
          </cell>
          <cell r="O39">
            <v>101.17459989674755</v>
          </cell>
          <cell r="P39">
            <v>99.400305910729628</v>
          </cell>
          <cell r="Q39">
            <v>0.55080213903743314</v>
          </cell>
          <cell r="R39">
            <v>68.590967741935486</v>
          </cell>
          <cell r="S39">
            <v>60.322580645161288</v>
          </cell>
          <cell r="T39">
            <v>21.870967741935484</v>
          </cell>
          <cell r="U39">
            <v>11.516129032258064</v>
          </cell>
          <cell r="V39">
            <v>10.161290322580646</v>
          </cell>
          <cell r="W39">
            <v>0</v>
          </cell>
          <cell r="X39">
            <v>7.5</v>
          </cell>
        </row>
        <row r="40">
          <cell r="A40">
            <v>39</v>
          </cell>
          <cell r="B40" t="str">
            <v>Providence</v>
          </cell>
          <cell r="C40" t="str">
            <v>Butler</v>
          </cell>
          <cell r="D40">
            <v>7.2230139841859584</v>
          </cell>
          <cell r="E40">
            <v>97.978328173374621</v>
          </cell>
          <cell r="F40">
            <v>103.93584445667233</v>
          </cell>
          <cell r="G40">
            <v>0.54862194487779514</v>
          </cell>
          <cell r="H40">
            <v>73.363870967741946</v>
          </cell>
          <cell r="I40">
            <v>62.032258064516128</v>
          </cell>
          <cell r="J40">
            <v>22.967741935483872</v>
          </cell>
          <cell r="K40">
            <v>11.290322580645162</v>
          </cell>
          <cell r="L40">
            <v>12.516129032258064</v>
          </cell>
          <cell r="M40">
            <v>0</v>
          </cell>
          <cell r="N40">
            <v>7.0628672725403812</v>
          </cell>
          <cell r="O40">
            <v>100.64559729676009</v>
          </cell>
          <cell r="P40">
            <v>103.05948535787746</v>
          </cell>
          <cell r="Q40">
            <v>0.50941872981700753</v>
          </cell>
          <cell r="R40">
            <v>70.087741935483876</v>
          </cell>
          <cell r="S40">
            <v>59.935483870967744</v>
          </cell>
          <cell r="T40">
            <v>25.419354838709676</v>
          </cell>
          <cell r="U40">
            <v>12.483870967741936</v>
          </cell>
          <cell r="V40">
            <v>11.451612903225806</v>
          </cell>
          <cell r="W40">
            <v>0</v>
          </cell>
          <cell r="X40">
            <v>-1</v>
          </cell>
        </row>
        <row r="41">
          <cell r="A41">
            <v>40</v>
          </cell>
          <cell r="B41" t="str">
            <v>Xavier</v>
          </cell>
          <cell r="C41" t="str">
            <v>Marquette</v>
          </cell>
          <cell r="D41">
            <v>6.157542482984514</v>
          </cell>
          <cell r="E41">
            <v>99.56029532403609</v>
          </cell>
          <cell r="F41">
            <v>103.64727426404355</v>
          </cell>
          <cell r="G41">
            <v>0.51752158456069075</v>
          </cell>
          <cell r="H41">
            <v>71.123870967741937</v>
          </cell>
          <cell r="I41">
            <v>63.516129032258064</v>
          </cell>
          <cell r="J41">
            <v>17.29032258064516</v>
          </cell>
          <cell r="K41">
            <v>9.9677419354838701</v>
          </cell>
          <cell r="L41">
            <v>9.9677419354838701</v>
          </cell>
          <cell r="M41">
            <v>0</v>
          </cell>
          <cell r="N41">
            <v>5.8945416273944717</v>
          </cell>
          <cell r="O41">
            <v>98.916491515866099</v>
          </cell>
          <cell r="P41">
            <v>105.33649346707044</v>
          </cell>
          <cell r="Q41">
            <v>0.50505050505050508</v>
          </cell>
          <cell r="R41">
            <v>69.943225806451608</v>
          </cell>
          <cell r="S41">
            <v>60.677419354838712</v>
          </cell>
          <cell r="T41">
            <v>20.032258064516128</v>
          </cell>
          <cell r="U41">
            <v>11</v>
          </cell>
          <cell r="V41">
            <v>11.451612903225806</v>
          </cell>
          <cell r="W41">
            <v>0</v>
          </cell>
          <cell r="X41">
            <v>4.5</v>
          </cell>
        </row>
        <row r="42">
          <cell r="A42">
            <v>41</v>
          </cell>
          <cell r="B42" t="str">
            <v>Georgetown</v>
          </cell>
          <cell r="C42" t="str">
            <v>DePaul</v>
          </cell>
          <cell r="D42">
            <v>4.8967002257276384</v>
          </cell>
          <cell r="E42">
            <v>100.17815881645672</v>
          </cell>
          <cell r="F42">
            <v>97.299068250229467</v>
          </cell>
          <cell r="G42">
            <v>0.49889380530973454</v>
          </cell>
          <cell r="H42">
            <v>67.492903225806458</v>
          </cell>
          <cell r="I42">
            <v>58.322580645161288</v>
          </cell>
          <cell r="J42">
            <v>22.161290322580644</v>
          </cell>
          <cell r="K42">
            <v>11.161290322580646</v>
          </cell>
          <cell r="L42">
            <v>10.580645161290322</v>
          </cell>
          <cell r="M42">
            <v>0</v>
          </cell>
          <cell r="N42">
            <v>4.6286910175516631</v>
          </cell>
          <cell r="O42">
            <v>97.221445221445222</v>
          </cell>
          <cell r="P42">
            <v>94.981634605679773</v>
          </cell>
          <cell r="Q42">
            <v>0.5</v>
          </cell>
          <cell r="R42">
            <v>67.300645161290319</v>
          </cell>
          <cell r="S42">
            <v>56.677419354838712</v>
          </cell>
          <cell r="T42">
            <v>20.258064516129032</v>
          </cell>
          <cell r="U42">
            <v>10.419354838709678</v>
          </cell>
          <cell r="V42">
            <v>12.129032258064516</v>
          </cell>
          <cell r="W42">
            <v>0</v>
          </cell>
          <cell r="X42">
            <v>1</v>
          </cell>
        </row>
        <row r="43">
          <cell r="A43">
            <v>42</v>
          </cell>
          <cell r="B43" t="str">
            <v>Wyoming</v>
          </cell>
          <cell r="C43" t="str">
            <v>UNLV</v>
          </cell>
          <cell r="D43">
            <v>4.0658873305135579</v>
          </cell>
          <cell r="E43">
            <v>100.20902311313272</v>
          </cell>
          <cell r="F43">
            <v>88.745774769912202</v>
          </cell>
          <cell r="G43">
            <v>0.52790055248618784</v>
          </cell>
          <cell r="H43">
            <v>67.074838709677422</v>
          </cell>
          <cell r="I43">
            <v>58.387096774193552</v>
          </cell>
          <cell r="J43">
            <v>21.06451612903226</v>
          </cell>
          <cell r="K43">
            <v>11.806451612903226</v>
          </cell>
          <cell r="L43">
            <v>11.225806451612904</v>
          </cell>
          <cell r="M43">
            <v>0</v>
          </cell>
          <cell r="N43">
            <v>8.1833176881236689</v>
          </cell>
          <cell r="O43">
            <v>98.332117488961416</v>
          </cell>
          <cell r="P43">
            <v>88.010291760587222</v>
          </cell>
          <cell r="Q43">
            <v>0.53103629668595476</v>
          </cell>
          <cell r="R43">
            <v>70.896249999999995</v>
          </cell>
          <cell r="S43">
            <v>59.40625</v>
          </cell>
          <cell r="T43">
            <v>24.125</v>
          </cell>
          <cell r="U43">
            <v>11.03125</v>
          </cell>
          <cell r="V43">
            <v>11.90625</v>
          </cell>
          <cell r="W43">
            <v>0</v>
          </cell>
          <cell r="X43">
            <v>3.5</v>
          </cell>
        </row>
        <row r="44">
          <cell r="A44">
            <v>43</v>
          </cell>
          <cell r="B44" t="str">
            <v>Air Force</v>
          </cell>
          <cell r="C44" t="str">
            <v>Nevada</v>
          </cell>
          <cell r="D44">
            <v>-7.8910227236867803</v>
          </cell>
          <cell r="E44">
            <v>89.173849564700149</v>
          </cell>
          <cell r="F44">
            <v>98.911508471880353</v>
          </cell>
          <cell r="G44">
            <v>0.49588607594936707</v>
          </cell>
          <cell r="H44">
            <v>66.668387096774197</v>
          </cell>
          <cell r="I44">
            <v>50.967741935483872</v>
          </cell>
          <cell r="J44">
            <v>18.161290322580644</v>
          </cell>
          <cell r="K44">
            <v>6.967741935483871</v>
          </cell>
          <cell r="L44">
            <v>14.67741935483871</v>
          </cell>
          <cell r="M44">
            <v>0</v>
          </cell>
          <cell r="N44">
            <v>9.2097769172278117</v>
          </cell>
          <cell r="O44">
            <v>101.36929460580913</v>
          </cell>
          <cell r="P44">
            <v>93.092548572138085</v>
          </cell>
          <cell r="Q44">
            <v>0.49772598067083568</v>
          </cell>
          <cell r="R44">
            <v>66.516129032258064</v>
          </cell>
          <cell r="S44">
            <v>56.741935483870968</v>
          </cell>
          <cell r="T44">
            <v>25.806451612903224</v>
          </cell>
          <cell r="U44">
            <v>11.419354838709678</v>
          </cell>
          <cell r="V44">
            <v>9.8387096774193541</v>
          </cell>
          <cell r="W44">
            <v>0</v>
          </cell>
          <cell r="X44">
            <v>20</v>
          </cell>
        </row>
        <row r="45">
          <cell r="A45">
            <v>44</v>
          </cell>
          <cell r="B45" t="str">
            <v>Fresno State</v>
          </cell>
          <cell r="C45" t="str">
            <v>Colorado State</v>
          </cell>
          <cell r="D45">
            <v>3.9705453804677195</v>
          </cell>
          <cell r="E45">
            <v>95.862667002772881</v>
          </cell>
          <cell r="F45">
            <v>95.778549141302761</v>
          </cell>
          <cell r="G45">
            <v>0.51114736269711802</v>
          </cell>
          <cell r="H45">
            <v>68.930000000000007</v>
          </cell>
          <cell r="I45">
            <v>57.46875</v>
          </cell>
          <cell r="J45">
            <v>19.65625</v>
          </cell>
          <cell r="K45">
            <v>9.65625</v>
          </cell>
          <cell r="L45">
            <v>12.46875</v>
          </cell>
          <cell r="M45">
            <v>0</v>
          </cell>
          <cell r="N45">
            <v>8.5339796324207295</v>
          </cell>
          <cell r="O45">
            <v>94.860057662452874</v>
          </cell>
          <cell r="P45">
            <v>97.322923067838047</v>
          </cell>
          <cell r="Q45">
            <v>0.59351385390428213</v>
          </cell>
          <cell r="R45">
            <v>63.689032258064522</v>
          </cell>
          <cell r="S45">
            <v>51.225806451612904</v>
          </cell>
          <cell r="T45">
            <v>20.774193548387096</v>
          </cell>
          <cell r="U45">
            <v>8.4838709677419359</v>
          </cell>
          <cell r="V45">
            <v>11.806451612903226</v>
          </cell>
          <cell r="W45">
            <v>0</v>
          </cell>
          <cell r="X45">
            <v>7</v>
          </cell>
        </row>
        <row r="46">
          <cell r="A46">
            <v>45</v>
          </cell>
          <cell r="B46" t="str">
            <v>San Jose State</v>
          </cell>
          <cell r="C46" t="str">
            <v>Boise State</v>
          </cell>
          <cell r="D46">
            <v>1.2297522989322691</v>
          </cell>
          <cell r="E46">
            <v>99.839552852211085</v>
          </cell>
          <cell r="F46">
            <v>97.642943611924565</v>
          </cell>
          <cell r="G46">
            <v>0.50196739741427765</v>
          </cell>
          <cell r="H46">
            <v>65.403870967741938</v>
          </cell>
          <cell r="I46">
            <v>57.387096774193552</v>
          </cell>
          <cell r="J46">
            <v>18.806451612903224</v>
          </cell>
          <cell r="K46">
            <v>10.387096774193548</v>
          </cell>
          <cell r="L46">
            <v>10.129032258064516</v>
          </cell>
          <cell r="M46">
            <v>0</v>
          </cell>
          <cell r="N46">
            <v>11.59341731459967</v>
          </cell>
          <cell r="O46">
            <v>98.161280330407848</v>
          </cell>
          <cell r="P46">
            <v>94.856866305885674</v>
          </cell>
          <cell r="Q46">
            <v>0.52932801822323461</v>
          </cell>
          <cell r="R46">
            <v>67.917419354838714</v>
          </cell>
          <cell r="S46">
            <v>56.645161290322584</v>
          </cell>
          <cell r="T46">
            <v>23.419354838709676</v>
          </cell>
          <cell r="U46">
            <v>10.67741935483871</v>
          </cell>
          <cell r="V46">
            <v>11.64516129032258</v>
          </cell>
          <cell r="W46">
            <v>0</v>
          </cell>
          <cell r="X46">
            <v>15.5</v>
          </cell>
        </row>
        <row r="47">
          <cell r="A47">
            <v>46</v>
          </cell>
          <cell r="B47" t="str">
            <v>Tulane</v>
          </cell>
          <cell r="C47" t="str">
            <v>Memphis</v>
          </cell>
          <cell r="D47">
            <v>-3.1723250454210019</v>
          </cell>
          <cell r="E47">
            <v>95.403301280403156</v>
          </cell>
          <cell r="F47">
            <v>107.95545364066687</v>
          </cell>
          <cell r="G47">
            <v>0.50029603315571347</v>
          </cell>
          <cell r="H47">
            <v>68.073548387096764</v>
          </cell>
          <cell r="I47">
            <v>54.483870967741936</v>
          </cell>
          <cell r="J47">
            <v>23.774193548387096</v>
          </cell>
          <cell r="K47">
            <v>7.774193548387097</v>
          </cell>
          <cell r="L47">
            <v>10.903225806451612</v>
          </cell>
          <cell r="M47">
            <v>0</v>
          </cell>
          <cell r="N47">
            <v>5.2852090117820074</v>
          </cell>
          <cell r="O47">
            <v>98.675679735616654</v>
          </cell>
          <cell r="P47">
            <v>94.588264735691467</v>
          </cell>
          <cell r="Q47">
            <v>0.48976377952755906</v>
          </cell>
          <cell r="R47">
            <v>71.36516129032259</v>
          </cell>
          <cell r="S47">
            <v>61.451612903225808</v>
          </cell>
          <cell r="T47">
            <v>21.06451612903226</v>
          </cell>
          <cell r="U47">
            <v>13</v>
          </cell>
          <cell r="V47">
            <v>13.64516129032258</v>
          </cell>
          <cell r="W47">
            <v>0</v>
          </cell>
          <cell r="X47">
            <v>4</v>
          </cell>
        </row>
        <row r="48">
          <cell r="A48">
            <v>47</v>
          </cell>
          <cell r="B48" t="str">
            <v>Temple</v>
          </cell>
          <cell r="C48" t="str">
            <v>Florida Atlantic</v>
          </cell>
          <cell r="D48">
            <v>1.4240194446793408</v>
          </cell>
          <cell r="E48">
            <v>100.67450727673058</v>
          </cell>
          <cell r="F48">
            <v>98.51115906935253</v>
          </cell>
          <cell r="G48">
            <v>0.51154734411085445</v>
          </cell>
          <cell r="H48">
            <v>65.051612903225802</v>
          </cell>
          <cell r="I48">
            <v>55.87096774193548</v>
          </cell>
          <cell r="J48">
            <v>23.06451612903226</v>
          </cell>
          <cell r="K48">
            <v>9.9677419354838701</v>
          </cell>
          <cell r="L48">
            <v>9</v>
          </cell>
          <cell r="M48">
            <v>0</v>
          </cell>
          <cell r="N48">
            <v>4.6030930008749307</v>
          </cell>
          <cell r="O48">
            <v>99.141599173778332</v>
          </cell>
          <cell r="P48">
            <v>99.966103024621688</v>
          </cell>
          <cell r="Q48">
            <v>0.52277840269966258</v>
          </cell>
          <cell r="R48">
            <v>70.492413793103438</v>
          </cell>
          <cell r="S48">
            <v>61.310344827586206</v>
          </cell>
          <cell r="T48">
            <v>20.241379310344829</v>
          </cell>
          <cell r="U48">
            <v>12</v>
          </cell>
          <cell r="V48">
            <v>12.275862068965518</v>
          </cell>
          <cell r="W48">
            <v>0</v>
          </cell>
          <cell r="X48">
            <v>2</v>
          </cell>
        </row>
        <row r="49">
          <cell r="A49">
            <v>48</v>
          </cell>
          <cell r="B49" t="str">
            <v>Tarleton</v>
          </cell>
          <cell r="C49" t="str">
            <v>Abilene Christian</v>
          </cell>
          <cell r="D49">
            <v>3.2524514288719582</v>
          </cell>
          <cell r="E49">
            <v>95.43107796907556</v>
          </cell>
          <cell r="F49">
            <v>82.703980725402943</v>
          </cell>
          <cell r="G49">
            <v>0.48946063236205828</v>
          </cell>
          <cell r="H49">
            <v>71.19714285714285</v>
          </cell>
          <cell r="I49">
            <v>57.607142857142854</v>
          </cell>
          <cell r="J49">
            <v>23.5</v>
          </cell>
          <cell r="K49">
            <v>11.071428571428571</v>
          </cell>
          <cell r="L49">
            <v>14.321428571428571</v>
          </cell>
          <cell r="M49">
            <v>0</v>
          </cell>
          <cell r="N49">
            <v>2.6108500511836068</v>
          </cell>
          <cell r="O49">
            <v>95.971914026906788</v>
          </cell>
          <cell r="P49">
            <v>82.024490698053327</v>
          </cell>
          <cell r="Q49">
            <v>0.48189910979228484</v>
          </cell>
          <cell r="R49">
            <v>68.356000000000009</v>
          </cell>
          <cell r="S49">
            <v>56.166666666666664</v>
          </cell>
          <cell r="T49">
            <v>21.566666666666666</v>
          </cell>
          <cell r="U49">
            <v>11.433333333333334</v>
          </cell>
          <cell r="V49">
            <v>14.133333333333333</v>
          </cell>
          <cell r="W49">
            <v>0</v>
          </cell>
          <cell r="X49">
            <v>-2</v>
          </cell>
        </row>
        <row r="50">
          <cell r="A50">
            <v>49</v>
          </cell>
          <cell r="B50" t="str">
            <v>Cal Poly</v>
          </cell>
          <cell r="C50" t="str">
            <v>UC San Diego</v>
          </cell>
          <cell r="D50">
            <v>-1.2306506967172497</v>
          </cell>
          <cell r="E50">
            <v>94.911941073705094</v>
          </cell>
          <cell r="F50">
            <v>91.94856963955165</v>
          </cell>
          <cell r="G50">
            <v>0.5220550077841204</v>
          </cell>
          <cell r="H50">
            <v>75.787096774193557</v>
          </cell>
          <cell r="I50">
            <v>62.161290322580648</v>
          </cell>
          <cell r="J50">
            <v>22.096774193548388</v>
          </cell>
          <cell r="K50">
            <v>11.35483870967742</v>
          </cell>
          <cell r="L50">
            <v>15.258064516129032</v>
          </cell>
          <cell r="M50">
            <v>0</v>
          </cell>
          <cell r="N50">
            <v>2.6229869298958355</v>
          </cell>
          <cell r="O50">
            <v>97.589773023741202</v>
          </cell>
          <cell r="P50">
            <v>94.197808324110923</v>
          </cell>
          <cell r="Q50">
            <v>0.53349673202614378</v>
          </cell>
          <cell r="R50">
            <v>69.04129032258065</v>
          </cell>
          <cell r="S50">
            <v>59.225806451612904</v>
          </cell>
          <cell r="T50">
            <v>18.93548387096774</v>
          </cell>
          <cell r="U50">
            <v>9.612903225806452</v>
          </cell>
          <cell r="V50">
            <v>11.096774193548388</v>
          </cell>
          <cell r="W50">
            <v>0</v>
          </cell>
          <cell r="X50">
            <v>5.5</v>
          </cell>
        </row>
        <row r="51">
          <cell r="A51">
            <v>50</v>
          </cell>
          <cell r="B51" t="str">
            <v>UC Santa Barbara</v>
          </cell>
          <cell r="C51" t="str">
            <v>UC Davis</v>
          </cell>
          <cell r="D51">
            <v>2.9663002974644832</v>
          </cell>
          <cell r="E51">
            <v>96.491121037150023</v>
          </cell>
          <cell r="F51">
            <v>89.770876084821566</v>
          </cell>
          <cell r="G51">
            <v>0.5491363907087552</v>
          </cell>
          <cell r="H51">
            <v>67.414666666666662</v>
          </cell>
          <cell r="I51">
            <v>55.966666666666669</v>
          </cell>
          <cell r="J51">
            <v>20.866666666666667</v>
          </cell>
          <cell r="K51">
            <v>10.733333333333333</v>
          </cell>
          <cell r="L51">
            <v>13</v>
          </cell>
          <cell r="M51">
            <v>0</v>
          </cell>
          <cell r="N51">
            <v>0.3110890520732752</v>
          </cell>
          <cell r="O51">
            <v>95.283606557377055</v>
          </cell>
          <cell r="P51">
            <v>93.284677256227894</v>
          </cell>
          <cell r="Q51">
            <v>0.52060359837492742</v>
          </cell>
          <cell r="R51">
            <v>71.125333333333344</v>
          </cell>
          <cell r="S51">
            <v>57.43333333333333</v>
          </cell>
          <cell r="T51">
            <v>23.466666666666665</v>
          </cell>
          <cell r="U51">
            <v>9.5</v>
          </cell>
          <cell r="V51">
            <v>12.866666666666667</v>
          </cell>
          <cell r="W51">
            <v>0</v>
          </cell>
          <cell r="X51">
            <v>-5.5</v>
          </cell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K3" sqref="K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22</v>
      </c>
      <c r="B2" s="6" t="str">
        <f>VLOOKUP(A2,[1]Games!$B$2:$K$398,2,FALSE)</f>
        <v>Florida Atlantic</v>
      </c>
      <c r="C2" s="6" t="str">
        <f>VLOOKUP(A2,[1]Games!$B$2:$K$398,3,FALSE)</f>
        <v>Temple</v>
      </c>
      <c r="D2" s="6" t="str">
        <f>B2</f>
        <v>Florida Atlantic</v>
      </c>
      <c r="E2" s="5">
        <f>VLOOKUP(A2,[1]Games!$B$2:$K$398,4,FALSE)</f>
        <v>6.6461423837319273</v>
      </c>
      <c r="F2" s="5">
        <f>-VLOOKUP(A2,[2]Games!$A$2:$X$300,24,FALSE)</f>
        <v>2</v>
      </c>
      <c r="G2" s="7">
        <f>VLOOKUP(A2,[1]Games!$B$2:$K$398,9,FALSE)</f>
        <v>0.4770655286441704</v>
      </c>
      <c r="H2" s="7">
        <f>VLOOKUP(A2,[1]Games!$B$2:$K$398,7,FALSE)</f>
        <v>4.5577630595486987E-2</v>
      </c>
      <c r="I2" s="7">
        <f>VLOOKUP(A2,[1]Games!$B$2:$K$398,8,FALSE)/4</f>
        <v>4.2941835565617599E-2</v>
      </c>
      <c r="J2" s="8" t="s">
        <v>428</v>
      </c>
      <c r="K2" s="9">
        <f>IF(J2="Yes",(H2*1500)/100,0)</f>
        <v>0</v>
      </c>
    </row>
    <row r="3" spans="1:11" x14ac:dyDescent="0.2">
      <c r="A3" s="1">
        <v>40</v>
      </c>
      <c r="B3" s="6" t="str">
        <f>VLOOKUP(A3,[1]Games!$B$2:$K$398,2,FALSE)</f>
        <v>Xavier</v>
      </c>
      <c r="C3" s="6" t="str">
        <f>VLOOKUP(A3,[1]Games!$B$2:$K$398,3,FALSE)</f>
        <v>Marquette</v>
      </c>
      <c r="D3" s="6" t="str">
        <f t="shared" ref="D3:D4" si="0">B3</f>
        <v>Xavier</v>
      </c>
      <c r="E3" s="5">
        <f>VLOOKUP(A3,[1]Games!$B$2:$K$398,4,FALSE)</f>
        <v>0.1117319414913998</v>
      </c>
      <c r="F3" s="5">
        <f>-VLOOKUP(A3,[2]Games!$A$2:$X$300,24,FALSE)</f>
        <v>-4.5</v>
      </c>
      <c r="G3" s="7">
        <f>VLOOKUP(A3,[1]Games!$B$2:$K$398,9,FALSE)</f>
        <v>0.27687104773437649</v>
      </c>
      <c r="H3" s="7">
        <f>VLOOKUP(A3,[1]Games!$B$2:$K$398,7,FALSE)</f>
        <v>4.5269355476058808E-2</v>
      </c>
      <c r="I3" s="7">
        <f>VLOOKUP(A3,[1]Games!$B$2:$K$398,8,FALSE)/4</f>
        <v>4.2766679247760647E-2</v>
      </c>
      <c r="J3" s="8" t="s">
        <v>393</v>
      </c>
      <c r="K3" s="9">
        <f t="shared" ref="K3:K4" si="1">IF(J3="Yes",(H3*1500)/100,0)</f>
        <v>0.67904033214088211</v>
      </c>
    </row>
    <row r="4" spans="1:11" x14ac:dyDescent="0.2">
      <c r="A4" s="1">
        <v>41</v>
      </c>
      <c r="B4" s="6" t="str">
        <f>VLOOKUP(A4,[1]Games!$B$2:$K$398,2,FALSE)</f>
        <v>Georgetown</v>
      </c>
      <c r="C4" s="6" t="str">
        <f>VLOOKUP(A4,[1]Games!$B$2:$K$398,3,FALSE)</f>
        <v>DePaul</v>
      </c>
      <c r="D4" s="6" t="str">
        <f t="shared" si="0"/>
        <v>Georgetown</v>
      </c>
      <c r="E4" s="5">
        <f>VLOOKUP(A4,[1]Games!$B$2:$K$398,4,FALSE)</f>
        <v>3.6118737753683932</v>
      </c>
      <c r="F4" s="5">
        <f>-VLOOKUP(A4,[2]Games!$A$2:$X$300,24,FALSE)</f>
        <v>-1</v>
      </c>
      <c r="G4" s="7">
        <f>VLOOKUP(A4,[1]Games!$B$2:$K$398,9,FALSE)</f>
        <v>0.38526766977272009</v>
      </c>
      <c r="H4" s="7">
        <f>VLOOKUP(A4,[1]Games!$B$2:$K$398,7,FALSE)</f>
        <v>4.5272205237740018E-2</v>
      </c>
      <c r="I4" s="7">
        <f>VLOOKUP(A4,[1]Games!$B$2:$K$398,8,FALSE)/4</f>
        <v>4.2768298430534028E-2</v>
      </c>
      <c r="J4" s="8" t="s">
        <v>428</v>
      </c>
      <c r="K4" s="9">
        <f t="shared" si="1"/>
        <v>0</v>
      </c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9"/>
  <sheetViews>
    <sheetView workbookViewId="0">
      <selection activeCell="G8" sqref="G8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1</v>
      </c>
      <c r="B2" s="1">
        <f>COUNTIF($C$6:$C$150,"L")</f>
        <v>2</v>
      </c>
      <c r="C2" s="13">
        <f>SUM(E6:E13)/SUM(D6:D13)</f>
        <v>-0.4050066985645932</v>
      </c>
      <c r="D2" s="14">
        <f>AVERAGE(G6:G150)</f>
        <v>3.1073790677935476E-2</v>
      </c>
      <c r="E2" s="1">
        <v>1</v>
      </c>
      <c r="F2" s="1">
        <v>2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A8" s="1" t="s">
        <v>427</v>
      </c>
      <c r="B8" s="1">
        <v>3</v>
      </c>
      <c r="C8" s="1" t="s">
        <v>388</v>
      </c>
      <c r="D8" s="1">
        <v>0.74019999999999997</v>
      </c>
      <c r="E8" s="15">
        <f>IF(C8="P",0,IF(C8="L",-D8,IF(I8&lt;0,D8*(100/-I8),D8*(I8/100)))/1)</f>
        <v>0.6729090909090909</v>
      </c>
      <c r="F8" s="15">
        <f>E8+F7</f>
        <v>-0.96189090909090891</v>
      </c>
      <c r="G8" s="11">
        <f>((K8-N8)*3.55%)+(M8-J8)</f>
        <v>0.10782963875205255</v>
      </c>
      <c r="H8" s="11">
        <f>AVERAGE($G$6:G8)</f>
        <v>3.1073790677935476E-2</v>
      </c>
      <c r="I8" s="1">
        <v>-110</v>
      </c>
      <c r="J8" s="13">
        <f>IF(I8&lt;0,I8/(I8-100),100/(I8+100))</f>
        <v>0.52380952380952384</v>
      </c>
      <c r="K8" s="1">
        <v>2.5</v>
      </c>
      <c r="L8" s="1">
        <v>-103</v>
      </c>
      <c r="M8" s="13">
        <f>IF(L8&lt;0,L8/(L8-100),100/(L8+100))</f>
        <v>0.5073891625615764</v>
      </c>
      <c r="N8" s="1">
        <v>-1</v>
      </c>
    </row>
    <row r="9" spans="1:14" x14ac:dyDescent="0.2">
      <c r="E9" s="15"/>
      <c r="F9" s="15"/>
      <c r="G9" s="11"/>
      <c r="H9" s="11"/>
      <c r="I9" s="1">
        <v>-110</v>
      </c>
      <c r="J9" s="13">
        <f>IF(I9&lt;0,I9/(I9-100),100/(I9+100))</f>
        <v>0.52380952380952384</v>
      </c>
      <c r="K9" s="1">
        <v>4.5</v>
      </c>
      <c r="L9" s="1"/>
      <c r="M9" s="13">
        <f>IF(L9&lt;0,L9/(L9-100),100/(L9+100))</f>
        <v>1</v>
      </c>
      <c r="N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abSelected="1"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2026-03-11T01:52:49Z</dcterms:modified>
</cp:coreProperties>
</file>