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7E4108FE-80BB-2B4C-A765-9FDFACF913CB}" xr6:coauthVersionLast="47" xr6:coauthVersionMax="47" xr10:uidLastSave="{00000000-0000-0000-0000-000000000000}"/>
  <bookViews>
    <workbookView xWindow="0" yWindow="780" windowWidth="18760" windowHeight="1996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D14" i="1" s="1"/>
  <c r="C14" i="1"/>
  <c r="F14" i="1"/>
  <c r="B15" i="1"/>
  <c r="D15" i="1" s="1"/>
  <c r="C15" i="1"/>
  <c r="F15" i="1"/>
  <c r="K15" i="1"/>
  <c r="B16" i="1"/>
  <c r="D16" i="1" s="1"/>
  <c r="C16" i="1"/>
  <c r="F16" i="1"/>
  <c r="K16" i="1"/>
  <c r="B17" i="1"/>
  <c r="C17" i="1"/>
  <c r="D17" i="1"/>
  <c r="F17" i="1"/>
  <c r="K17" i="1"/>
  <c r="B10" i="1" l="1"/>
  <c r="D10" i="1" s="1"/>
  <c r="C10" i="1"/>
  <c r="F10" i="1"/>
  <c r="K10" i="1"/>
  <c r="B11" i="1"/>
  <c r="D11" i="1" s="1"/>
  <c r="C11" i="1"/>
  <c r="F11" i="1"/>
  <c r="B12" i="1"/>
  <c r="D12" i="1" s="1"/>
  <c r="C12" i="1"/>
  <c r="F12" i="1"/>
  <c r="K12" i="1"/>
  <c r="B13" i="1"/>
  <c r="D13" i="1" s="1"/>
  <c r="C13" i="1"/>
  <c r="F13" i="1"/>
  <c r="B3" i="1"/>
  <c r="D3" i="1" s="1"/>
  <c r="C3" i="1"/>
  <c r="F3" i="1"/>
  <c r="K3" i="1"/>
  <c r="B4" i="1"/>
  <c r="D4" i="1" s="1"/>
  <c r="C4" i="1"/>
  <c r="F4" i="1"/>
  <c r="K4" i="1"/>
  <c r="B5" i="1"/>
  <c r="D5" i="1" s="1"/>
  <c r="C5" i="1"/>
  <c r="F5" i="1"/>
  <c r="K5" i="1"/>
  <c r="B6" i="1"/>
  <c r="D6" i="1" s="1"/>
  <c r="C6" i="1"/>
  <c r="F6" i="1"/>
  <c r="K6" i="1"/>
  <c r="B7" i="1"/>
  <c r="D7" i="1" s="1"/>
  <c r="C7" i="1"/>
  <c r="F7" i="1"/>
  <c r="K7" i="1"/>
  <c r="B8" i="1"/>
  <c r="D8" i="1" s="1"/>
  <c r="C8" i="1"/>
  <c r="F8" i="1"/>
  <c r="K8" i="1"/>
  <c r="B9" i="1"/>
  <c r="D9" i="1" s="1"/>
  <c r="C9" i="1"/>
  <c r="F9" i="1"/>
  <c r="K9" i="1"/>
  <c r="C2" i="4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41" i="2" l="1"/>
  <c r="C359" i="2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  <c r="E3" i="1" l="1"/>
  <c r="E4" i="1"/>
  <c r="E5" i="1"/>
  <c r="E6" i="1"/>
  <c r="E7" i="1"/>
  <c r="E8" i="1"/>
  <c r="E9" i="1"/>
  <c r="E10" i="1"/>
  <c r="E11" i="1"/>
  <c r="E12" i="1"/>
  <c r="E14" i="1"/>
  <c r="E15" i="1"/>
  <c r="E17" i="1"/>
  <c r="E13" i="1"/>
  <c r="E16" i="1"/>
  <c r="E2" i="1"/>
  <c r="H3" i="1" l="1"/>
  <c r="I3" i="1"/>
  <c r="G3" i="1"/>
  <c r="H4" i="1"/>
  <c r="I4" i="1"/>
  <c r="G4" i="1"/>
  <c r="H5" i="1"/>
  <c r="I5" i="1"/>
  <c r="G5" i="1"/>
  <c r="H6" i="1"/>
  <c r="I6" i="1"/>
  <c r="G6" i="1"/>
  <c r="H7" i="1"/>
  <c r="I7" i="1"/>
  <c r="G7" i="1"/>
  <c r="H8" i="1"/>
  <c r="I8" i="1"/>
  <c r="G8" i="1"/>
  <c r="H9" i="1"/>
  <c r="I9" i="1"/>
  <c r="G9" i="1"/>
  <c r="H10" i="1"/>
  <c r="I10" i="1"/>
  <c r="G10" i="1"/>
  <c r="H11" i="1"/>
  <c r="K11" i="1" s="1"/>
  <c r="I11" i="1"/>
  <c r="G11" i="1"/>
  <c r="H12" i="1"/>
  <c r="I12" i="1"/>
  <c r="G12" i="1"/>
  <c r="H14" i="1"/>
  <c r="K14" i="1" s="1"/>
  <c r="I14" i="1"/>
  <c r="G14" i="1"/>
  <c r="H15" i="1"/>
  <c r="I15" i="1"/>
  <c r="G15" i="1"/>
  <c r="H17" i="1"/>
  <c r="I17" i="1"/>
  <c r="G17" i="1"/>
  <c r="H13" i="1"/>
  <c r="K13" i="1" s="1"/>
  <c r="I13" i="1"/>
  <c r="G13" i="1"/>
  <c r="H16" i="1"/>
  <c r="I16" i="1"/>
  <c r="G16" i="1"/>
  <c r="G2" i="1"/>
  <c r="I2" i="1"/>
  <c r="H2" i="1"/>
  <c r="K2" i="1" s="1"/>
</calcChain>
</file>

<file path=xl/sharedStrings.xml><?xml version="1.0" encoding="utf-8"?>
<sst xmlns="http://schemas.openxmlformats.org/spreadsheetml/2006/main" count="702" uniqueCount="462">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</sst>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Michigan State</v>
          </cell>
          <cell r="D2" t="str">
            <v>Louisville</v>
          </cell>
          <cell r="E2">
            <v>7.6237974976589866</v>
          </cell>
          <cell r="F2" t="b">
            <v>0</v>
          </cell>
          <cell r="G2">
            <v>0.5651294463644575</v>
          </cell>
          <cell r="H2">
            <v>0</v>
          </cell>
          <cell r="I2">
            <v>7.8883488513964317E-2</v>
          </cell>
          <cell r="J2">
            <v>0.39498384438829071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Saint Louis</v>
          </cell>
          <cell r="E3">
            <v>14.976006036963041</v>
          </cell>
          <cell r="F3" t="b">
            <v>0</v>
          </cell>
          <cell r="G3">
            <v>0.55757114715800105</v>
          </cell>
          <cell r="H3">
            <v>0</v>
          </cell>
          <cell r="I3">
            <v>6.445400821072933E-2</v>
          </cell>
          <cell r="J3">
            <v>0.58389146809910786</v>
          </cell>
          <cell r="K3">
            <v>0</v>
          </cell>
        </row>
        <row r="4">
          <cell r="B4">
            <v>3</v>
          </cell>
          <cell r="C4" t="str">
            <v>Duke</v>
          </cell>
          <cell r="D4" t="str">
            <v>TCU</v>
          </cell>
          <cell r="E4">
            <v>16.156515841644939</v>
          </cell>
          <cell r="F4" t="b">
            <v>0</v>
          </cell>
          <cell r="G4">
            <v>0.60014369447283544</v>
          </cell>
          <cell r="H4">
            <v>0</v>
          </cell>
          <cell r="I4">
            <v>0.14572887126632231</v>
          </cell>
          <cell r="J4">
            <v>0.68835260367062623</v>
          </cell>
          <cell r="K4">
            <v>0</v>
          </cell>
        </row>
        <row r="5">
          <cell r="B5">
            <v>4</v>
          </cell>
          <cell r="C5" t="str">
            <v>Illinois</v>
          </cell>
          <cell r="D5" t="str">
            <v>VCU</v>
          </cell>
          <cell r="E5">
            <v>14.13897968992198</v>
          </cell>
          <cell r="F5" t="b">
            <v>0</v>
          </cell>
          <cell r="G5">
            <v>0.57243583222898409</v>
          </cell>
          <cell r="H5">
            <v>0</v>
          </cell>
          <cell r="I5">
            <v>9.2832043346242399E-2</v>
          </cell>
          <cell r="J5">
            <v>0.59272854171055356</v>
          </cell>
          <cell r="K5">
            <v>0</v>
          </cell>
        </row>
        <row r="6">
          <cell r="B6">
            <v>5</v>
          </cell>
          <cell r="C6" t="str">
            <v>Nebraska</v>
          </cell>
          <cell r="D6" t="str">
            <v>Vanderbilt</v>
          </cell>
          <cell r="E6">
            <v>-1.470916172407954</v>
          </cell>
          <cell r="F6" t="b">
            <v>0</v>
          </cell>
          <cell r="G6">
            <v>0.51318971547862935</v>
          </cell>
          <cell r="H6">
            <v>0</v>
          </cell>
          <cell r="I6">
            <v>-2.0274179540798461E-2</v>
          </cell>
          <cell r="J6">
            <v>1.5691879196898632E-2</v>
          </cell>
          <cell r="K6">
            <v>0</v>
          </cell>
        </row>
        <row r="7">
          <cell r="B7">
            <v>6</v>
          </cell>
          <cell r="C7" t="str">
            <v>Houston</v>
          </cell>
          <cell r="D7" t="str">
            <v>Texas A&amp;M</v>
          </cell>
          <cell r="E7">
            <v>12.49051257771263</v>
          </cell>
          <cell r="F7" t="b">
            <v>0</v>
          </cell>
          <cell r="G7">
            <v>0.54864172283435142</v>
          </cell>
          <cell r="H7">
            <v>0</v>
          </cell>
          <cell r="I7">
            <v>4.7406925411034577E-2</v>
          </cell>
          <cell r="J7">
            <v>0.50131716872622822</v>
          </cell>
          <cell r="K7">
            <v>0</v>
          </cell>
        </row>
        <row r="8">
          <cell r="B8">
            <v>7</v>
          </cell>
          <cell r="C8" t="str">
            <v>Arkansas</v>
          </cell>
          <cell r="D8" t="str">
            <v>High Point</v>
          </cell>
          <cell r="E8">
            <v>14.409404039669781</v>
          </cell>
          <cell r="F8" t="b">
            <v>0</v>
          </cell>
          <cell r="G8">
            <v>0.56733563667959241</v>
          </cell>
          <cell r="H8">
            <v>0</v>
          </cell>
          <cell r="I8">
            <v>8.3095306388312862E-2</v>
          </cell>
          <cell r="J8">
            <v>0.58925228425349863</v>
          </cell>
          <cell r="K8">
            <v>0</v>
          </cell>
        </row>
        <row r="9">
          <cell r="B9">
            <v>8</v>
          </cell>
          <cell r="C9" t="str">
            <v>Gonzaga</v>
          </cell>
          <cell r="D9" t="str">
            <v>Texas</v>
          </cell>
          <cell r="E9">
            <v>8.8326972336325653</v>
          </cell>
          <cell r="F9" t="b">
            <v>0</v>
          </cell>
          <cell r="G9">
            <v>0.55795782677192751</v>
          </cell>
          <cell r="H9">
            <v>0</v>
          </cell>
          <cell r="I9">
            <v>6.5192214746407129E-2</v>
          </cell>
          <cell r="J9">
            <v>0.41516446029663578</v>
          </cell>
          <cell r="K9">
            <v>0</v>
          </cell>
        </row>
        <row r="10">
          <cell r="B10">
            <v>9</v>
          </cell>
          <cell r="C10" t="str">
            <v>Alabama</v>
          </cell>
          <cell r="D10" t="str">
            <v>Texas Tech</v>
          </cell>
          <cell r="E10">
            <v>2.502891974829939</v>
          </cell>
          <cell r="F10" t="b">
            <v>0</v>
          </cell>
          <cell r="G10">
            <v>0.59877621375734469</v>
          </cell>
          <cell r="H10">
            <v>0</v>
          </cell>
          <cell r="I10">
            <v>0.14311822626402171</v>
          </cell>
          <cell r="J10">
            <v>0.31628008750747999</v>
          </cell>
          <cell r="K10">
            <v>0</v>
          </cell>
        </row>
        <row r="11">
          <cell r="B11">
            <v>10</v>
          </cell>
          <cell r="C11" t="str">
            <v>Florida</v>
          </cell>
          <cell r="D11" t="str">
            <v>Iowa</v>
          </cell>
          <cell r="E11">
            <v>11.194715824766851</v>
          </cell>
          <cell r="F11" t="b">
            <v>0</v>
          </cell>
          <cell r="G11">
            <v>0.51731652847327136</v>
          </cell>
          <cell r="H11">
            <v>0</v>
          </cell>
          <cell r="I11">
            <v>-1.239571836920916E-2</v>
          </cell>
          <cell r="J11">
            <v>0.39463016781725763</v>
          </cell>
          <cell r="K11">
            <v>0</v>
          </cell>
        </row>
        <row r="12">
          <cell r="B12">
            <v>11</v>
          </cell>
          <cell r="C12" t="str">
            <v>Uconn</v>
          </cell>
          <cell r="D12" t="str">
            <v>UCLA</v>
          </cell>
          <cell r="E12">
            <v>5.3911348172284379</v>
          </cell>
          <cell r="F12" t="b">
            <v>0</v>
          </cell>
          <cell r="G12">
            <v>0.53464275300729347</v>
          </cell>
          <cell r="H12">
            <v>0</v>
          </cell>
          <cell r="I12">
            <v>2.0681619377560301E-2</v>
          </cell>
          <cell r="J12">
            <v>0.25478768357222198</v>
          </cell>
          <cell r="K12">
            <v>0</v>
          </cell>
        </row>
        <row r="13">
          <cell r="B13">
            <v>12</v>
          </cell>
          <cell r="C13" t="str">
            <v>Virginia</v>
          </cell>
          <cell r="D13" t="str">
            <v>Tennessee</v>
          </cell>
          <cell r="E13">
            <v>0.62393594721707213</v>
          </cell>
          <cell r="F13" t="b">
            <v>0</v>
          </cell>
          <cell r="G13">
            <v>0.54042163234016005</v>
          </cell>
          <cell r="H13">
            <v>0</v>
          </cell>
          <cell r="I13">
            <v>3.171402537666923E-2</v>
          </cell>
          <cell r="J13">
            <v>0.1168367102471547</v>
          </cell>
          <cell r="K13">
            <v>0</v>
          </cell>
        </row>
        <row r="14">
          <cell r="B14">
            <v>13</v>
          </cell>
          <cell r="C14" t="str">
            <v>Purdue</v>
          </cell>
          <cell r="D14" t="str">
            <v>Miami</v>
          </cell>
          <cell r="E14">
            <v>12.5746195342281</v>
          </cell>
          <cell r="F14" t="b">
            <v>1</v>
          </cell>
          <cell r="G14">
            <v>0.61295541220788918</v>
          </cell>
          <cell r="H14">
            <v>4.4882546254626871E-2</v>
          </cell>
          <cell r="I14">
            <v>0.1701876051241521</v>
          </cell>
          <cell r="J14">
            <v>0.63571360517770981</v>
          </cell>
          <cell r="K14">
            <v>0.87610730289031646</v>
          </cell>
        </row>
        <row r="15">
          <cell r="B15">
            <v>14</v>
          </cell>
          <cell r="C15" t="str">
            <v>Iowa State</v>
          </cell>
          <cell r="D15" t="str">
            <v>Kentucky</v>
          </cell>
          <cell r="E15">
            <v>7.1011751940087526</v>
          </cell>
          <cell r="F15" t="b">
            <v>0</v>
          </cell>
          <cell r="G15">
            <v>0.55224027884451476</v>
          </cell>
          <cell r="H15">
            <v>0</v>
          </cell>
          <cell r="I15">
            <v>5.4276895975891908E-2</v>
          </cell>
          <cell r="J15">
            <v>0.34931589557310277</v>
          </cell>
          <cell r="K15">
            <v>0</v>
          </cell>
        </row>
        <row r="16">
          <cell r="B16">
            <v>15</v>
          </cell>
          <cell r="C16" t="str">
            <v>Kansas</v>
          </cell>
          <cell r="D16" t="str">
            <v>St. John's</v>
          </cell>
          <cell r="E16">
            <v>1.26500591653001</v>
          </cell>
          <cell r="F16" t="b">
            <v>1</v>
          </cell>
          <cell r="G16">
            <v>0.61707700432140333</v>
          </cell>
          <cell r="H16">
            <v>4.8344683629978888E-2</v>
          </cell>
          <cell r="I16">
            <v>0.17805609915904269</v>
          </cell>
          <cell r="J16">
            <v>0.32179849370920788</v>
          </cell>
          <cell r="K16">
            <v>0.94368822445718792</v>
          </cell>
        </row>
        <row r="17">
          <cell r="B17">
            <v>16</v>
          </cell>
          <cell r="C17" t="str">
            <v>Arizona</v>
          </cell>
          <cell r="D17" t="str">
            <v>Utah State</v>
          </cell>
          <cell r="E17">
            <v>12.03916810204351</v>
          </cell>
          <cell r="F17" t="b">
            <v>0</v>
          </cell>
          <cell r="G17">
            <v>0.51344101562434308</v>
          </cell>
          <cell r="H17">
            <v>0</v>
          </cell>
          <cell r="I17">
            <v>-1.9794424717163191E-2</v>
          </cell>
          <cell r="J17">
            <v>0.41142205261584602</v>
          </cell>
          <cell r="K17">
            <v>0</v>
          </cell>
        </row>
        <row r="18">
          <cell r="B18">
            <v>17</v>
          </cell>
          <cell r="C18" t="str">
            <v>Louisville</v>
          </cell>
          <cell r="D18" t="str">
            <v>Michigan State</v>
          </cell>
          <cell r="E18">
            <v>-4.1343269197252157</v>
          </cell>
          <cell r="F18" t="b">
            <v>0</v>
          </cell>
          <cell r="G18">
            <v>0.52157407338626549</v>
          </cell>
          <cell r="H18">
            <v>0</v>
          </cell>
          <cell r="I18">
            <v>-4.2676780807658346E-3</v>
          </cell>
          <cell r="J18">
            <v>8.115042882985124E-2</v>
          </cell>
          <cell r="K18">
            <v>0</v>
          </cell>
        </row>
        <row r="19">
          <cell r="B19">
            <v>18</v>
          </cell>
          <cell r="C19" t="str">
            <v>Saint Louis</v>
          </cell>
          <cell r="D19" t="str">
            <v>Michigan</v>
          </cell>
          <cell r="E19">
            <v>-12.63418965089744</v>
          </cell>
          <cell r="F19" t="b">
            <v>0</v>
          </cell>
          <cell r="G19">
            <v>0.50334583110950348</v>
          </cell>
          <cell r="H19">
            <v>0</v>
          </cell>
          <cell r="I19">
            <v>-3.906704970003877E-2</v>
          </cell>
          <cell r="J19">
            <v>0.40668649337587193</v>
          </cell>
          <cell r="K19">
            <v>0</v>
          </cell>
        </row>
        <row r="20">
          <cell r="B20">
            <v>19</v>
          </cell>
          <cell r="C20" t="str">
            <v>TCU</v>
          </cell>
          <cell r="D20" t="str">
            <v>Duke</v>
          </cell>
          <cell r="E20">
            <v>-12.57583710066964</v>
          </cell>
          <cell r="F20" t="b">
            <v>0</v>
          </cell>
          <cell r="G20">
            <v>0.52680460698779541</v>
          </cell>
          <cell r="H20">
            <v>0</v>
          </cell>
          <cell r="I20">
            <v>5.7178860676094789E-3</v>
          </cell>
          <cell r="J20">
            <v>0.45710006902003097</v>
          </cell>
          <cell r="K20">
            <v>0</v>
          </cell>
        </row>
        <row r="21">
          <cell r="B21">
            <v>20</v>
          </cell>
          <cell r="C21" t="str">
            <v>VCU</v>
          </cell>
          <cell r="D21" t="str">
            <v>Illinois</v>
          </cell>
          <cell r="E21">
            <v>-7.9731914140359823</v>
          </cell>
          <cell r="F21" t="b">
            <v>0</v>
          </cell>
          <cell r="G21">
            <v>0.57502237979486459</v>
          </cell>
          <cell r="H21">
            <v>0</v>
          </cell>
          <cell r="I21">
            <v>9.7769997790196128E-2</v>
          </cell>
          <cell r="J21">
            <v>7.5545540380110965E-2</v>
          </cell>
          <cell r="K21">
            <v>0</v>
          </cell>
        </row>
        <row r="22">
          <cell r="B22">
            <v>21</v>
          </cell>
          <cell r="C22" t="str">
            <v>Vanderbilt</v>
          </cell>
          <cell r="D22" t="str">
            <v>Nebraska</v>
          </cell>
          <cell r="E22">
            <v>4.7803474147172347</v>
          </cell>
          <cell r="F22" t="b">
            <v>0</v>
          </cell>
          <cell r="G22">
            <v>0.56897756221792961</v>
          </cell>
          <cell r="H22">
            <v>0</v>
          </cell>
          <cell r="I22">
            <v>8.6229891506956591E-2</v>
          </cell>
          <cell r="J22">
            <v>0.31649838901374577</v>
          </cell>
          <cell r="K22">
            <v>0</v>
          </cell>
        </row>
        <row r="23">
          <cell r="B23">
            <v>22</v>
          </cell>
          <cell r="C23" t="str">
            <v>Texas A&amp;M</v>
          </cell>
          <cell r="D23" t="str">
            <v>Houston</v>
          </cell>
          <cell r="E23">
            <v>-7.5735379918606283</v>
          </cell>
          <cell r="F23" t="b">
            <v>0</v>
          </cell>
          <cell r="G23">
            <v>0.57256327900997128</v>
          </cell>
          <cell r="H23">
            <v>0</v>
          </cell>
          <cell r="I23">
            <v>9.3075350837217963E-2</v>
          </cell>
          <cell r="J23">
            <v>6.8699796942407798E-2</v>
          </cell>
          <cell r="K23">
            <v>0</v>
          </cell>
        </row>
        <row r="24">
          <cell r="B24">
            <v>23</v>
          </cell>
          <cell r="C24" t="str">
            <v>High Point</v>
          </cell>
          <cell r="D24" t="str">
            <v>Arkansas</v>
          </cell>
          <cell r="E24">
            <v>-12.955196747770399</v>
          </cell>
          <cell r="F24" t="b">
            <v>0</v>
          </cell>
          <cell r="G24">
            <v>0.5358807449944516</v>
          </cell>
          <cell r="H24">
            <v>0</v>
          </cell>
          <cell r="I24">
            <v>2.3045058625771279E-2</v>
          </cell>
          <cell r="J24">
            <v>0.48734606471556818</v>
          </cell>
          <cell r="K24">
            <v>0</v>
          </cell>
        </row>
        <row r="25">
          <cell r="B25">
            <v>24</v>
          </cell>
          <cell r="C25" t="str">
            <v>Texas</v>
          </cell>
          <cell r="D25" t="str">
            <v>Gonzaga</v>
          </cell>
          <cell r="E25">
            <v>-4.8282195018383911</v>
          </cell>
          <cell r="F25" t="b">
            <v>0</v>
          </cell>
          <cell r="G25">
            <v>0.5416082726227095</v>
          </cell>
          <cell r="H25">
            <v>0</v>
          </cell>
          <cell r="I25">
            <v>3.3979429552445428E-2</v>
          </cell>
          <cell r="J25">
            <v>5.5369792667541717E-2</v>
          </cell>
          <cell r="K25">
            <v>0</v>
          </cell>
        </row>
        <row r="26">
          <cell r="B26">
            <v>25</v>
          </cell>
          <cell r="C26" t="str">
            <v>Texas Tech</v>
          </cell>
          <cell r="D26" t="str">
            <v>Alabama</v>
          </cell>
          <cell r="E26">
            <v>-0.89762611327321906</v>
          </cell>
          <cell r="F26" t="b">
            <v>0</v>
          </cell>
          <cell r="G26">
            <v>0.55955916364119873</v>
          </cell>
          <cell r="H26">
            <v>0</v>
          </cell>
          <cell r="I26">
            <v>6.8249312405924911E-2</v>
          </cell>
          <cell r="J26">
            <v>0.1715154919189017</v>
          </cell>
          <cell r="K26">
            <v>0</v>
          </cell>
        </row>
        <row r="27">
          <cell r="B27">
            <v>26</v>
          </cell>
          <cell r="C27" t="str">
            <v>Iowa</v>
          </cell>
          <cell r="D27" t="str">
            <v>Florida</v>
          </cell>
          <cell r="E27">
            <v>-7.106672621036318</v>
          </cell>
          <cell r="F27" t="b">
            <v>0</v>
          </cell>
          <cell r="G27">
            <v>0.58397884382351473</v>
          </cell>
          <cell r="H27">
            <v>0</v>
          </cell>
          <cell r="I27">
            <v>0.1148687018448918</v>
          </cell>
          <cell r="J27">
            <v>2.5859635062304261E-2</v>
          </cell>
          <cell r="K27">
            <v>0</v>
          </cell>
        </row>
        <row r="28">
          <cell r="B28">
            <v>27</v>
          </cell>
          <cell r="C28" t="str">
            <v>UCLA</v>
          </cell>
          <cell r="D28" t="str">
            <v>Uconn</v>
          </cell>
          <cell r="E28">
            <v>-2.5258509357806149</v>
          </cell>
          <cell r="F28" t="b">
            <v>0</v>
          </cell>
          <cell r="G28">
            <v>0.5367043381194001</v>
          </cell>
          <cell r="H28">
            <v>0</v>
          </cell>
          <cell r="I28">
            <v>2.4617372773400259E-2</v>
          </cell>
          <cell r="J28">
            <v>6.8077579319985038E-3</v>
          </cell>
          <cell r="K28">
            <v>0</v>
          </cell>
        </row>
        <row r="29">
          <cell r="B29">
            <v>28</v>
          </cell>
          <cell r="C29" t="str">
            <v>Tennessee</v>
          </cell>
          <cell r="D29" t="str">
            <v>Virginia</v>
          </cell>
          <cell r="E29">
            <v>6.3504265210794983</v>
          </cell>
          <cell r="F29" t="b">
            <v>1</v>
          </cell>
          <cell r="G29">
            <v>0.62857011124576767</v>
          </cell>
          <cell r="H29">
            <v>5.7998893446444849E-2</v>
          </cell>
          <cell r="I29">
            <v>0.19999748510555651</v>
          </cell>
          <cell r="J29">
            <v>0.503917783931362</v>
          </cell>
          <cell r="K29">
            <v>1.1321384000746035</v>
          </cell>
        </row>
        <row r="30">
          <cell r="B30">
            <v>29</v>
          </cell>
          <cell r="C30" t="str">
            <v>Miami</v>
          </cell>
          <cell r="D30" t="str">
            <v>Purdue</v>
          </cell>
          <cell r="E30">
            <v>-6.4513442417313884</v>
          </cell>
          <cell r="F30" t="b">
            <v>0</v>
          </cell>
          <cell r="G30">
            <v>0.52612836237902483</v>
          </cell>
          <cell r="H30">
            <v>0</v>
          </cell>
          <cell r="I30">
            <v>4.4268736326837921E-3</v>
          </cell>
          <cell r="J30">
            <v>0.1444848731062652</v>
          </cell>
          <cell r="K30">
            <v>0</v>
          </cell>
        </row>
        <row r="31">
          <cell r="B31">
            <v>30</v>
          </cell>
          <cell r="C31" t="str">
            <v>Kentucky</v>
          </cell>
          <cell r="D31" t="str">
            <v>Iowa State</v>
          </cell>
          <cell r="E31">
            <v>-4.5359178664915367</v>
          </cell>
          <cell r="F31" t="b">
            <v>0</v>
          </cell>
          <cell r="G31">
            <v>0.51156975174926678</v>
          </cell>
          <cell r="H31">
            <v>0</v>
          </cell>
          <cell r="I31">
            <v>-2.3366837569581581E-2</v>
          </cell>
          <cell r="J31">
            <v>0.1179331312373687</v>
          </cell>
          <cell r="K31">
            <v>0</v>
          </cell>
        </row>
        <row r="32">
          <cell r="B32">
            <v>31</v>
          </cell>
          <cell r="C32" t="str">
            <v>St. John's</v>
          </cell>
          <cell r="D32" t="str">
            <v>Kansas</v>
          </cell>
          <cell r="E32">
            <v>3.1590318805399149</v>
          </cell>
          <cell r="F32" t="b">
            <v>0</v>
          </cell>
          <cell r="G32">
            <v>0.50850101900132016</v>
          </cell>
          <cell r="H32">
            <v>0</v>
          </cell>
          <cell r="I32">
            <v>-2.922532736111599E-2</v>
          </cell>
          <cell r="J32">
            <v>8.1123382590810478E-2</v>
          </cell>
          <cell r="K32">
            <v>0</v>
          </cell>
        </row>
        <row r="33">
          <cell r="B33">
            <v>32</v>
          </cell>
          <cell r="C33" t="str">
            <v>Utah State</v>
          </cell>
          <cell r="D33" t="str">
            <v>Arizona</v>
          </cell>
          <cell r="E33">
            <v>-9.6384453574740654</v>
          </cell>
          <cell r="F33" t="b">
            <v>0</v>
          </cell>
          <cell r="G33">
            <v>0.54631129649620014</v>
          </cell>
          <cell r="H33">
            <v>0</v>
          </cell>
          <cell r="I33">
            <v>4.2957929674563973E-2</v>
          </cell>
          <cell r="J33">
            <v>0.19797857638448799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Michigan State</v>
          </cell>
          <cell r="C2" t="str">
            <v>Louisville</v>
          </cell>
          <cell r="D2">
            <v>19.982154388171562</v>
          </cell>
          <cell r="E2">
            <v>101.32466702184337</v>
          </cell>
          <cell r="F2">
            <v>94.579391423053281</v>
          </cell>
          <cell r="G2">
            <v>0.53589041095890411</v>
          </cell>
          <cell r="H2">
            <v>66.620645161290327</v>
          </cell>
          <cell r="I2">
            <v>58.87096774193548</v>
          </cell>
          <cell r="J2">
            <v>20.838709677419356</v>
          </cell>
          <cell r="K2">
            <v>12.774193548387096</v>
          </cell>
          <cell r="L2">
            <v>11.35483870967742</v>
          </cell>
          <cell r="M2">
            <v>0</v>
          </cell>
          <cell r="N2">
            <v>16.631119331501349</v>
          </cell>
          <cell r="O2">
            <v>99.101896527014759</v>
          </cell>
          <cell r="P2">
            <v>98.314439245284362</v>
          </cell>
          <cell r="Q2">
            <v>0.56448412698412698</v>
          </cell>
          <cell r="R2">
            <v>70.393939393939391</v>
          </cell>
          <cell r="S2">
            <v>61.090909090909093</v>
          </cell>
          <cell r="T2">
            <v>20.454545454545453</v>
          </cell>
          <cell r="U2">
            <v>11.333333333333334</v>
          </cell>
          <cell r="V2">
            <v>11.636363636363637</v>
          </cell>
          <cell r="W2">
            <v>0</v>
          </cell>
          <cell r="X2">
            <v>-5</v>
          </cell>
        </row>
        <row r="3">
          <cell r="A3">
            <v>2</v>
          </cell>
          <cell r="B3" t="str">
            <v>Michigan</v>
          </cell>
          <cell r="C3" t="str">
            <v>Saint Louis</v>
          </cell>
          <cell r="D3">
            <v>23.158914646956031</v>
          </cell>
          <cell r="E3">
            <v>98.200984374253366</v>
          </cell>
          <cell r="F3">
            <v>96.383444817292968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12.891007564287897</v>
          </cell>
          <cell r="O3">
            <v>96.587342281204442</v>
          </cell>
          <cell r="P3">
            <v>96.419529699076293</v>
          </cell>
          <cell r="Q3">
            <v>0.59935205183585316</v>
          </cell>
          <cell r="R3">
            <v>71.190967741935481</v>
          </cell>
          <cell r="S3">
            <v>59.741935483870968</v>
          </cell>
          <cell r="T3">
            <v>20.741935483870968</v>
          </cell>
          <cell r="U3">
            <v>10.03225806451613</v>
          </cell>
          <cell r="V3">
            <v>12.35483870967742</v>
          </cell>
          <cell r="W3">
            <v>0</v>
          </cell>
          <cell r="X3">
            <v>-12.5</v>
          </cell>
        </row>
        <row r="4">
          <cell r="A4">
            <v>3</v>
          </cell>
          <cell r="B4" t="str">
            <v>Duke</v>
          </cell>
          <cell r="C4" t="str">
            <v>TCU</v>
          </cell>
          <cell r="D4">
            <v>23.054887624413109</v>
          </cell>
          <cell r="E4">
            <v>101.57301127857072</v>
          </cell>
          <cell r="F4">
            <v>99.414290660558592</v>
          </cell>
          <cell r="G4">
            <v>0.57213541666666667</v>
          </cell>
          <cell r="H4">
            <v>66.278787878787867</v>
          </cell>
          <cell r="I4">
            <v>58.18181818181818</v>
          </cell>
          <cell r="J4">
            <v>22.121212121212121</v>
          </cell>
          <cell r="K4">
            <v>12.212121212121213</v>
          </cell>
          <cell r="L4">
            <v>10.575757575757576</v>
          </cell>
          <cell r="M4">
            <v>0</v>
          </cell>
          <cell r="N4">
            <v>12.676356416890858</v>
          </cell>
          <cell r="O4">
            <v>101.27537334728432</v>
          </cell>
          <cell r="P4">
            <v>97.104848064562987</v>
          </cell>
          <cell r="Q4">
            <v>0.50900000000000001</v>
          </cell>
          <cell r="R4">
            <v>69.441212121212118</v>
          </cell>
          <cell r="S4">
            <v>60.606060606060609</v>
          </cell>
          <cell r="T4">
            <v>23.454545454545453</v>
          </cell>
          <cell r="U4">
            <v>12.424242424242424</v>
          </cell>
          <cell r="V4">
            <v>10.939393939393939</v>
          </cell>
          <cell r="W4">
            <v>0</v>
          </cell>
          <cell r="X4">
            <v>-11.5</v>
          </cell>
        </row>
        <row r="5">
          <cell r="A5">
            <v>4</v>
          </cell>
          <cell r="B5" t="str">
            <v>Illinois</v>
          </cell>
          <cell r="C5" t="str">
            <v>VCU</v>
          </cell>
          <cell r="D5">
            <v>18.826343007871433</v>
          </cell>
          <cell r="E5">
            <v>105.08780903665816</v>
          </cell>
          <cell r="F5">
            <v>108.91673393133649</v>
          </cell>
          <cell r="G5">
            <v>0.5511688311688312</v>
          </cell>
          <cell r="H5">
            <v>66.809032258064519</v>
          </cell>
          <cell r="I5">
            <v>62.096774193548384</v>
          </cell>
          <cell r="J5">
            <v>20.387096774193548</v>
          </cell>
          <cell r="K5">
            <v>13.258064516129032</v>
          </cell>
          <cell r="L5">
            <v>9</v>
          </cell>
          <cell r="M5">
            <v>0</v>
          </cell>
          <cell r="N5">
            <v>10.280535393881047</v>
          </cell>
          <cell r="O5">
            <v>99.976592216912124</v>
          </cell>
          <cell r="P5">
            <v>99.94980567668172</v>
          </cell>
          <cell r="Q5">
            <v>0.54290339989206693</v>
          </cell>
          <cell r="R5">
            <v>68.818749999999994</v>
          </cell>
          <cell r="S5">
            <v>57.90625</v>
          </cell>
          <cell r="T5">
            <v>25.9375</v>
          </cell>
          <cell r="U5">
            <v>11.3125</v>
          </cell>
          <cell r="V5">
            <v>10.8125</v>
          </cell>
          <cell r="W5">
            <v>0</v>
          </cell>
          <cell r="X5">
            <v>-11</v>
          </cell>
        </row>
        <row r="6">
          <cell r="A6">
            <v>5</v>
          </cell>
          <cell r="B6" t="str">
            <v>Nebraska</v>
          </cell>
          <cell r="C6" t="str">
            <v>Vanderbilt</v>
          </cell>
          <cell r="D6">
            <v>15.82631796216417</v>
          </cell>
          <cell r="E6">
            <v>98.25476089716463</v>
          </cell>
          <cell r="F6">
            <v>102.35159180352665</v>
          </cell>
          <cell r="G6">
            <v>0.55440552016985134</v>
          </cell>
          <cell r="H6">
            <v>66.883750000000006</v>
          </cell>
          <cell r="I6">
            <v>58.875</v>
          </cell>
          <cell r="J6">
            <v>16</v>
          </cell>
          <cell r="K6">
            <v>8.78125</v>
          </cell>
          <cell r="L6">
            <v>9.75</v>
          </cell>
          <cell r="M6">
            <v>0</v>
          </cell>
          <cell r="N6">
            <v>19.334095266215517</v>
          </cell>
          <cell r="O6">
            <v>100.88210871874095</v>
          </cell>
          <cell r="P6">
            <v>97.473801766777243</v>
          </cell>
          <cell r="Q6">
            <v>0.55371690427698572</v>
          </cell>
          <cell r="R6">
            <v>70.61</v>
          </cell>
          <cell r="S6">
            <v>61.375</v>
          </cell>
          <cell r="T6">
            <v>23.6875</v>
          </cell>
          <cell r="U6">
            <v>10.8125</v>
          </cell>
          <cell r="V6">
            <v>9.625</v>
          </cell>
          <cell r="W6">
            <v>0</v>
          </cell>
          <cell r="X6">
            <v>2</v>
          </cell>
        </row>
        <row r="7">
          <cell r="A7">
            <v>6</v>
          </cell>
          <cell r="B7" t="str">
            <v>Houston</v>
          </cell>
          <cell r="C7" t="str">
            <v>Texas A&amp;M</v>
          </cell>
          <cell r="D7">
            <v>20.901069562815731</v>
          </cell>
          <cell r="E7">
            <v>105.43571389837862</v>
          </cell>
          <cell r="F7">
            <v>97.084637989347655</v>
          </cell>
          <cell r="G7">
            <v>0.52154080081094778</v>
          </cell>
          <cell r="H7">
            <v>64.762500000000003</v>
          </cell>
          <cell r="I7">
            <v>61.65625</v>
          </cell>
          <cell r="J7">
            <v>16.71875</v>
          </cell>
          <cell r="K7">
            <v>12.78125</v>
          </cell>
          <cell r="L7">
            <v>8.53125</v>
          </cell>
          <cell r="M7">
            <v>0</v>
          </cell>
          <cell r="N7">
            <v>13.344745551152522</v>
          </cell>
          <cell r="O7">
            <v>101.09664255240216</v>
          </cell>
          <cell r="P7">
            <v>98.213295342640578</v>
          </cell>
          <cell r="Q7">
            <v>0.54188861985472159</v>
          </cell>
          <cell r="R7">
            <v>73.739999999999995</v>
          </cell>
          <cell r="S7">
            <v>64.53125</v>
          </cell>
          <cell r="T7">
            <v>24.125</v>
          </cell>
          <cell r="U7">
            <v>12.25</v>
          </cell>
          <cell r="V7">
            <v>10.84375</v>
          </cell>
          <cell r="W7">
            <v>0</v>
          </cell>
          <cell r="X7">
            <v>-10.5</v>
          </cell>
        </row>
        <row r="8">
          <cell r="A8">
            <v>7</v>
          </cell>
          <cell r="B8" t="str">
            <v>Arkansas</v>
          </cell>
          <cell r="C8" t="str">
            <v>High Point</v>
          </cell>
          <cell r="D8">
            <v>19.899076876872613</v>
          </cell>
          <cell r="E8">
            <v>101.9693472090823</v>
          </cell>
          <cell r="F8">
            <v>97.545722643013036</v>
          </cell>
          <cell r="G8">
            <v>0.56447688564476883</v>
          </cell>
          <cell r="H8">
            <v>72.41</v>
          </cell>
          <cell r="I8">
            <v>64.21875</v>
          </cell>
          <cell r="J8">
            <v>23.375</v>
          </cell>
          <cell r="K8">
            <v>11.0625</v>
          </cell>
          <cell r="L8">
            <v>8.96875</v>
          </cell>
          <cell r="M8">
            <v>0</v>
          </cell>
          <cell r="N8">
            <v>9.7914064574296606</v>
          </cell>
          <cell r="O8">
            <v>102.08135263134599</v>
          </cell>
          <cell r="P8">
            <v>95.473025683474958</v>
          </cell>
          <cell r="Q8">
            <v>0.56606463878326996</v>
          </cell>
          <cell r="R8">
            <v>71.407058823529411</v>
          </cell>
          <cell r="S8">
            <v>61.882352941176471</v>
          </cell>
          <cell r="T8">
            <v>26.794117647058822</v>
          </cell>
          <cell r="U8">
            <v>11.617647058823529</v>
          </cell>
          <cell r="V8">
            <v>9.3529411764705888</v>
          </cell>
          <cell r="W8">
            <v>0</v>
          </cell>
          <cell r="X8">
            <v>-11.5</v>
          </cell>
        </row>
        <row r="9">
          <cell r="A9">
            <v>8</v>
          </cell>
          <cell r="B9" t="str">
            <v>Gonzaga</v>
          </cell>
          <cell r="C9" t="str">
            <v>Texas</v>
          </cell>
          <cell r="D9">
            <v>20.959854873623506</v>
          </cell>
          <cell r="E9">
            <v>102.65043408841434</v>
          </cell>
          <cell r="F9">
            <v>86.043703668873505</v>
          </cell>
          <cell r="G9">
            <v>0.56074766355140182</v>
          </cell>
          <cell r="H9">
            <v>69.724999999999994</v>
          </cell>
          <cell r="I9">
            <v>63.53125</v>
          </cell>
          <cell r="J9">
            <v>19.6875</v>
          </cell>
          <cell r="K9">
            <v>12.03125</v>
          </cell>
          <cell r="L9">
            <v>9.5625</v>
          </cell>
          <cell r="M9">
            <v>0</v>
          </cell>
          <cell r="N9">
            <v>14.532052109666417</v>
          </cell>
          <cell r="O9">
            <v>100.55048907489414</v>
          </cell>
          <cell r="P9">
            <v>96.670144874968173</v>
          </cell>
          <cell r="Q9">
            <v>0.5496777658431794</v>
          </cell>
          <cell r="R9">
            <v>68.81</v>
          </cell>
          <cell r="S9">
            <v>58.1875</v>
          </cell>
          <cell r="T9">
            <v>26.34375</v>
          </cell>
          <cell r="U9">
            <v>12</v>
          </cell>
          <cell r="V9">
            <v>11.03125</v>
          </cell>
          <cell r="W9">
            <v>0</v>
          </cell>
          <cell r="X9">
            <v>-6.5</v>
          </cell>
        </row>
        <row r="10">
          <cell r="A10">
            <v>9</v>
          </cell>
          <cell r="B10" t="str">
            <v>Alabama</v>
          </cell>
          <cell r="C10" t="str">
            <v>Texas Tech</v>
          </cell>
          <cell r="D10">
            <v>19.673613604820769</v>
          </cell>
          <cell r="E10">
            <v>102.29455081001471</v>
          </cell>
          <cell r="F10">
            <v>103.71887375881523</v>
          </cell>
          <cell r="G10">
            <v>0.55384250474383301</v>
          </cell>
          <cell r="H10">
            <v>74.217500000000001</v>
          </cell>
          <cell r="I10">
            <v>65.875</v>
          </cell>
          <cell r="J10">
            <v>24.5</v>
          </cell>
          <cell r="K10">
            <v>12.21875</v>
          </cell>
          <cell r="L10">
            <v>9.78125</v>
          </cell>
          <cell r="M10">
            <v>0</v>
          </cell>
          <cell r="N10">
            <v>17.052374181699321</v>
          </cell>
          <cell r="O10">
            <v>100.51882408229335</v>
          </cell>
          <cell r="P10">
            <v>104.30065451536628</v>
          </cell>
          <cell r="Q10">
            <v>0.56166837256908908</v>
          </cell>
          <cell r="R10">
            <v>67.617500000000007</v>
          </cell>
          <cell r="S10">
            <v>61.0625</v>
          </cell>
          <cell r="T10">
            <v>16.53125</v>
          </cell>
          <cell r="U10">
            <v>11.53125</v>
          </cell>
          <cell r="V10">
            <v>10.8125</v>
          </cell>
          <cell r="W10">
            <v>0</v>
          </cell>
          <cell r="X10">
            <v>1.5</v>
          </cell>
        </row>
        <row r="11">
          <cell r="A11">
            <v>10</v>
          </cell>
          <cell r="B11" t="str">
            <v>Florida</v>
          </cell>
          <cell r="C11" t="str">
            <v>Iowa</v>
          </cell>
          <cell r="D11">
            <v>22.650454216704585</v>
          </cell>
          <cell r="E11">
            <v>104.38676700269771</v>
          </cell>
          <cell r="F11">
            <v>99.448258680413886</v>
          </cell>
          <cell r="G11">
            <v>0.53652636671504594</v>
          </cell>
          <cell r="H11">
            <v>71.564999999999998</v>
          </cell>
          <cell r="I11">
            <v>64.59375</v>
          </cell>
          <cell r="J11">
            <v>25.21875</v>
          </cell>
          <cell r="K11">
            <v>15.96875</v>
          </cell>
          <cell r="L11">
            <v>11.84375</v>
          </cell>
          <cell r="M11">
            <v>0</v>
          </cell>
          <cell r="N11">
            <v>15.51511812576733</v>
          </cell>
          <cell r="O11">
            <v>98.238539943433466</v>
          </cell>
          <cell r="P11">
            <v>93.168875634820807</v>
          </cell>
          <cell r="Q11">
            <v>0.56555993247045577</v>
          </cell>
          <cell r="R11">
            <v>62.900606060606066</v>
          </cell>
          <cell r="S11">
            <v>53.848484848484851</v>
          </cell>
          <cell r="T11">
            <v>18.575757575757574</v>
          </cell>
          <cell r="U11">
            <v>8.8181818181818183</v>
          </cell>
          <cell r="V11">
            <v>9.6969696969696972</v>
          </cell>
          <cell r="W11">
            <v>0</v>
          </cell>
          <cell r="X11">
            <v>-10.5</v>
          </cell>
        </row>
        <row r="12">
          <cell r="A12">
            <v>11</v>
          </cell>
          <cell r="B12" t="str">
            <v>Uconn</v>
          </cell>
          <cell r="C12" t="str">
            <v>UCLA</v>
          </cell>
          <cell r="D12">
            <v>18.120431537245491</v>
          </cell>
          <cell r="E12">
            <v>100.0952772073922</v>
          </cell>
          <cell r="F12">
            <v>94.261774983054991</v>
          </cell>
          <cell r="G12">
            <v>0.55882352941176472</v>
          </cell>
          <cell r="H12">
            <v>66.089696969696973</v>
          </cell>
          <cell r="I12">
            <v>58.727272727272727</v>
          </cell>
          <cell r="J12">
            <v>17.696969696969695</v>
          </cell>
          <cell r="K12">
            <v>11.454545454545455</v>
          </cell>
          <cell r="L12">
            <v>11.030303030303031</v>
          </cell>
          <cell r="M12">
            <v>0</v>
          </cell>
          <cell r="N12">
            <v>15.943406980069799</v>
          </cell>
          <cell r="O12">
            <v>100.85863980873899</v>
          </cell>
          <cell r="P12">
            <v>91.898292422931632</v>
          </cell>
          <cell r="Q12">
            <v>0.54047742605085625</v>
          </cell>
          <cell r="R12">
            <v>65.963636363636368</v>
          </cell>
          <cell r="S12">
            <v>58.393939393939391</v>
          </cell>
          <cell r="T12">
            <v>19.545454545454547</v>
          </cell>
          <cell r="U12">
            <v>10</v>
          </cell>
          <cell r="V12">
            <v>8.9696969696969688</v>
          </cell>
          <cell r="W12">
            <v>0</v>
          </cell>
          <cell r="X12">
            <v>-4</v>
          </cell>
        </row>
        <row r="13">
          <cell r="A13">
            <v>12</v>
          </cell>
          <cell r="B13" t="str">
            <v>Virginia</v>
          </cell>
          <cell r="C13" t="str">
            <v>Tennessee</v>
          </cell>
          <cell r="D13">
            <v>12.898930744177012</v>
          </cell>
          <cell r="E13">
            <v>102.74660271782574</v>
          </cell>
          <cell r="F13">
            <v>105.30602921182151</v>
          </cell>
          <cell r="G13">
            <v>0.54717923115327005</v>
          </cell>
          <cell r="H13">
            <v>67.065454545454543</v>
          </cell>
          <cell r="I13">
            <v>60.696969696969695</v>
          </cell>
          <cell r="J13">
            <v>20.121212121212121</v>
          </cell>
          <cell r="K13">
            <v>13.272727272727273</v>
          </cell>
          <cell r="L13">
            <v>10.787878787878787</v>
          </cell>
          <cell r="M13">
            <v>0</v>
          </cell>
          <cell r="N13">
            <v>20.582457175121956</v>
          </cell>
          <cell r="O13">
            <v>105.02195491662999</v>
          </cell>
          <cell r="P13">
            <v>93.637950339797769</v>
          </cell>
          <cell r="Q13">
            <v>0.51561725334655428</v>
          </cell>
          <cell r="R13">
            <v>67.170909090909092</v>
          </cell>
          <cell r="S13">
            <v>61.121212121212125</v>
          </cell>
          <cell r="T13">
            <v>23.666666666666668</v>
          </cell>
          <cell r="U13">
            <v>16.030303030303031</v>
          </cell>
          <cell r="V13">
            <v>11.666666666666666</v>
          </cell>
          <cell r="W13">
            <v>0</v>
          </cell>
          <cell r="X13">
            <v>1</v>
          </cell>
        </row>
        <row r="14">
          <cell r="A14">
            <v>13</v>
          </cell>
          <cell r="B14" t="str">
            <v>Purdue</v>
          </cell>
          <cell r="C14" t="str">
            <v>Miami</v>
          </cell>
          <cell r="D14">
            <v>20.933350618351088</v>
          </cell>
          <cell r="E14">
            <v>102.749921687376</v>
          </cell>
          <cell r="F14">
            <v>101.56518525976452</v>
          </cell>
          <cell r="G14">
            <v>0.5771558245083207</v>
          </cell>
          <cell r="H14">
            <v>65.197575757575763</v>
          </cell>
          <cell r="I14">
            <v>60.090909090909093</v>
          </cell>
          <cell r="J14">
            <v>16.90909090909091</v>
          </cell>
          <cell r="K14">
            <v>11.363636363636363</v>
          </cell>
          <cell r="L14">
            <v>9.0303030303030312</v>
          </cell>
          <cell r="M14">
            <v>0</v>
          </cell>
          <cell r="N14">
            <v>12.238890418004498</v>
          </cell>
          <cell r="O14">
            <v>100.74202898550723</v>
          </cell>
          <cell r="P14">
            <v>98.35968575523485</v>
          </cell>
          <cell r="Q14">
            <v>0.55597771023302933</v>
          </cell>
          <cell r="R14">
            <v>68.654545454545456</v>
          </cell>
          <cell r="S14">
            <v>59.81818181818182</v>
          </cell>
          <cell r="T14">
            <v>22.424242424242426</v>
          </cell>
          <cell r="U14">
            <v>12.242424242424242</v>
          </cell>
          <cell r="V14">
            <v>11.212121212121213</v>
          </cell>
          <cell r="W14">
            <v>0</v>
          </cell>
          <cell r="X14">
            <v>-7.5</v>
          </cell>
        </row>
        <row r="15">
          <cell r="A15">
            <v>14</v>
          </cell>
          <cell r="B15" t="str">
            <v>Iowa State</v>
          </cell>
          <cell r="C15" t="str">
            <v>Kentucky</v>
          </cell>
          <cell r="D15">
            <v>20.641493911570723</v>
          </cell>
          <cell r="E15">
            <v>101.50134460238188</v>
          </cell>
          <cell r="F15">
            <v>96.951162965358421</v>
          </cell>
          <cell r="G15">
            <v>0.56497313141182215</v>
          </cell>
          <cell r="H15">
            <v>67.654117647058825</v>
          </cell>
          <cell r="I15">
            <v>60.205882352941174</v>
          </cell>
          <cell r="J15">
            <v>20.470588235294116</v>
          </cell>
          <cell r="K15">
            <v>11.823529411764707</v>
          </cell>
          <cell r="L15">
            <v>10.264705882352942</v>
          </cell>
          <cell r="M15">
            <v>0</v>
          </cell>
          <cell r="N15">
            <v>18.034523649586539</v>
          </cell>
          <cell r="O15">
            <v>101.2517590047062</v>
          </cell>
          <cell r="P15">
            <v>98.419793855345077</v>
          </cell>
          <cell r="Q15">
            <v>0.53111327175498302</v>
          </cell>
          <cell r="R15">
            <v>69.036470588235289</v>
          </cell>
          <cell r="S15">
            <v>60.5</v>
          </cell>
          <cell r="T15">
            <v>22.676470588235293</v>
          </cell>
          <cell r="U15">
            <v>11.941176470588236</v>
          </cell>
          <cell r="V15">
            <v>10.5</v>
          </cell>
          <cell r="W15">
            <v>0</v>
          </cell>
          <cell r="X15">
            <v>-5</v>
          </cell>
        </row>
        <row r="16">
          <cell r="A16">
            <v>15</v>
          </cell>
          <cell r="B16" t="str">
            <v>Kansas</v>
          </cell>
          <cell r="C16" t="str">
            <v>St. John's</v>
          </cell>
          <cell r="D16">
            <v>16.809475334579385</v>
          </cell>
          <cell r="E16">
            <v>98.782531105933685</v>
          </cell>
          <cell r="F16">
            <v>105.39233290147665</v>
          </cell>
          <cell r="G16">
            <v>0.51565708418891165</v>
          </cell>
          <cell r="H16">
            <v>68.042424242424246</v>
          </cell>
          <cell r="I16">
            <v>59.030303030303031</v>
          </cell>
          <cell r="J16">
            <v>19.242424242424242</v>
          </cell>
          <cell r="K16">
            <v>10.121212121212121</v>
          </cell>
          <cell r="L16">
            <v>10.666666666666666</v>
          </cell>
          <cell r="M16">
            <v>0</v>
          </cell>
          <cell r="N16">
            <v>15.123966744544841</v>
          </cell>
          <cell r="O16">
            <v>102.62076624097725</v>
          </cell>
          <cell r="P16">
            <v>99.067983608660882</v>
          </cell>
          <cell r="Q16">
            <v>0.50957290132547861</v>
          </cell>
          <cell r="R16">
            <v>70.527272727272731</v>
          </cell>
          <cell r="S16">
            <v>61.727272727272727</v>
          </cell>
          <cell r="T16">
            <v>26.060606060606062</v>
          </cell>
          <cell r="U16">
            <v>13.242424242424242</v>
          </cell>
          <cell r="V16">
            <v>10.575757575757576</v>
          </cell>
          <cell r="W16">
            <v>0</v>
          </cell>
          <cell r="X16">
            <v>3.5</v>
          </cell>
        </row>
        <row r="17">
          <cell r="A17">
            <v>16</v>
          </cell>
          <cell r="B17" t="str">
            <v>Arizona</v>
          </cell>
          <cell r="C17" t="str">
            <v>Utah State</v>
          </cell>
          <cell r="D17">
            <v>23.687310951598352</v>
          </cell>
          <cell r="E17">
            <v>101.76807841686704</v>
          </cell>
          <cell r="F17">
            <v>98.493332637771204</v>
          </cell>
          <cell r="G17">
            <v>0.55109126984126988</v>
          </cell>
          <cell r="H17">
            <v>70.587878787878793</v>
          </cell>
          <cell r="I17">
            <v>61.090909090909093</v>
          </cell>
          <cell r="J17">
            <v>26.060606060606062</v>
          </cell>
          <cell r="K17">
            <v>12.878787878787879</v>
          </cell>
          <cell r="L17">
            <v>10.909090909090908</v>
          </cell>
          <cell r="M17">
            <v>0</v>
          </cell>
          <cell r="N17">
            <v>16.287809545840613</v>
          </cell>
          <cell r="O17">
            <v>99.539689712306071</v>
          </cell>
          <cell r="P17">
            <v>89.1227776403734</v>
          </cell>
          <cell r="Q17">
            <v>0.5741935483870968</v>
          </cell>
          <cell r="R17">
            <v>67.972499999999997</v>
          </cell>
          <cell r="S17">
            <v>58.125</v>
          </cell>
          <cell r="T17">
            <v>22.59375</v>
          </cell>
          <cell r="U17">
            <v>10.65625</v>
          </cell>
          <cell r="V17">
            <v>10.5625</v>
          </cell>
          <cell r="W17">
            <v>0</v>
          </cell>
          <cell r="X17">
            <v>-11.5</v>
          </cell>
        </row>
        <row r="18">
          <cell r="A18">
            <v>17</v>
          </cell>
          <cell r="B18" t="str">
            <v>Louisville</v>
          </cell>
          <cell r="C18" t="str">
            <v>Michigan State</v>
          </cell>
          <cell r="D18">
            <v>16.631119331501349</v>
          </cell>
          <cell r="E18">
            <v>99.101896527014759</v>
          </cell>
          <cell r="F18">
            <v>98.314439245284362</v>
          </cell>
          <cell r="G18">
            <v>0.56448412698412698</v>
          </cell>
          <cell r="H18">
            <v>70.393939393939391</v>
          </cell>
          <cell r="I18">
            <v>61.090909090909093</v>
          </cell>
          <cell r="J18">
            <v>20.454545454545453</v>
          </cell>
          <cell r="K18">
            <v>11.333333333333334</v>
          </cell>
          <cell r="L18">
            <v>11.636363636363637</v>
          </cell>
          <cell r="M18">
            <v>0</v>
          </cell>
          <cell r="N18">
            <v>19.982154388171562</v>
          </cell>
          <cell r="O18">
            <v>101.32466702184337</v>
          </cell>
          <cell r="P18">
            <v>94.579391423053281</v>
          </cell>
          <cell r="Q18">
            <v>0.53589041095890411</v>
          </cell>
          <cell r="R18">
            <v>66.620645161290327</v>
          </cell>
          <cell r="S18">
            <v>58.87096774193548</v>
          </cell>
          <cell r="T18">
            <v>20.838709677419356</v>
          </cell>
          <cell r="U18">
            <v>12.774193548387096</v>
          </cell>
          <cell r="V18">
            <v>11.35483870967742</v>
          </cell>
          <cell r="W18">
            <v>0</v>
          </cell>
          <cell r="X18">
            <v>5</v>
          </cell>
        </row>
        <row r="19">
          <cell r="A19">
            <v>18</v>
          </cell>
          <cell r="B19" t="str">
            <v>Saint Louis</v>
          </cell>
          <cell r="C19" t="str">
            <v>Michigan</v>
          </cell>
          <cell r="D19">
            <v>12.891007564287897</v>
          </cell>
          <cell r="E19">
            <v>96.587342281204442</v>
          </cell>
          <cell r="F19">
            <v>96.419529699076293</v>
          </cell>
          <cell r="G19">
            <v>0.59935205183585316</v>
          </cell>
          <cell r="H19">
            <v>71.190967741935481</v>
          </cell>
          <cell r="I19">
            <v>59.741935483870968</v>
          </cell>
          <cell r="J19">
            <v>20.741935483870968</v>
          </cell>
          <cell r="K19">
            <v>10.03225806451613</v>
          </cell>
          <cell r="L19">
            <v>12.35483870967742</v>
          </cell>
          <cell r="M19">
            <v>0</v>
          </cell>
          <cell r="N19">
            <v>23.158914646956031</v>
          </cell>
          <cell r="O19">
            <v>98.200984374253366</v>
          </cell>
          <cell r="P19">
            <v>96.383444817292968</v>
          </cell>
          <cell r="Q19">
            <v>0.58467532467532468</v>
          </cell>
          <cell r="R19">
            <v>71.510000000000005</v>
          </cell>
          <cell r="S19">
            <v>60.15625</v>
          </cell>
          <cell r="T19">
            <v>23.53125</v>
          </cell>
          <cell r="U19">
            <v>11.0625</v>
          </cell>
          <cell r="V19">
            <v>12.0625</v>
          </cell>
          <cell r="W19">
            <v>0</v>
          </cell>
          <cell r="X19">
            <v>12.5</v>
          </cell>
        </row>
        <row r="20">
          <cell r="A20">
            <v>19</v>
          </cell>
          <cell r="B20" t="str">
            <v>TCU</v>
          </cell>
          <cell r="C20" t="str">
            <v>Duke</v>
          </cell>
          <cell r="D20">
            <v>12.676356416890858</v>
          </cell>
          <cell r="E20">
            <v>101.27537334728432</v>
          </cell>
          <cell r="F20">
            <v>97.104848064562987</v>
          </cell>
          <cell r="G20">
            <v>0.50900000000000001</v>
          </cell>
          <cell r="H20">
            <v>69.441212121212118</v>
          </cell>
          <cell r="I20">
            <v>60.606060606060609</v>
          </cell>
          <cell r="J20">
            <v>23.454545454545453</v>
          </cell>
          <cell r="K20">
            <v>12.424242424242424</v>
          </cell>
          <cell r="L20">
            <v>10.939393939393939</v>
          </cell>
          <cell r="M20">
            <v>0</v>
          </cell>
          <cell r="N20">
            <v>23.054887624413109</v>
          </cell>
          <cell r="O20">
            <v>101.57301127857072</v>
          </cell>
          <cell r="P20">
            <v>99.414290660558592</v>
          </cell>
          <cell r="Q20">
            <v>0.57213541666666667</v>
          </cell>
          <cell r="R20">
            <v>66.278787878787867</v>
          </cell>
          <cell r="S20">
            <v>58.18181818181818</v>
          </cell>
          <cell r="T20">
            <v>22.121212121212121</v>
          </cell>
          <cell r="U20">
            <v>12.212121212121213</v>
          </cell>
          <cell r="V20">
            <v>10.575757575757576</v>
          </cell>
          <cell r="W20">
            <v>0</v>
          </cell>
          <cell r="X20">
            <v>11.5</v>
          </cell>
        </row>
        <row r="21">
          <cell r="A21">
            <v>20</v>
          </cell>
          <cell r="B21" t="str">
            <v>VCU</v>
          </cell>
          <cell r="C21" t="str">
            <v>Illinois</v>
          </cell>
          <cell r="D21">
            <v>10.280535393881047</v>
          </cell>
          <cell r="E21">
            <v>99.976592216912124</v>
          </cell>
          <cell r="F21">
            <v>99.94980567668172</v>
          </cell>
          <cell r="G21">
            <v>0.54290339989206693</v>
          </cell>
          <cell r="H21">
            <v>68.818749999999994</v>
          </cell>
          <cell r="I21">
            <v>57.90625</v>
          </cell>
          <cell r="J21">
            <v>25.9375</v>
          </cell>
          <cell r="K21">
            <v>11.3125</v>
          </cell>
          <cell r="L21">
            <v>10.8125</v>
          </cell>
          <cell r="M21">
            <v>0</v>
          </cell>
          <cell r="N21">
            <v>18.826343007871433</v>
          </cell>
          <cell r="O21">
            <v>105.08780903665816</v>
          </cell>
          <cell r="P21">
            <v>108.91673393133649</v>
          </cell>
          <cell r="Q21">
            <v>0.5511688311688312</v>
          </cell>
          <cell r="R21">
            <v>66.809032258064519</v>
          </cell>
          <cell r="S21">
            <v>62.096774193548384</v>
          </cell>
          <cell r="T21">
            <v>20.387096774193548</v>
          </cell>
          <cell r="U21">
            <v>13.258064516129032</v>
          </cell>
          <cell r="V21">
            <v>9</v>
          </cell>
          <cell r="W21">
            <v>0</v>
          </cell>
          <cell r="X21">
            <v>11</v>
          </cell>
        </row>
        <row r="22">
          <cell r="A22">
            <v>21</v>
          </cell>
          <cell r="B22" t="str">
            <v>Vanderbilt</v>
          </cell>
          <cell r="C22" t="str">
            <v>Nebraska</v>
          </cell>
          <cell r="D22">
            <v>19.334095266215517</v>
          </cell>
          <cell r="E22">
            <v>100.88210871874095</v>
          </cell>
          <cell r="F22">
            <v>97.473801766777243</v>
          </cell>
          <cell r="G22">
            <v>0.55371690427698572</v>
          </cell>
          <cell r="H22">
            <v>70.61</v>
          </cell>
          <cell r="I22">
            <v>61.375</v>
          </cell>
          <cell r="J22">
            <v>23.6875</v>
          </cell>
          <cell r="K22">
            <v>10.8125</v>
          </cell>
          <cell r="L22">
            <v>9.625</v>
          </cell>
          <cell r="M22">
            <v>0</v>
          </cell>
          <cell r="N22">
            <v>15.82631796216417</v>
          </cell>
          <cell r="O22">
            <v>98.25476089716463</v>
          </cell>
          <cell r="P22">
            <v>102.35159180352665</v>
          </cell>
          <cell r="Q22">
            <v>0.55440552016985134</v>
          </cell>
          <cell r="R22">
            <v>66.883750000000006</v>
          </cell>
          <cell r="S22">
            <v>58.875</v>
          </cell>
          <cell r="T22">
            <v>16</v>
          </cell>
          <cell r="U22">
            <v>8.78125</v>
          </cell>
          <cell r="V22">
            <v>9.75</v>
          </cell>
          <cell r="W22">
            <v>0</v>
          </cell>
          <cell r="X22">
            <v>-2</v>
          </cell>
        </row>
        <row r="23">
          <cell r="A23">
            <v>22</v>
          </cell>
          <cell r="B23" t="str">
            <v>Texas A&amp;M</v>
          </cell>
          <cell r="C23" t="str">
            <v>Houston</v>
          </cell>
          <cell r="D23">
            <v>13.344745551152522</v>
          </cell>
          <cell r="E23">
            <v>101.09664255240216</v>
          </cell>
          <cell r="F23">
            <v>98.213295342640578</v>
          </cell>
          <cell r="G23">
            <v>0.54188861985472159</v>
          </cell>
          <cell r="H23">
            <v>73.739999999999995</v>
          </cell>
          <cell r="I23">
            <v>64.53125</v>
          </cell>
          <cell r="J23">
            <v>24.125</v>
          </cell>
          <cell r="K23">
            <v>12.25</v>
          </cell>
          <cell r="L23">
            <v>10.84375</v>
          </cell>
          <cell r="M23">
            <v>0</v>
          </cell>
          <cell r="N23">
            <v>20.901069562815731</v>
          </cell>
          <cell r="O23">
            <v>105.43571389837862</v>
          </cell>
          <cell r="P23">
            <v>97.084637989347655</v>
          </cell>
          <cell r="Q23">
            <v>0.52154080081094778</v>
          </cell>
          <cell r="R23">
            <v>64.762500000000003</v>
          </cell>
          <cell r="S23">
            <v>61.65625</v>
          </cell>
          <cell r="T23">
            <v>16.71875</v>
          </cell>
          <cell r="U23">
            <v>12.78125</v>
          </cell>
          <cell r="V23">
            <v>8.53125</v>
          </cell>
          <cell r="W23">
            <v>0</v>
          </cell>
          <cell r="X23">
            <v>10.5</v>
          </cell>
        </row>
        <row r="24">
          <cell r="A24">
            <v>23</v>
          </cell>
          <cell r="B24" t="str">
            <v>High Point</v>
          </cell>
          <cell r="C24" t="str">
            <v>Arkansas</v>
          </cell>
          <cell r="D24">
            <v>9.7914064574296606</v>
          </cell>
          <cell r="E24">
            <v>102.08135263134599</v>
          </cell>
          <cell r="F24">
            <v>95.473025683474958</v>
          </cell>
          <cell r="G24">
            <v>0.56606463878326996</v>
          </cell>
          <cell r="H24">
            <v>71.407058823529411</v>
          </cell>
          <cell r="I24">
            <v>61.882352941176471</v>
          </cell>
          <cell r="J24">
            <v>26.794117647058822</v>
          </cell>
          <cell r="K24">
            <v>11.617647058823529</v>
          </cell>
          <cell r="L24">
            <v>9.3529411764705888</v>
          </cell>
          <cell r="M24">
            <v>0</v>
          </cell>
          <cell r="N24">
            <v>19.899076876872613</v>
          </cell>
          <cell r="O24">
            <v>101.9693472090823</v>
          </cell>
          <cell r="P24">
            <v>97.545722643013036</v>
          </cell>
          <cell r="Q24">
            <v>0.56447688564476883</v>
          </cell>
          <cell r="R24">
            <v>72.41</v>
          </cell>
          <cell r="S24">
            <v>64.21875</v>
          </cell>
          <cell r="T24">
            <v>23.375</v>
          </cell>
          <cell r="U24">
            <v>11.0625</v>
          </cell>
          <cell r="V24">
            <v>8.96875</v>
          </cell>
          <cell r="W24">
            <v>0</v>
          </cell>
          <cell r="X24">
            <v>11.5</v>
          </cell>
        </row>
        <row r="25">
          <cell r="A25">
            <v>24</v>
          </cell>
          <cell r="B25" t="str">
            <v>Texas</v>
          </cell>
          <cell r="C25" t="str">
            <v>Gonzaga</v>
          </cell>
          <cell r="D25">
            <v>14.532052109666417</v>
          </cell>
          <cell r="E25">
            <v>100.55048907489414</v>
          </cell>
          <cell r="F25">
            <v>96.670144874968173</v>
          </cell>
          <cell r="G25">
            <v>0.5496777658431794</v>
          </cell>
          <cell r="H25">
            <v>68.81</v>
          </cell>
          <cell r="I25">
            <v>58.1875</v>
          </cell>
          <cell r="J25">
            <v>26.34375</v>
          </cell>
          <cell r="K25">
            <v>12</v>
          </cell>
          <cell r="L25">
            <v>11.03125</v>
          </cell>
          <cell r="M25">
            <v>0</v>
          </cell>
          <cell r="N25">
            <v>20.959854873623506</v>
          </cell>
          <cell r="O25">
            <v>102.65043408841434</v>
          </cell>
          <cell r="P25">
            <v>86.043703668873505</v>
          </cell>
          <cell r="Q25">
            <v>0.56074766355140182</v>
          </cell>
          <cell r="R25">
            <v>69.724999999999994</v>
          </cell>
          <cell r="S25">
            <v>63.53125</v>
          </cell>
          <cell r="T25">
            <v>19.6875</v>
          </cell>
          <cell r="U25">
            <v>12.03125</v>
          </cell>
          <cell r="V25">
            <v>9.5625</v>
          </cell>
          <cell r="W25">
            <v>0</v>
          </cell>
          <cell r="X25">
            <v>6.5</v>
          </cell>
        </row>
        <row r="26">
          <cell r="A26">
            <v>25</v>
          </cell>
          <cell r="B26" t="str">
            <v>Texas Tech</v>
          </cell>
          <cell r="C26" t="str">
            <v>Alabama</v>
          </cell>
          <cell r="D26">
            <v>17.052374181699321</v>
          </cell>
          <cell r="E26">
            <v>100.51882408229335</v>
          </cell>
          <cell r="F26">
            <v>104.30065451536628</v>
          </cell>
          <cell r="G26">
            <v>0.56166837256908908</v>
          </cell>
          <cell r="H26">
            <v>67.617500000000007</v>
          </cell>
          <cell r="I26">
            <v>61.0625</v>
          </cell>
          <cell r="J26">
            <v>16.53125</v>
          </cell>
          <cell r="K26">
            <v>11.53125</v>
          </cell>
          <cell r="L26">
            <v>10.8125</v>
          </cell>
          <cell r="M26">
            <v>0</v>
          </cell>
          <cell r="N26">
            <v>19.673613604820769</v>
          </cell>
          <cell r="O26">
            <v>102.29455081001471</v>
          </cell>
          <cell r="P26">
            <v>103.71887375881523</v>
          </cell>
          <cell r="Q26">
            <v>0.55384250474383301</v>
          </cell>
          <cell r="R26">
            <v>74.217500000000001</v>
          </cell>
          <cell r="S26">
            <v>65.875</v>
          </cell>
          <cell r="T26">
            <v>24.5</v>
          </cell>
          <cell r="U26">
            <v>12.21875</v>
          </cell>
          <cell r="V26">
            <v>9.78125</v>
          </cell>
          <cell r="W26">
            <v>0</v>
          </cell>
          <cell r="X26">
            <v>-1.5</v>
          </cell>
        </row>
        <row r="27">
          <cell r="A27">
            <v>26</v>
          </cell>
          <cell r="B27" t="str">
            <v>Iowa</v>
          </cell>
          <cell r="C27" t="str">
            <v>Florida</v>
          </cell>
          <cell r="D27">
            <v>15.51511812576733</v>
          </cell>
          <cell r="E27">
            <v>98.238539943433466</v>
          </cell>
          <cell r="F27">
            <v>93.168875634820807</v>
          </cell>
          <cell r="G27">
            <v>0.56555993247045577</v>
          </cell>
          <cell r="H27">
            <v>62.900606060606066</v>
          </cell>
          <cell r="I27">
            <v>53.848484848484851</v>
          </cell>
          <cell r="J27">
            <v>18.575757575757574</v>
          </cell>
          <cell r="K27">
            <v>8.8181818181818183</v>
          </cell>
          <cell r="L27">
            <v>9.6969696969696972</v>
          </cell>
          <cell r="M27">
            <v>0</v>
          </cell>
          <cell r="N27">
            <v>22.650454216704585</v>
          </cell>
          <cell r="O27">
            <v>104.38676700269771</v>
          </cell>
          <cell r="P27">
            <v>99.448258680413886</v>
          </cell>
          <cell r="Q27">
            <v>0.53652636671504594</v>
          </cell>
          <cell r="R27">
            <v>71.564999999999998</v>
          </cell>
          <cell r="S27">
            <v>64.59375</v>
          </cell>
          <cell r="T27">
            <v>25.21875</v>
          </cell>
          <cell r="U27">
            <v>15.96875</v>
          </cell>
          <cell r="V27">
            <v>11.84375</v>
          </cell>
          <cell r="W27">
            <v>0</v>
          </cell>
          <cell r="X27">
            <v>10.5</v>
          </cell>
        </row>
        <row r="28">
          <cell r="A28">
            <v>27</v>
          </cell>
          <cell r="B28" t="str">
            <v>UCLA</v>
          </cell>
          <cell r="C28" t="str">
            <v>Uconn</v>
          </cell>
          <cell r="D28">
            <v>15.943406980069799</v>
          </cell>
          <cell r="E28">
            <v>100.85863980873899</v>
          </cell>
          <cell r="F28">
            <v>91.898292422931632</v>
          </cell>
          <cell r="G28">
            <v>0.54047742605085625</v>
          </cell>
          <cell r="H28">
            <v>65.963636363636368</v>
          </cell>
          <cell r="I28">
            <v>58.393939393939391</v>
          </cell>
          <cell r="J28">
            <v>19.545454545454547</v>
          </cell>
          <cell r="K28">
            <v>10</v>
          </cell>
          <cell r="L28">
            <v>8.9696969696969688</v>
          </cell>
          <cell r="M28">
            <v>0</v>
          </cell>
          <cell r="N28">
            <v>18.120431537245491</v>
          </cell>
          <cell r="O28">
            <v>100.0952772073922</v>
          </cell>
          <cell r="P28">
            <v>94.261774983054991</v>
          </cell>
          <cell r="Q28">
            <v>0.55882352941176472</v>
          </cell>
          <cell r="R28">
            <v>66.089696969696973</v>
          </cell>
          <cell r="S28">
            <v>58.727272727272727</v>
          </cell>
          <cell r="T28">
            <v>17.696969696969695</v>
          </cell>
          <cell r="U28">
            <v>11.454545454545455</v>
          </cell>
          <cell r="V28">
            <v>11.030303030303031</v>
          </cell>
          <cell r="W28">
            <v>0</v>
          </cell>
          <cell r="X28">
            <v>4</v>
          </cell>
        </row>
        <row r="29">
          <cell r="A29">
            <v>28</v>
          </cell>
          <cell r="B29" t="str">
            <v>Tennessee</v>
          </cell>
          <cell r="C29" t="str">
            <v>Virginia</v>
          </cell>
          <cell r="D29">
            <v>20.582457175121956</v>
          </cell>
          <cell r="E29">
            <v>105.02195491662999</v>
          </cell>
          <cell r="F29">
            <v>93.637950339797769</v>
          </cell>
          <cell r="G29">
            <v>0.51561725334655428</v>
          </cell>
          <cell r="H29">
            <v>67.170909090909092</v>
          </cell>
          <cell r="I29">
            <v>61.121212121212125</v>
          </cell>
          <cell r="J29">
            <v>23.666666666666668</v>
          </cell>
          <cell r="K29">
            <v>16.030303030303031</v>
          </cell>
          <cell r="L29">
            <v>11.666666666666666</v>
          </cell>
          <cell r="M29">
            <v>0</v>
          </cell>
          <cell r="N29">
            <v>12.898930744177012</v>
          </cell>
          <cell r="O29">
            <v>102.74660271782574</v>
          </cell>
          <cell r="P29">
            <v>105.30602921182151</v>
          </cell>
          <cell r="Q29">
            <v>0.54717923115327005</v>
          </cell>
          <cell r="R29">
            <v>67.065454545454543</v>
          </cell>
          <cell r="S29">
            <v>60.696969696969695</v>
          </cell>
          <cell r="T29">
            <v>20.121212121212121</v>
          </cell>
          <cell r="U29">
            <v>13.272727272727273</v>
          </cell>
          <cell r="V29">
            <v>10.787878787878787</v>
          </cell>
          <cell r="W29">
            <v>0</v>
          </cell>
          <cell r="X29">
            <v>-1</v>
          </cell>
        </row>
        <row r="30">
          <cell r="A30">
            <v>29</v>
          </cell>
          <cell r="B30" t="str">
            <v>Miami</v>
          </cell>
          <cell r="C30" t="str">
            <v>Purdue</v>
          </cell>
          <cell r="D30">
            <v>12.238890418004498</v>
          </cell>
          <cell r="E30">
            <v>100.74202898550723</v>
          </cell>
          <cell r="F30">
            <v>98.35968575523485</v>
          </cell>
          <cell r="G30">
            <v>0.55597771023302933</v>
          </cell>
          <cell r="H30">
            <v>68.654545454545456</v>
          </cell>
          <cell r="I30">
            <v>59.81818181818182</v>
          </cell>
          <cell r="J30">
            <v>22.424242424242426</v>
          </cell>
          <cell r="K30">
            <v>12.242424242424242</v>
          </cell>
          <cell r="L30">
            <v>11.212121212121213</v>
          </cell>
          <cell r="M30">
            <v>0</v>
          </cell>
          <cell r="N30">
            <v>20.933350618351088</v>
          </cell>
          <cell r="O30">
            <v>102.749921687376</v>
          </cell>
          <cell r="P30">
            <v>101.56518525976452</v>
          </cell>
          <cell r="Q30">
            <v>0.5771558245083207</v>
          </cell>
          <cell r="R30">
            <v>65.197575757575763</v>
          </cell>
          <cell r="S30">
            <v>60.090909090909093</v>
          </cell>
          <cell r="T30">
            <v>16.90909090909091</v>
          </cell>
          <cell r="U30">
            <v>11.363636363636363</v>
          </cell>
          <cell r="V30">
            <v>9.0303030303030312</v>
          </cell>
          <cell r="W30">
            <v>0</v>
          </cell>
          <cell r="X30">
            <v>7.5</v>
          </cell>
        </row>
        <row r="31">
          <cell r="A31">
            <v>30</v>
          </cell>
          <cell r="B31" t="str">
            <v>Kentucky</v>
          </cell>
          <cell r="C31" t="str">
            <v>Iowa State</v>
          </cell>
          <cell r="D31">
            <v>18.034523649586539</v>
          </cell>
          <cell r="E31">
            <v>101.2517590047062</v>
          </cell>
          <cell r="F31">
            <v>98.419793855345077</v>
          </cell>
          <cell r="G31">
            <v>0.53111327175498302</v>
          </cell>
          <cell r="H31">
            <v>69.036470588235289</v>
          </cell>
          <cell r="I31">
            <v>60.5</v>
          </cell>
          <cell r="J31">
            <v>22.676470588235293</v>
          </cell>
          <cell r="K31">
            <v>11.941176470588236</v>
          </cell>
          <cell r="L31">
            <v>10.5</v>
          </cell>
          <cell r="M31">
            <v>0</v>
          </cell>
          <cell r="N31">
            <v>20.641493911570723</v>
          </cell>
          <cell r="O31">
            <v>101.50134460238188</v>
          </cell>
          <cell r="P31">
            <v>96.951162965358421</v>
          </cell>
          <cell r="Q31">
            <v>0.56497313141182215</v>
          </cell>
          <cell r="R31">
            <v>67.654117647058825</v>
          </cell>
          <cell r="S31">
            <v>60.205882352941174</v>
          </cell>
          <cell r="T31">
            <v>20.470588235294116</v>
          </cell>
          <cell r="U31">
            <v>11.823529411764707</v>
          </cell>
          <cell r="V31">
            <v>10.264705882352942</v>
          </cell>
          <cell r="W31">
            <v>0</v>
          </cell>
          <cell r="X31">
            <v>5</v>
          </cell>
        </row>
        <row r="32">
          <cell r="A32">
            <v>31</v>
          </cell>
          <cell r="B32" t="str">
            <v>St. John's</v>
          </cell>
          <cell r="C32" t="str">
            <v>Kansas</v>
          </cell>
          <cell r="D32">
            <v>15.123966744544841</v>
          </cell>
          <cell r="E32">
            <v>102.62076624097725</v>
          </cell>
          <cell r="F32">
            <v>99.067983608660882</v>
          </cell>
          <cell r="G32">
            <v>0.50957290132547861</v>
          </cell>
          <cell r="H32">
            <v>70.527272727272731</v>
          </cell>
          <cell r="I32">
            <v>61.727272727272727</v>
          </cell>
          <cell r="J32">
            <v>26.060606060606062</v>
          </cell>
          <cell r="K32">
            <v>13.242424242424242</v>
          </cell>
          <cell r="L32">
            <v>10.575757575757576</v>
          </cell>
          <cell r="M32">
            <v>0</v>
          </cell>
          <cell r="N32">
            <v>16.809475334579385</v>
          </cell>
          <cell r="O32">
            <v>98.782531105933685</v>
          </cell>
          <cell r="P32">
            <v>105.39233290147665</v>
          </cell>
          <cell r="Q32">
            <v>0.51565708418891165</v>
          </cell>
          <cell r="R32">
            <v>68.042424242424246</v>
          </cell>
          <cell r="S32">
            <v>59.030303030303031</v>
          </cell>
          <cell r="T32">
            <v>19.242424242424242</v>
          </cell>
          <cell r="U32">
            <v>10.121212121212121</v>
          </cell>
          <cell r="V32">
            <v>10.666666666666666</v>
          </cell>
          <cell r="W32">
            <v>0</v>
          </cell>
          <cell r="X32">
            <v>-3.5</v>
          </cell>
        </row>
        <row r="33">
          <cell r="A33">
            <v>32</v>
          </cell>
          <cell r="B33" t="str">
            <v>Utah State</v>
          </cell>
          <cell r="C33" t="str">
            <v>Arizona</v>
          </cell>
          <cell r="D33">
            <v>16.287809545840613</v>
          </cell>
          <cell r="E33">
            <v>99.539689712306071</v>
          </cell>
          <cell r="F33">
            <v>89.1227776403734</v>
          </cell>
          <cell r="G33">
            <v>0.5741935483870968</v>
          </cell>
          <cell r="H33">
            <v>67.972499999999997</v>
          </cell>
          <cell r="I33">
            <v>58.125</v>
          </cell>
          <cell r="J33">
            <v>22.59375</v>
          </cell>
          <cell r="K33">
            <v>10.65625</v>
          </cell>
          <cell r="L33">
            <v>10.5625</v>
          </cell>
          <cell r="M33">
            <v>0</v>
          </cell>
          <cell r="N33">
            <v>23.687310951598352</v>
          </cell>
          <cell r="O33">
            <v>101.76807841686704</v>
          </cell>
          <cell r="P33">
            <v>98.493332637771204</v>
          </cell>
          <cell r="Q33">
            <v>0.55109126984126988</v>
          </cell>
          <cell r="R33">
            <v>70.587878787878793</v>
          </cell>
          <cell r="S33">
            <v>61.090909090909093</v>
          </cell>
          <cell r="T33">
            <v>26.060606060606062</v>
          </cell>
          <cell r="U33">
            <v>12.878787878787879</v>
          </cell>
          <cell r="V33">
            <v>10.909090909090908</v>
          </cell>
          <cell r="W33">
            <v>0</v>
          </cell>
          <cell r="X33">
            <v>11.5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7"/>
  <sheetViews>
    <sheetView tabSelected="1" workbookViewId="0">
      <selection activeCell="I10" sqref="I10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1</v>
      </c>
      <c r="B2" s="6" t="str">
        <f>VLOOKUP(A2,[1]Games!$B$2:$K$398,2,FALSE)</f>
        <v>Michigan State</v>
      </c>
      <c r="C2" s="6" t="str">
        <f>VLOOKUP(A2,[1]Games!$B$2:$K$398,3,FALSE)</f>
        <v>Louisville</v>
      </c>
      <c r="D2" s="6" t="str">
        <f>B2</f>
        <v>Michigan State</v>
      </c>
      <c r="E2" s="5">
        <f>VLOOKUP(A2,[1]Games!$B$2:$K$398,4,FALSE)</f>
        <v>7.6237974976589866</v>
      </c>
      <c r="F2" s="5">
        <f>-VLOOKUP(A2,[2]Games!$A$2:$X$284,24,FALSE)</f>
        <v>5</v>
      </c>
      <c r="G2" s="7">
        <f>VLOOKUP(A2,[1]Games!$B$2:$K$398,9,FALSE)</f>
        <v>0.39498384438829071</v>
      </c>
      <c r="H2" s="7">
        <f>VLOOKUP(A2,[1]Games!$B$2:$K$398,7,FALSE)</f>
        <v>0</v>
      </c>
      <c r="I2" s="7">
        <f>VLOOKUP(A2,[1]Games!$B$2:$K$398,8,FALSE)/4</f>
        <v>1.9720872128491079E-2</v>
      </c>
      <c r="J2" s="8" t="s">
        <v>443</v>
      </c>
      <c r="K2" s="9">
        <f>IF(J2="Yes",(H2*1500)/100,0)</f>
        <v>0</v>
      </c>
      <c r="L2" s="1" t="s">
        <v>444</v>
      </c>
    </row>
    <row r="3" spans="1:12" x14ac:dyDescent="0.2">
      <c r="A3" s="1">
        <v>2</v>
      </c>
      <c r="B3" s="6" t="str">
        <f>VLOOKUP(A3,[1]Games!$B$2:$K$398,2,FALSE)</f>
        <v>Michigan</v>
      </c>
      <c r="C3" s="6" t="str">
        <f>VLOOKUP(A3,[1]Games!$B$2:$K$398,3,FALSE)</f>
        <v>Saint Louis</v>
      </c>
      <c r="D3" s="6" t="str">
        <f t="shared" ref="D3:D9" si="0">B3</f>
        <v>Michigan</v>
      </c>
      <c r="E3" s="5">
        <f>VLOOKUP(A3,[1]Games!$B$2:$K$398,4,FALSE)</f>
        <v>14.976006036963041</v>
      </c>
      <c r="F3" s="5">
        <f>-VLOOKUP(A3,[2]Games!$A$2:$X$284,24,FALSE)</f>
        <v>12.5</v>
      </c>
      <c r="G3" s="7">
        <f>VLOOKUP(A3,[1]Games!$B$2:$K$398,9,FALSE)</f>
        <v>0.58389146809910786</v>
      </c>
      <c r="H3" s="7">
        <f>VLOOKUP(A3,[1]Games!$B$2:$K$398,7,FALSE)</f>
        <v>0</v>
      </c>
      <c r="I3" s="7">
        <f>VLOOKUP(A3,[1]Games!$B$2:$K$398,8,FALSE)/4</f>
        <v>1.6113502052682332E-2</v>
      </c>
      <c r="J3" s="8" t="s">
        <v>443</v>
      </c>
      <c r="K3" s="9">
        <f t="shared" ref="K3:K9" si="1">IF(J3="Yes",(H3*1500)/100,0)</f>
        <v>0</v>
      </c>
    </row>
    <row r="4" spans="1:12" x14ac:dyDescent="0.2">
      <c r="A4" s="1">
        <v>3</v>
      </c>
      <c r="B4" s="6" t="str">
        <f>VLOOKUP(A4,[1]Games!$B$2:$K$398,2,FALSE)</f>
        <v>Duke</v>
      </c>
      <c r="C4" s="6" t="str">
        <f>VLOOKUP(A4,[1]Games!$B$2:$K$398,3,FALSE)</f>
        <v>TCU</v>
      </c>
      <c r="D4" s="6" t="str">
        <f t="shared" si="0"/>
        <v>Duke</v>
      </c>
      <c r="E4" s="5">
        <f>VLOOKUP(A4,[1]Games!$B$2:$K$398,4,FALSE)</f>
        <v>16.156515841644939</v>
      </c>
      <c r="F4" s="5">
        <f>-VLOOKUP(A4,[2]Games!$A$2:$X$284,24,FALSE)</f>
        <v>11.5</v>
      </c>
      <c r="G4" s="7">
        <f>VLOOKUP(A4,[1]Games!$B$2:$K$398,9,FALSE)</f>
        <v>0.68835260367062623</v>
      </c>
      <c r="H4" s="7">
        <f>VLOOKUP(A4,[1]Games!$B$2:$K$398,7,FALSE)</f>
        <v>0</v>
      </c>
      <c r="I4" s="7">
        <f>VLOOKUP(A4,[1]Games!$B$2:$K$398,8,FALSE)/4</f>
        <v>3.6432217816580577E-2</v>
      </c>
      <c r="J4" s="8" t="s">
        <v>443</v>
      </c>
      <c r="K4" s="9">
        <f t="shared" si="1"/>
        <v>0</v>
      </c>
    </row>
    <row r="5" spans="1:12" x14ac:dyDescent="0.2">
      <c r="A5" s="1">
        <v>4</v>
      </c>
      <c r="B5" s="6" t="str">
        <f>VLOOKUP(A5,[1]Games!$B$2:$K$398,2,FALSE)</f>
        <v>Illinois</v>
      </c>
      <c r="C5" s="6" t="str">
        <f>VLOOKUP(A5,[1]Games!$B$2:$K$398,3,FALSE)</f>
        <v>VCU</v>
      </c>
      <c r="D5" s="6" t="str">
        <f t="shared" si="0"/>
        <v>Illinois</v>
      </c>
      <c r="E5" s="5">
        <f>VLOOKUP(A5,[1]Games!$B$2:$K$398,4,FALSE)</f>
        <v>14.13897968992198</v>
      </c>
      <c r="F5" s="5">
        <f>-VLOOKUP(A5,[2]Games!$A$2:$X$284,24,FALSE)</f>
        <v>11</v>
      </c>
      <c r="G5" s="7">
        <f>VLOOKUP(A5,[1]Games!$B$2:$K$398,9,FALSE)</f>
        <v>0.59272854171055356</v>
      </c>
      <c r="H5" s="7">
        <f>VLOOKUP(A5,[1]Games!$B$2:$K$398,7,FALSE)</f>
        <v>0</v>
      </c>
      <c r="I5" s="7">
        <f>VLOOKUP(A5,[1]Games!$B$2:$K$398,8,FALSE)/4</f>
        <v>2.32080108365606E-2</v>
      </c>
      <c r="J5" s="8" t="s">
        <v>443</v>
      </c>
      <c r="K5" s="9">
        <f t="shared" si="1"/>
        <v>0</v>
      </c>
    </row>
    <row r="6" spans="1:12" x14ac:dyDescent="0.2">
      <c r="A6" s="1">
        <v>5</v>
      </c>
      <c r="B6" s="6" t="str">
        <f>VLOOKUP(A6,[1]Games!$B$2:$K$398,2,FALSE)</f>
        <v>Nebraska</v>
      </c>
      <c r="C6" s="6" t="str">
        <f>VLOOKUP(A6,[1]Games!$B$2:$K$398,3,FALSE)</f>
        <v>Vanderbilt</v>
      </c>
      <c r="D6" s="6" t="str">
        <f t="shared" si="0"/>
        <v>Nebraska</v>
      </c>
      <c r="E6" s="5">
        <f>VLOOKUP(A6,[1]Games!$B$2:$K$398,4,FALSE)</f>
        <v>-1.470916172407954</v>
      </c>
      <c r="F6" s="5">
        <f>-VLOOKUP(A6,[2]Games!$A$2:$X$284,24,FALSE)</f>
        <v>-2</v>
      </c>
      <c r="G6" s="7">
        <f>VLOOKUP(A6,[1]Games!$B$2:$K$398,9,FALSE)</f>
        <v>1.5691879196898632E-2</v>
      </c>
      <c r="H6" s="7">
        <f>VLOOKUP(A6,[1]Games!$B$2:$K$398,7,FALSE)</f>
        <v>0</v>
      </c>
      <c r="I6" s="7">
        <f>VLOOKUP(A6,[1]Games!$B$2:$K$398,8,FALSE)/4</f>
        <v>-5.0685448851996153E-3</v>
      </c>
      <c r="J6" s="8" t="s">
        <v>443</v>
      </c>
      <c r="K6" s="9">
        <f t="shared" si="1"/>
        <v>0</v>
      </c>
    </row>
    <row r="7" spans="1:12" x14ac:dyDescent="0.2">
      <c r="A7" s="1">
        <v>6</v>
      </c>
      <c r="B7" s="6" t="str">
        <f>VLOOKUP(A7,[1]Games!$B$2:$K$398,2,FALSE)</f>
        <v>Houston</v>
      </c>
      <c r="C7" s="6" t="str">
        <f>VLOOKUP(A7,[1]Games!$B$2:$K$398,3,FALSE)</f>
        <v>Texas A&amp;M</v>
      </c>
      <c r="D7" s="6" t="str">
        <f t="shared" si="0"/>
        <v>Houston</v>
      </c>
      <c r="E7" s="5">
        <f>VLOOKUP(A7,[1]Games!$B$2:$K$398,4,FALSE)</f>
        <v>12.49051257771263</v>
      </c>
      <c r="F7" s="5">
        <f>-VLOOKUP(A7,[2]Games!$A$2:$X$284,24,FALSE)</f>
        <v>10.5</v>
      </c>
      <c r="G7" s="7">
        <f>VLOOKUP(A7,[1]Games!$B$2:$K$398,9,FALSE)</f>
        <v>0.50131716872622822</v>
      </c>
      <c r="H7" s="7">
        <f>VLOOKUP(A7,[1]Games!$B$2:$K$398,7,FALSE)</f>
        <v>0</v>
      </c>
      <c r="I7" s="7">
        <f>VLOOKUP(A7,[1]Games!$B$2:$K$398,8,FALSE)/4</f>
        <v>1.1851731352758644E-2</v>
      </c>
      <c r="J7" s="8" t="s">
        <v>443</v>
      </c>
      <c r="K7" s="9">
        <f t="shared" si="1"/>
        <v>0</v>
      </c>
    </row>
    <row r="8" spans="1:12" x14ac:dyDescent="0.2">
      <c r="A8" s="1">
        <v>7</v>
      </c>
      <c r="B8" s="6" t="str">
        <f>VLOOKUP(A8,[1]Games!$B$2:$K$398,2,FALSE)</f>
        <v>Arkansas</v>
      </c>
      <c r="C8" s="6" t="str">
        <f>VLOOKUP(A8,[1]Games!$B$2:$K$398,3,FALSE)</f>
        <v>High Point</v>
      </c>
      <c r="D8" s="6" t="str">
        <f t="shared" si="0"/>
        <v>Arkansas</v>
      </c>
      <c r="E8" s="5">
        <f>VLOOKUP(A8,[1]Games!$B$2:$K$398,4,FALSE)</f>
        <v>14.409404039669781</v>
      </c>
      <c r="F8" s="5">
        <f>-VLOOKUP(A8,[2]Games!$A$2:$X$284,24,FALSE)</f>
        <v>11.5</v>
      </c>
      <c r="G8" s="7">
        <f>VLOOKUP(A8,[1]Games!$B$2:$K$398,9,FALSE)</f>
        <v>0.58925228425349863</v>
      </c>
      <c r="H8" s="7">
        <f>VLOOKUP(A8,[1]Games!$B$2:$K$398,7,FALSE)</f>
        <v>0</v>
      </c>
      <c r="I8" s="7">
        <f>VLOOKUP(A8,[1]Games!$B$2:$K$398,8,FALSE)/4</f>
        <v>2.0773826597078215E-2</v>
      </c>
      <c r="J8" s="8" t="s">
        <v>443</v>
      </c>
      <c r="K8" s="9">
        <f t="shared" si="1"/>
        <v>0</v>
      </c>
    </row>
    <row r="9" spans="1:12" x14ac:dyDescent="0.2">
      <c r="A9" s="1">
        <v>8</v>
      </c>
      <c r="B9" s="6" t="str">
        <f>VLOOKUP(A9,[1]Games!$B$2:$K$398,2,FALSE)</f>
        <v>Gonzaga</v>
      </c>
      <c r="C9" s="6" t="str">
        <f>VLOOKUP(A9,[1]Games!$B$2:$K$398,3,FALSE)</f>
        <v>Texas</v>
      </c>
      <c r="D9" s="6" t="str">
        <f t="shared" si="0"/>
        <v>Gonzaga</v>
      </c>
      <c r="E9" s="5">
        <f>VLOOKUP(A9,[1]Games!$B$2:$K$398,4,FALSE)</f>
        <v>8.8326972336325653</v>
      </c>
      <c r="F9" s="5">
        <f>-VLOOKUP(A9,[2]Games!$A$2:$X$284,24,FALSE)</f>
        <v>6.5</v>
      </c>
      <c r="G9" s="7">
        <f>VLOOKUP(A9,[1]Games!$B$2:$K$398,9,FALSE)</f>
        <v>0.41516446029663578</v>
      </c>
      <c r="H9" s="7">
        <f>VLOOKUP(A9,[1]Games!$B$2:$K$398,7,FALSE)</f>
        <v>0</v>
      </c>
      <c r="I9" s="7">
        <f>VLOOKUP(A9,[1]Games!$B$2:$K$398,8,FALSE)/4</f>
        <v>1.6298053686601782E-2</v>
      </c>
      <c r="J9" s="8" t="s">
        <v>443</v>
      </c>
      <c r="K9" s="9">
        <f t="shared" si="1"/>
        <v>0</v>
      </c>
    </row>
    <row r="10" spans="1:12" x14ac:dyDescent="0.2">
      <c r="A10" s="1">
        <v>9</v>
      </c>
      <c r="B10" s="6" t="str">
        <f>VLOOKUP(A10,[1]Games!$B$2:$K$398,2,FALSE)</f>
        <v>Alabama</v>
      </c>
      <c r="C10" s="6" t="str">
        <f>VLOOKUP(A10,[1]Games!$B$2:$K$398,3,FALSE)</f>
        <v>Texas Tech</v>
      </c>
      <c r="D10" s="6" t="str">
        <f t="shared" ref="D10:D13" si="2">B10</f>
        <v>Alabama</v>
      </c>
      <c r="E10" s="5">
        <f>VLOOKUP(A10,[1]Games!$B$2:$K$398,4,FALSE)</f>
        <v>2.502891974829939</v>
      </c>
      <c r="F10" s="5">
        <f>-VLOOKUP(A10,[2]Games!$A$2:$X$284,24,FALSE)</f>
        <v>-1.5</v>
      </c>
      <c r="G10" s="7">
        <f>VLOOKUP(A10,[1]Games!$B$2:$K$398,9,FALSE)</f>
        <v>0.31628008750747999</v>
      </c>
      <c r="H10" s="7">
        <f>VLOOKUP(A10,[1]Games!$B$2:$K$398,7,FALSE)</f>
        <v>0</v>
      </c>
      <c r="I10" s="7">
        <f>VLOOKUP(A10,[1]Games!$B$2:$K$398,8,FALSE)/4</f>
        <v>3.5779556566005427E-2</v>
      </c>
      <c r="J10" s="8" t="s">
        <v>443</v>
      </c>
      <c r="K10" s="9">
        <f t="shared" ref="K10:K13" si="3">IF(J10="Yes",(H10*1500)/100,0)</f>
        <v>0</v>
      </c>
    </row>
    <row r="11" spans="1:12" x14ac:dyDescent="0.2">
      <c r="A11" s="1">
        <v>10</v>
      </c>
      <c r="B11" s="6" t="str">
        <f>VLOOKUP(A11,[1]Games!$B$2:$K$398,2,FALSE)</f>
        <v>Florida</v>
      </c>
      <c r="C11" s="6" t="str">
        <f>VLOOKUP(A11,[1]Games!$B$2:$K$398,3,FALSE)</f>
        <v>Iowa</v>
      </c>
      <c r="D11" s="6" t="str">
        <f t="shared" si="2"/>
        <v>Florida</v>
      </c>
      <c r="E11" s="5">
        <f>VLOOKUP(A11,[1]Games!$B$2:$K$398,4,FALSE)</f>
        <v>11.194715824766851</v>
      </c>
      <c r="F11" s="5">
        <f>-VLOOKUP(A11,[2]Games!$A$2:$X$284,24,FALSE)</f>
        <v>10.5</v>
      </c>
      <c r="G11" s="7">
        <f>VLOOKUP(A11,[1]Games!$B$2:$K$398,9,FALSE)</f>
        <v>0.39463016781725763</v>
      </c>
      <c r="H11" s="7">
        <f>VLOOKUP(A11,[1]Games!$B$2:$K$398,7,FALSE)</f>
        <v>0</v>
      </c>
      <c r="I11" s="7">
        <f>VLOOKUP(A11,[1]Games!$B$2:$K$398,8,FALSE)/4</f>
        <v>-3.0989295923022899E-3</v>
      </c>
      <c r="J11" s="8" t="s">
        <v>443</v>
      </c>
      <c r="K11" s="9">
        <f t="shared" si="3"/>
        <v>0</v>
      </c>
    </row>
    <row r="12" spans="1:12" x14ac:dyDescent="0.2">
      <c r="A12" s="1">
        <v>11</v>
      </c>
      <c r="B12" s="6" t="str">
        <f>VLOOKUP(A12,[1]Games!$B$2:$K$398,2,FALSE)</f>
        <v>Uconn</v>
      </c>
      <c r="C12" s="6" t="str">
        <f>VLOOKUP(A12,[1]Games!$B$2:$K$398,3,FALSE)</f>
        <v>UCLA</v>
      </c>
      <c r="D12" s="6" t="str">
        <f t="shared" si="2"/>
        <v>Uconn</v>
      </c>
      <c r="E12" s="5">
        <f>VLOOKUP(A12,[1]Games!$B$2:$K$398,4,FALSE)</f>
        <v>5.3911348172284379</v>
      </c>
      <c r="F12" s="5">
        <f>-VLOOKUP(A12,[2]Games!$A$2:$X$284,24,FALSE)</f>
        <v>4</v>
      </c>
      <c r="G12" s="7">
        <f>VLOOKUP(A12,[1]Games!$B$2:$K$398,9,FALSE)</f>
        <v>0.25478768357222198</v>
      </c>
      <c r="H12" s="7">
        <f>VLOOKUP(A12,[1]Games!$B$2:$K$398,7,FALSE)</f>
        <v>0</v>
      </c>
      <c r="I12" s="7">
        <f>VLOOKUP(A12,[1]Games!$B$2:$K$398,8,FALSE)/4</f>
        <v>5.1704048443900752E-3</v>
      </c>
      <c r="J12" s="8" t="s">
        <v>443</v>
      </c>
      <c r="K12" s="9">
        <f t="shared" si="3"/>
        <v>0</v>
      </c>
    </row>
    <row r="13" spans="1:12" x14ac:dyDescent="0.2">
      <c r="A13" s="1">
        <v>28</v>
      </c>
      <c r="B13" s="6" t="str">
        <f>VLOOKUP(A13,[1]Games!$B$2:$K$398,2,FALSE)</f>
        <v>Tennessee</v>
      </c>
      <c r="C13" s="6" t="str">
        <f>VLOOKUP(A13,[1]Games!$B$2:$K$398,3,FALSE)</f>
        <v>Virginia</v>
      </c>
      <c r="D13" s="6" t="str">
        <f t="shared" si="2"/>
        <v>Tennessee</v>
      </c>
      <c r="E13" s="5">
        <f>VLOOKUP(A13,[1]Games!$B$2:$K$398,4,FALSE)</f>
        <v>6.3504265210794983</v>
      </c>
      <c r="F13" s="5">
        <f>-VLOOKUP(A13,[2]Games!$A$2:$X$284,24,FALSE)</f>
        <v>1</v>
      </c>
      <c r="G13" s="7">
        <f>VLOOKUP(A13,[1]Games!$B$2:$K$398,9,FALSE)</f>
        <v>0.503917783931362</v>
      </c>
      <c r="H13" s="7">
        <f>VLOOKUP(A13,[1]Games!$B$2:$K$398,7,FALSE)</f>
        <v>5.7998893446444849E-2</v>
      </c>
      <c r="I13" s="7">
        <f>VLOOKUP(A13,[1]Games!$B$2:$K$398,8,FALSE)/4</f>
        <v>4.9999371276389128E-2</v>
      </c>
      <c r="J13" s="8" t="s">
        <v>444</v>
      </c>
      <c r="K13" s="9">
        <f t="shared" si="3"/>
        <v>0.86998340169667276</v>
      </c>
    </row>
    <row r="14" spans="1:12" x14ac:dyDescent="0.2">
      <c r="A14" s="1">
        <v>13</v>
      </c>
      <c r="B14" s="6" t="str">
        <f>VLOOKUP(A14,[1]Games!$B$2:$K$398,2,FALSE)</f>
        <v>Purdue</v>
      </c>
      <c r="C14" s="6" t="str">
        <f>VLOOKUP(A14,[1]Games!$B$2:$K$398,3,FALSE)</f>
        <v>Miami</v>
      </c>
      <c r="D14" s="6" t="str">
        <f t="shared" ref="D14:D17" si="4">B14</f>
        <v>Purdue</v>
      </c>
      <c r="E14" s="5">
        <f>VLOOKUP(A14,[1]Games!$B$2:$K$398,4,FALSE)</f>
        <v>12.5746195342281</v>
      </c>
      <c r="F14" s="5">
        <f>-VLOOKUP(A14,[2]Games!$A$2:$X$284,24,FALSE)</f>
        <v>7.5</v>
      </c>
      <c r="G14" s="7">
        <f>VLOOKUP(A14,[1]Games!$B$2:$K$398,9,FALSE)</f>
        <v>0.63571360517770981</v>
      </c>
      <c r="H14" s="7">
        <f>VLOOKUP(A14,[1]Games!$B$2:$K$398,7,FALSE)</f>
        <v>4.4882546254626871E-2</v>
      </c>
      <c r="I14" s="7">
        <f>VLOOKUP(A14,[1]Games!$B$2:$K$398,8,FALSE)/4</f>
        <v>4.2546901281038024E-2</v>
      </c>
      <c r="J14" s="8" t="s">
        <v>444</v>
      </c>
      <c r="K14" s="9">
        <f t="shared" ref="K14:K17" si="5">IF(J14="Yes",(H14*1500)/100,0)</f>
        <v>0.67323819381940309</v>
      </c>
    </row>
    <row r="15" spans="1:12" x14ac:dyDescent="0.2">
      <c r="A15" s="1">
        <v>14</v>
      </c>
      <c r="B15" s="6" t="str">
        <f>VLOOKUP(A15,[1]Games!$B$2:$K$398,2,FALSE)</f>
        <v>Iowa State</v>
      </c>
      <c r="C15" s="6" t="str">
        <f>VLOOKUP(A15,[1]Games!$B$2:$K$398,3,FALSE)</f>
        <v>Kentucky</v>
      </c>
      <c r="D15" s="6" t="str">
        <f t="shared" si="4"/>
        <v>Iowa State</v>
      </c>
      <c r="E15" s="5">
        <f>VLOOKUP(A15,[1]Games!$B$2:$K$398,4,FALSE)</f>
        <v>7.1011751940087526</v>
      </c>
      <c r="F15" s="5">
        <f>-VLOOKUP(A15,[2]Games!$A$2:$X$284,24,FALSE)</f>
        <v>5</v>
      </c>
      <c r="G15" s="7">
        <f>VLOOKUP(A15,[1]Games!$B$2:$K$398,9,FALSE)</f>
        <v>0.34931589557310277</v>
      </c>
      <c r="H15" s="7">
        <f>VLOOKUP(A15,[1]Games!$B$2:$K$398,7,FALSE)</f>
        <v>0</v>
      </c>
      <c r="I15" s="7">
        <f>VLOOKUP(A15,[1]Games!$B$2:$K$398,8,FALSE)/4</f>
        <v>1.3569223993972977E-2</v>
      </c>
      <c r="J15" s="8" t="s">
        <v>443</v>
      </c>
      <c r="K15" s="9">
        <f t="shared" si="5"/>
        <v>0</v>
      </c>
    </row>
    <row r="16" spans="1:12" x14ac:dyDescent="0.2">
      <c r="A16" s="1">
        <v>31</v>
      </c>
      <c r="B16" s="6" t="str">
        <f>VLOOKUP(A16,[1]Games!$B$2:$K$398,2,FALSE)</f>
        <v>St. John's</v>
      </c>
      <c r="C16" s="6" t="str">
        <f>VLOOKUP(A16,[1]Games!$B$2:$K$398,3,FALSE)</f>
        <v>Kansas</v>
      </c>
      <c r="D16" s="6" t="str">
        <f t="shared" si="4"/>
        <v>St. John's</v>
      </c>
      <c r="E16" s="5">
        <f>VLOOKUP(A16,[1]Games!$B$2:$K$398,4,FALSE)</f>
        <v>3.1590318805399149</v>
      </c>
      <c r="F16" s="5">
        <f>-VLOOKUP(A16,[2]Games!$A$2:$X$284,24,FALSE)</f>
        <v>3.5</v>
      </c>
      <c r="G16" s="7">
        <f>VLOOKUP(A16,[1]Games!$B$2:$K$398,9,FALSE)</f>
        <v>8.1123382590810478E-2</v>
      </c>
      <c r="H16" s="7">
        <f>VLOOKUP(A16,[1]Games!$B$2:$K$398,7,FALSE)</f>
        <v>0</v>
      </c>
      <c r="I16" s="7">
        <f>VLOOKUP(A16,[1]Games!$B$2:$K$398,8,FALSE)/4</f>
        <v>-7.3063318402789975E-3</v>
      </c>
      <c r="J16" s="8" t="s">
        <v>443</v>
      </c>
      <c r="K16" s="9">
        <f t="shared" si="5"/>
        <v>0</v>
      </c>
    </row>
    <row r="17" spans="1:11" x14ac:dyDescent="0.2">
      <c r="A17" s="1">
        <v>16</v>
      </c>
      <c r="B17" s="6" t="str">
        <f>VLOOKUP(A17,[1]Games!$B$2:$K$398,2,FALSE)</f>
        <v>Arizona</v>
      </c>
      <c r="C17" s="6" t="str">
        <f>VLOOKUP(A17,[1]Games!$B$2:$K$398,3,FALSE)</f>
        <v>Utah State</v>
      </c>
      <c r="D17" s="6" t="str">
        <f t="shared" si="4"/>
        <v>Arizona</v>
      </c>
      <c r="E17" s="5">
        <f>VLOOKUP(A17,[1]Games!$B$2:$K$398,4,FALSE)</f>
        <v>12.03916810204351</v>
      </c>
      <c r="F17" s="5">
        <f>-VLOOKUP(A17,[2]Games!$A$2:$X$284,24,FALSE)</f>
        <v>11.5</v>
      </c>
      <c r="G17" s="7">
        <f>VLOOKUP(A17,[1]Games!$B$2:$K$398,9,FALSE)</f>
        <v>0.41142205261584602</v>
      </c>
      <c r="H17" s="7">
        <f>VLOOKUP(A17,[1]Games!$B$2:$K$398,7,FALSE)</f>
        <v>0</v>
      </c>
      <c r="I17" s="7">
        <f>VLOOKUP(A17,[1]Games!$B$2:$K$398,8,FALSE)/4</f>
        <v>-4.9486061792907978E-3</v>
      </c>
      <c r="J17" s="8" t="s">
        <v>443</v>
      </c>
      <c r="K17" s="9">
        <f t="shared" si="5"/>
        <v>0</v>
      </c>
    </row>
    <row r="18" spans="1:11" x14ac:dyDescent="0.2">
      <c r="B18" s="6"/>
      <c r="C18" s="6"/>
      <c r="D18" s="6"/>
      <c r="E18" s="5"/>
      <c r="F18" s="5"/>
      <c r="G18" s="7"/>
      <c r="H18" s="7"/>
      <c r="I18" s="7"/>
      <c r="J18" s="8"/>
      <c r="K18" s="9"/>
    </row>
    <row r="19" spans="1:11" x14ac:dyDescent="0.2">
      <c r="B19" s="6"/>
      <c r="C19" s="6"/>
      <c r="D19" s="6"/>
      <c r="E19" s="5"/>
      <c r="F19" s="5"/>
      <c r="G19" s="7"/>
      <c r="H19" s="7"/>
      <c r="I19" s="7"/>
      <c r="J19" s="8"/>
      <c r="K19" s="9"/>
    </row>
    <row r="20" spans="1:11" x14ac:dyDescent="0.2">
      <c r="B20" s="6"/>
      <c r="C20" s="6"/>
      <c r="D20" s="6"/>
      <c r="E20" s="5"/>
      <c r="F20" s="5"/>
      <c r="G20" s="7"/>
      <c r="H20" s="7"/>
      <c r="I20" s="7"/>
      <c r="J20" s="8"/>
      <c r="K20" s="9"/>
    </row>
    <row r="21" spans="1:11" x14ac:dyDescent="0.2">
      <c r="B21" s="6"/>
      <c r="C21" s="6"/>
      <c r="D21" s="6"/>
      <c r="E21" s="5"/>
      <c r="F21" s="5"/>
      <c r="G21" s="7"/>
      <c r="H21" s="7"/>
      <c r="I21" s="7"/>
      <c r="J21" s="8"/>
      <c r="K21" s="9"/>
    </row>
    <row r="22" spans="1:11" x14ac:dyDescent="0.2">
      <c r="B22" s="6"/>
      <c r="C22" s="6"/>
      <c r="D22" s="6"/>
      <c r="E22" s="5"/>
      <c r="F22" s="5"/>
      <c r="G22" s="7"/>
      <c r="H22" s="7"/>
      <c r="I22" s="7"/>
      <c r="J22" s="8"/>
      <c r="K22" s="9"/>
    </row>
    <row r="23" spans="1:11" x14ac:dyDescent="0.2">
      <c r="B23" s="6"/>
      <c r="C23" s="6"/>
      <c r="D23" s="6"/>
      <c r="E23" s="5"/>
      <c r="F23" s="5"/>
      <c r="G23" s="7"/>
      <c r="H23" s="7"/>
      <c r="I23" s="7"/>
      <c r="J23" s="8"/>
      <c r="K23" s="9"/>
    </row>
    <row r="24" spans="1:11" x14ac:dyDescent="0.2">
      <c r="B24" s="6"/>
      <c r="C24" s="6"/>
      <c r="D24" s="6"/>
      <c r="E24" s="5"/>
      <c r="F24" s="5"/>
      <c r="G24" s="7"/>
      <c r="H24" s="7"/>
      <c r="I24" s="7"/>
      <c r="J24" s="8"/>
      <c r="K24" s="9"/>
    </row>
    <row r="25" spans="1:11" x14ac:dyDescent="0.2">
      <c r="B25" s="6"/>
      <c r="C25" s="6"/>
      <c r="D25" s="6"/>
      <c r="E25" s="5"/>
      <c r="F25" s="5"/>
      <c r="G25" s="7"/>
      <c r="H25" s="7"/>
      <c r="I25" s="7"/>
      <c r="J25" s="8"/>
      <c r="K25" s="9"/>
    </row>
    <row r="26" spans="1:11" x14ac:dyDescent="0.2">
      <c r="B26" s="6"/>
      <c r="C26" s="6"/>
      <c r="D26" s="6"/>
      <c r="E26" s="5"/>
      <c r="F26" s="5"/>
      <c r="G26" s="7"/>
      <c r="H26" s="7"/>
      <c r="I26" s="7"/>
      <c r="J26" s="8"/>
      <c r="K26" s="9"/>
    </row>
    <row r="27" spans="1:11" x14ac:dyDescent="0.2">
      <c r="B27" s="6"/>
      <c r="C27" s="6"/>
      <c r="D27" s="6"/>
      <c r="E27" s="5"/>
      <c r="F27" s="5"/>
      <c r="G27" s="7"/>
      <c r="H27" s="7"/>
      <c r="I27" s="7"/>
      <c r="J27" s="8"/>
      <c r="K27" s="9"/>
    </row>
    <row r="28" spans="1:11" x14ac:dyDescent="0.2">
      <c r="B28" s="6"/>
      <c r="C28" s="6"/>
      <c r="D28" s="6"/>
      <c r="E28" s="5"/>
      <c r="F28" s="5"/>
      <c r="G28" s="7"/>
      <c r="H28" s="7"/>
      <c r="I28" s="7"/>
      <c r="J28" s="8"/>
      <c r="K28" s="9"/>
    </row>
    <row r="29" spans="1:11" x14ac:dyDescent="0.2">
      <c r="B29" s="6"/>
      <c r="C29" s="6"/>
      <c r="D29" s="6"/>
      <c r="E29" s="5"/>
      <c r="F29" s="5"/>
      <c r="G29" s="7"/>
      <c r="H29" s="7"/>
      <c r="I29" s="7"/>
      <c r="J29" s="8"/>
      <c r="K29" s="9"/>
    </row>
    <row r="30" spans="1:11" x14ac:dyDescent="0.2">
      <c r="B30" s="6"/>
      <c r="C30" s="6"/>
      <c r="D30" s="6"/>
      <c r="E30" s="5"/>
      <c r="F30" s="5"/>
      <c r="G30" s="7"/>
      <c r="H30" s="7"/>
      <c r="I30" s="7"/>
      <c r="J30" s="8"/>
      <c r="K30" s="9"/>
    </row>
    <row r="31" spans="1:11" x14ac:dyDescent="0.2">
      <c r="B31" s="6"/>
      <c r="C31" s="6"/>
      <c r="D31" s="6"/>
      <c r="E31" s="5"/>
      <c r="F31" s="5"/>
      <c r="G31" s="7"/>
      <c r="H31" s="7"/>
      <c r="I31" s="7"/>
      <c r="J31" s="8"/>
      <c r="K31" s="9"/>
    </row>
    <row r="32" spans="1:11" x14ac:dyDescent="0.2">
      <c r="B32" s="6"/>
      <c r="C32" s="6"/>
      <c r="D32" s="6"/>
      <c r="E32" s="5"/>
      <c r="F32" s="5"/>
      <c r="G32" s="7"/>
      <c r="H32" s="7"/>
      <c r="I32" s="7"/>
      <c r="J32" s="8"/>
      <c r="K32" s="9"/>
    </row>
    <row r="33" spans="2:11" x14ac:dyDescent="0.2">
      <c r="B33" s="6"/>
      <c r="C33" s="6"/>
      <c r="D33" s="6"/>
      <c r="E33" s="5"/>
      <c r="F33" s="5"/>
      <c r="G33" s="7"/>
      <c r="H33" s="7"/>
      <c r="I33" s="7"/>
      <c r="J33" s="8"/>
      <c r="K33" s="9"/>
    </row>
    <row r="34" spans="2:11" x14ac:dyDescent="0.2">
      <c r="B34" s="6"/>
      <c r="C34" s="6"/>
      <c r="D34" s="6"/>
      <c r="E34" s="5"/>
      <c r="F34" s="5"/>
      <c r="G34" s="7"/>
      <c r="H34" s="7"/>
      <c r="I34" s="7"/>
      <c r="J34" s="8"/>
      <c r="K34" s="9"/>
    </row>
    <row r="35" spans="2:11" x14ac:dyDescent="0.2">
      <c r="B35" s="6"/>
      <c r="C35" s="6"/>
      <c r="D35" s="6"/>
      <c r="E35" s="5"/>
      <c r="F35" s="5"/>
      <c r="G35" s="7"/>
      <c r="H35" s="7"/>
      <c r="I35" s="7"/>
      <c r="J35" s="8"/>
      <c r="K35" s="9"/>
    </row>
    <row r="36" spans="2:11" x14ac:dyDescent="0.2">
      <c r="B36" s="6"/>
      <c r="C36" s="6"/>
      <c r="D36" s="6"/>
      <c r="E36" s="5"/>
      <c r="F36" s="5"/>
      <c r="G36" s="7"/>
      <c r="H36" s="7"/>
      <c r="I36" s="7"/>
      <c r="J36" s="8"/>
      <c r="K36" s="9"/>
    </row>
    <row r="37" spans="2:11" x14ac:dyDescent="0.2">
      <c r="B37" s="6"/>
      <c r="C37" s="6"/>
      <c r="D37" s="6"/>
      <c r="E37" s="5"/>
      <c r="F37" s="5"/>
      <c r="G37" s="7"/>
      <c r="H37" s="7"/>
      <c r="I37" s="7"/>
      <c r="J37" s="8"/>
      <c r="K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11</v>
      </c>
      <c r="B2" s="1">
        <f>COUNTIF($C$6:$C$150,"L")</f>
        <v>8</v>
      </c>
      <c r="C2" s="12">
        <f>SUM(F6:F24)/SUM(E6:E24)</f>
        <v>7.871577071601242E-2</v>
      </c>
      <c r="D2" s="13">
        <f>AVERAGE(H6:H150)</f>
        <v>2.1311302327194463E-2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4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459</v>
      </c>
      <c r="B22" s="1">
        <f t="shared" si="4"/>
        <v>17</v>
      </c>
      <c r="C22" s="1" t="s">
        <v>388</v>
      </c>
      <c r="D22" s="1" t="s">
        <v>460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459</v>
      </c>
      <c r="B23" s="1">
        <f t="shared" si="4"/>
        <v>18</v>
      </c>
      <c r="C23" s="1" t="s">
        <v>388</v>
      </c>
      <c r="D23" s="1" t="s">
        <v>460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459</v>
      </c>
      <c r="B24" s="1">
        <f t="shared" si="4"/>
        <v>19</v>
      </c>
      <c r="C24" s="1" t="s">
        <v>388</v>
      </c>
      <c r="D24" s="1" t="s">
        <v>461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F25" s="14"/>
      <c r="G25" s="14"/>
      <c r="H25" s="10"/>
      <c r="I25" s="10"/>
      <c r="J25" s="1"/>
      <c r="K25" s="1"/>
      <c r="L25" s="12"/>
      <c r="M25" s="1"/>
      <c r="N25" s="1"/>
      <c r="O25" s="12"/>
      <c r="P25" s="1"/>
    </row>
    <row r="26" spans="1:16" x14ac:dyDescent="0.2">
      <c r="F26" s="14"/>
      <c r="G26" s="14"/>
      <c r="H26" s="10"/>
      <c r="I26" s="10"/>
      <c r="J26" s="1"/>
      <c r="K26" s="1"/>
      <c r="L26" s="12"/>
      <c r="M26" s="1"/>
      <c r="N26" s="1"/>
      <c r="O26" s="12"/>
      <c r="P26" s="1"/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workbookViewId="0">
      <selection activeCell="J12" sqref="J12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413</v>
      </c>
      <c r="H8" s="1" t="s">
        <v>451</v>
      </c>
      <c r="K8" s="1">
        <f t="shared" si="0"/>
        <v>0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413</v>
      </c>
      <c r="H9" s="1" t="s">
        <v>451</v>
      </c>
      <c r="K9" s="1">
        <f t="shared" si="0"/>
        <v>0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413</v>
      </c>
      <c r="H10" s="1" t="s">
        <v>451</v>
      </c>
      <c r="K10" s="1">
        <f t="shared" si="0"/>
        <v>0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413</v>
      </c>
      <c r="H11" s="1" t="s">
        <v>451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413</v>
      </c>
      <c r="H12" s="1" t="s">
        <v>451</v>
      </c>
      <c r="K12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B2" sqref="B2:B33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1</v>
      </c>
      <c r="C2">
        <v>0.77400000000000002</v>
      </c>
      <c r="D2">
        <v>0.54344999999999999</v>
      </c>
      <c r="E2">
        <v>0.35235</v>
      </c>
      <c r="F2">
        <v>0.21299999999999999</v>
      </c>
      <c r="G2">
        <v>0.11915000000000001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1</v>
      </c>
      <c r="C3">
        <v>0.70679999999999998</v>
      </c>
      <c r="D3">
        <v>0.46884999999999999</v>
      </c>
      <c r="E3">
        <v>0.2888</v>
      </c>
      <c r="F3">
        <v>0.1704</v>
      </c>
      <c r="G3">
        <v>0.10445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1</v>
      </c>
      <c r="C4">
        <v>0.77080000000000004</v>
      </c>
      <c r="D4">
        <v>0.48220000000000002</v>
      </c>
      <c r="E4">
        <v>0.29485</v>
      </c>
      <c r="F4">
        <v>0.16830000000000001</v>
      </c>
      <c r="G4">
        <v>9.9250000000000005E-2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1</v>
      </c>
      <c r="C5">
        <v>0.7016</v>
      </c>
      <c r="D5">
        <v>0.44555</v>
      </c>
      <c r="E5">
        <v>0.27579999999999999</v>
      </c>
      <c r="F5">
        <v>0.16025</v>
      </c>
      <c r="G5">
        <v>8.5599999999999996E-2</v>
      </c>
      <c r="H5" t="s">
        <v>385</v>
      </c>
      <c r="I5">
        <v>1</v>
      </c>
      <c r="J5">
        <v>22.650454216704581</v>
      </c>
    </row>
    <row r="6" spans="1:10" x14ac:dyDescent="0.2">
      <c r="A6" t="s">
        <v>6</v>
      </c>
      <c r="B6">
        <v>1</v>
      </c>
      <c r="C6">
        <v>0.70814999999999995</v>
      </c>
      <c r="D6">
        <v>0.44405</v>
      </c>
      <c r="E6">
        <v>0.23455000000000001</v>
      </c>
      <c r="F6">
        <v>0.12825</v>
      </c>
      <c r="G6">
        <v>6.515E-2</v>
      </c>
      <c r="H6" t="s">
        <v>385</v>
      </c>
      <c r="I6">
        <v>2</v>
      </c>
      <c r="J6">
        <v>20.901069562815731</v>
      </c>
    </row>
    <row r="7" spans="1:10" x14ac:dyDescent="0.2">
      <c r="A7" t="s">
        <v>7</v>
      </c>
      <c r="B7">
        <v>1</v>
      </c>
      <c r="C7">
        <v>0.73945000000000005</v>
      </c>
      <c r="D7">
        <v>0.40915000000000001</v>
      </c>
      <c r="E7">
        <v>0.20449999999999999</v>
      </c>
      <c r="F7">
        <v>0.1053</v>
      </c>
      <c r="G7">
        <v>5.5050000000000002E-2</v>
      </c>
      <c r="H7" t="s">
        <v>383</v>
      </c>
      <c r="I7">
        <v>2</v>
      </c>
      <c r="J7">
        <v>20.933350618351088</v>
      </c>
    </row>
    <row r="8" spans="1:10" x14ac:dyDescent="0.2">
      <c r="A8" t="s">
        <v>5</v>
      </c>
      <c r="B8">
        <v>1</v>
      </c>
      <c r="C8">
        <v>0.68059999999999998</v>
      </c>
      <c r="D8">
        <v>0.38345000000000001</v>
      </c>
      <c r="E8">
        <v>0.19395000000000001</v>
      </c>
      <c r="F8">
        <v>0.10015</v>
      </c>
      <c r="G8">
        <v>5.3100000000000001E-2</v>
      </c>
      <c r="H8" t="s">
        <v>383</v>
      </c>
      <c r="I8">
        <v>3</v>
      </c>
      <c r="J8">
        <v>20.95985487362351</v>
      </c>
    </row>
    <row r="9" spans="1:10" x14ac:dyDescent="0.2">
      <c r="A9" t="s">
        <v>10</v>
      </c>
      <c r="B9">
        <v>1</v>
      </c>
      <c r="C9">
        <v>0.71745000000000003</v>
      </c>
      <c r="D9">
        <v>0.37959999999999999</v>
      </c>
      <c r="E9">
        <v>0.18584999999999999</v>
      </c>
      <c r="F9">
        <v>9.0999999999999998E-2</v>
      </c>
      <c r="G9">
        <v>4.8300000000000003E-2</v>
      </c>
      <c r="H9" t="s">
        <v>382</v>
      </c>
      <c r="I9">
        <v>6</v>
      </c>
      <c r="J9">
        <v>20.582457175121959</v>
      </c>
    </row>
    <row r="10" spans="1:10" x14ac:dyDescent="0.2">
      <c r="A10" t="s">
        <v>8</v>
      </c>
      <c r="B10">
        <v>1</v>
      </c>
      <c r="C10">
        <v>0.76895000000000002</v>
      </c>
      <c r="D10">
        <v>0.34825</v>
      </c>
      <c r="E10">
        <v>0.17760000000000001</v>
      </c>
      <c r="F10">
        <v>8.7099999999999997E-2</v>
      </c>
      <c r="G10">
        <v>4.2950000000000002E-2</v>
      </c>
      <c r="H10" t="s">
        <v>383</v>
      </c>
      <c r="I10">
        <v>4</v>
      </c>
      <c r="J10">
        <v>19.899076876872609</v>
      </c>
    </row>
    <row r="11" spans="1:10" x14ac:dyDescent="0.2">
      <c r="A11" t="s">
        <v>14</v>
      </c>
      <c r="B11">
        <v>1</v>
      </c>
      <c r="C11">
        <v>0.57520000000000004</v>
      </c>
      <c r="D11">
        <v>0.32435000000000003</v>
      </c>
      <c r="E11">
        <v>0.16170000000000001</v>
      </c>
      <c r="F11">
        <v>8.0100000000000005E-2</v>
      </c>
      <c r="G11">
        <v>4.1000000000000002E-2</v>
      </c>
      <c r="H11" t="s">
        <v>382</v>
      </c>
      <c r="I11">
        <v>2</v>
      </c>
      <c r="J11">
        <v>20.64149391157072</v>
      </c>
    </row>
    <row r="12" spans="1:10" x14ac:dyDescent="0.2">
      <c r="A12" t="s">
        <v>9</v>
      </c>
      <c r="B12">
        <v>1</v>
      </c>
      <c r="C12">
        <v>0.59484999999999999</v>
      </c>
      <c r="D12">
        <v>0.34484999999999999</v>
      </c>
      <c r="E12">
        <v>0.17674999999999999</v>
      </c>
      <c r="F12">
        <v>8.7999999999999995E-2</v>
      </c>
      <c r="G12">
        <v>4.095E-2</v>
      </c>
      <c r="H12" t="s">
        <v>384</v>
      </c>
      <c r="I12">
        <v>3</v>
      </c>
      <c r="J12">
        <v>19.982154388171558</v>
      </c>
    </row>
    <row r="13" spans="1:10" x14ac:dyDescent="0.2">
      <c r="A13" t="s">
        <v>13</v>
      </c>
      <c r="B13">
        <v>1</v>
      </c>
      <c r="C13">
        <v>0.73275000000000001</v>
      </c>
      <c r="D13">
        <v>0.36275000000000002</v>
      </c>
      <c r="E13">
        <v>0.16664999999999999</v>
      </c>
      <c r="F13">
        <v>7.8600000000000003E-2</v>
      </c>
      <c r="G13">
        <v>3.4799999999999998E-2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15</v>
      </c>
      <c r="B14">
        <v>1</v>
      </c>
      <c r="C14">
        <v>0.59504999999999997</v>
      </c>
      <c r="D14">
        <v>0.27705000000000002</v>
      </c>
      <c r="E14">
        <v>0.14660000000000001</v>
      </c>
      <c r="F14">
        <v>7.4300000000000005E-2</v>
      </c>
      <c r="G14">
        <v>3.2500000000000001E-2</v>
      </c>
      <c r="H14" t="s">
        <v>385</v>
      </c>
      <c r="I14">
        <v>5</v>
      </c>
      <c r="J14">
        <v>19.33409526621552</v>
      </c>
    </row>
    <row r="15" spans="1:10" x14ac:dyDescent="0.2">
      <c r="A15" t="s">
        <v>12</v>
      </c>
      <c r="B15">
        <v>1</v>
      </c>
      <c r="C15">
        <v>0.57769999999999999</v>
      </c>
      <c r="D15">
        <v>0.26769999999999999</v>
      </c>
      <c r="E15">
        <v>0.1384</v>
      </c>
      <c r="F15">
        <v>6.5299999999999997E-2</v>
      </c>
      <c r="G15">
        <v>3.175E-2</v>
      </c>
      <c r="H15" t="s">
        <v>382</v>
      </c>
      <c r="I15">
        <v>4</v>
      </c>
      <c r="J15">
        <v>19.673613604820769</v>
      </c>
    </row>
    <row r="16" spans="1:10" x14ac:dyDescent="0.2">
      <c r="A16" t="s">
        <v>386</v>
      </c>
      <c r="B16">
        <v>1</v>
      </c>
      <c r="C16">
        <v>0.56415000000000004</v>
      </c>
      <c r="D16">
        <v>0.27405000000000002</v>
      </c>
      <c r="E16">
        <v>0.12705</v>
      </c>
      <c r="F16">
        <v>5.6349999999999997E-2</v>
      </c>
      <c r="G16">
        <v>2.3349999999999999E-2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17</v>
      </c>
      <c r="B17">
        <v>1</v>
      </c>
      <c r="C17">
        <v>0.42480000000000001</v>
      </c>
      <c r="D17">
        <v>0.20985000000000001</v>
      </c>
      <c r="E17">
        <v>9.3200000000000005E-2</v>
      </c>
      <c r="F17">
        <v>4.0250000000000001E-2</v>
      </c>
      <c r="G17">
        <v>1.7850000000000001E-2</v>
      </c>
      <c r="H17" t="s">
        <v>382</v>
      </c>
      <c r="I17">
        <v>7</v>
      </c>
      <c r="J17">
        <v>18.034523649586539</v>
      </c>
    </row>
    <row r="18" spans="1:10" x14ac:dyDescent="0.2">
      <c r="A18" t="s">
        <v>20</v>
      </c>
      <c r="B18">
        <v>1</v>
      </c>
      <c r="C18">
        <v>0.54944999999999999</v>
      </c>
      <c r="D18">
        <v>0.2104</v>
      </c>
      <c r="E18">
        <v>9.4950000000000007E-2</v>
      </c>
      <c r="F18">
        <v>3.8850000000000003E-2</v>
      </c>
      <c r="G18">
        <v>1.52E-2</v>
      </c>
      <c r="H18" t="s">
        <v>384</v>
      </c>
      <c r="I18">
        <v>4</v>
      </c>
      <c r="J18">
        <v>16.809475334579389</v>
      </c>
    </row>
    <row r="19" spans="1:10" x14ac:dyDescent="0.2">
      <c r="A19" t="s">
        <v>18</v>
      </c>
      <c r="B19">
        <v>1</v>
      </c>
      <c r="C19">
        <v>0.40515000000000001</v>
      </c>
      <c r="D19">
        <v>0.19364999999999999</v>
      </c>
      <c r="E19">
        <v>8.1500000000000003E-2</v>
      </c>
      <c r="F19">
        <v>3.3849999999999998E-2</v>
      </c>
      <c r="G19">
        <v>1.26E-2</v>
      </c>
      <c r="H19" t="s">
        <v>384</v>
      </c>
      <c r="I19">
        <v>6</v>
      </c>
      <c r="J19">
        <v>16.631119331501349</v>
      </c>
    </row>
    <row r="20" spans="1:10" x14ac:dyDescent="0.2">
      <c r="A20" t="s">
        <v>23</v>
      </c>
      <c r="B20">
        <v>1</v>
      </c>
      <c r="C20">
        <v>0.43585000000000002</v>
      </c>
      <c r="D20">
        <v>0.18745000000000001</v>
      </c>
      <c r="E20">
        <v>7.3050000000000004E-2</v>
      </c>
      <c r="F20">
        <v>2.9950000000000001E-2</v>
      </c>
      <c r="G20">
        <v>1.1350000000000001E-2</v>
      </c>
      <c r="H20" t="s">
        <v>384</v>
      </c>
      <c r="I20">
        <v>7</v>
      </c>
      <c r="J20">
        <v>15.943406980069801</v>
      </c>
    </row>
    <row r="21" spans="1:10" x14ac:dyDescent="0.2">
      <c r="A21" t="s">
        <v>11</v>
      </c>
      <c r="B21">
        <v>1</v>
      </c>
      <c r="C21">
        <v>0.42230000000000001</v>
      </c>
      <c r="D21">
        <v>0.16925000000000001</v>
      </c>
      <c r="E21">
        <v>7.3599999999999999E-2</v>
      </c>
      <c r="F21">
        <v>2.845E-2</v>
      </c>
      <c r="G21">
        <v>1.115E-2</v>
      </c>
      <c r="H21" t="s">
        <v>382</v>
      </c>
      <c r="I21">
        <v>5</v>
      </c>
      <c r="J21">
        <v>17.052374181699321</v>
      </c>
    </row>
    <row r="22" spans="1:10" x14ac:dyDescent="0.2">
      <c r="A22" t="s">
        <v>24</v>
      </c>
      <c r="B22">
        <v>1</v>
      </c>
      <c r="C22">
        <v>0.40494999999999998</v>
      </c>
      <c r="D22">
        <v>0.14765</v>
      </c>
      <c r="E22">
        <v>6.3700000000000007E-2</v>
      </c>
      <c r="F22">
        <v>2.5899999999999999E-2</v>
      </c>
      <c r="G22">
        <v>9.5999999999999992E-3</v>
      </c>
      <c r="H22" t="s">
        <v>385</v>
      </c>
      <c r="I22">
        <v>4</v>
      </c>
      <c r="J22">
        <v>15.82631796216417</v>
      </c>
    </row>
    <row r="23" spans="1:10" x14ac:dyDescent="0.2">
      <c r="A23" t="s">
        <v>21</v>
      </c>
      <c r="B23">
        <v>1</v>
      </c>
      <c r="C23">
        <v>0.29320000000000002</v>
      </c>
      <c r="D23">
        <v>0.13439999999999999</v>
      </c>
      <c r="E23">
        <v>5.7450000000000001E-2</v>
      </c>
      <c r="F23">
        <v>2.3050000000000001E-2</v>
      </c>
      <c r="G23">
        <v>9.1999999999999998E-3</v>
      </c>
      <c r="H23" t="s">
        <v>383</v>
      </c>
      <c r="I23">
        <v>9</v>
      </c>
      <c r="J23">
        <v>16.287809545840609</v>
      </c>
    </row>
    <row r="24" spans="1:10" x14ac:dyDescent="0.2">
      <c r="A24" t="s">
        <v>30</v>
      </c>
      <c r="B24">
        <v>1</v>
      </c>
      <c r="C24">
        <v>0.45055000000000001</v>
      </c>
      <c r="D24">
        <v>0.15359999999999999</v>
      </c>
      <c r="E24">
        <v>6.2549999999999994E-2</v>
      </c>
      <c r="F24">
        <v>2.4649999999999998E-2</v>
      </c>
      <c r="G24">
        <v>8.3999999999999995E-3</v>
      </c>
      <c r="H24" t="s">
        <v>384</v>
      </c>
      <c r="I24">
        <v>5</v>
      </c>
      <c r="J24">
        <v>15.123966744544839</v>
      </c>
    </row>
    <row r="25" spans="1:10" x14ac:dyDescent="0.2">
      <c r="A25" t="s">
        <v>28</v>
      </c>
      <c r="B25">
        <v>1</v>
      </c>
      <c r="C25">
        <v>0.2984</v>
      </c>
      <c r="D25">
        <v>0.12975</v>
      </c>
      <c r="E25">
        <v>5.5750000000000001E-2</v>
      </c>
      <c r="F25">
        <v>2.1149999999999999E-2</v>
      </c>
      <c r="G25">
        <v>7.9500000000000005E-3</v>
      </c>
      <c r="H25" t="s">
        <v>385</v>
      </c>
      <c r="I25">
        <v>9</v>
      </c>
      <c r="J25">
        <v>15.51511812576733</v>
      </c>
    </row>
    <row r="26" spans="1:10" x14ac:dyDescent="0.2">
      <c r="A26" t="s">
        <v>25</v>
      </c>
      <c r="B26">
        <v>1</v>
      </c>
      <c r="C26">
        <v>0.31940000000000002</v>
      </c>
      <c r="D26">
        <v>0.12470000000000001</v>
      </c>
      <c r="E26">
        <v>4.1149999999999999E-2</v>
      </c>
      <c r="F26">
        <v>1.34E-2</v>
      </c>
      <c r="G26">
        <v>4.5999999999999999E-3</v>
      </c>
      <c r="H26" t="s">
        <v>383</v>
      </c>
      <c r="I26">
        <v>11</v>
      </c>
      <c r="J26">
        <v>14.53205210966642</v>
      </c>
    </row>
    <row r="27" spans="1:10" x14ac:dyDescent="0.2">
      <c r="A27" t="s">
        <v>46</v>
      </c>
      <c r="B27">
        <v>1</v>
      </c>
      <c r="C27">
        <v>0.22600000000000001</v>
      </c>
      <c r="D27">
        <v>9.2549999999999993E-2</v>
      </c>
      <c r="E27">
        <v>3.1800000000000002E-2</v>
      </c>
      <c r="F27">
        <v>1.0999999999999999E-2</v>
      </c>
      <c r="G27">
        <v>3.3E-3</v>
      </c>
      <c r="H27" t="s">
        <v>384</v>
      </c>
      <c r="I27">
        <v>9</v>
      </c>
      <c r="J27">
        <v>12.67635641689086</v>
      </c>
    </row>
    <row r="28" spans="1:10" x14ac:dyDescent="0.2">
      <c r="A28" t="s">
        <v>37</v>
      </c>
      <c r="B28">
        <v>1</v>
      </c>
      <c r="C28">
        <v>0.29185</v>
      </c>
      <c r="D28">
        <v>0.11945</v>
      </c>
      <c r="E28">
        <v>3.875E-2</v>
      </c>
      <c r="F28">
        <v>1.115E-2</v>
      </c>
      <c r="G28">
        <v>2.8999999999999998E-3</v>
      </c>
      <c r="H28" t="s">
        <v>385</v>
      </c>
      <c r="I28">
        <v>10</v>
      </c>
      <c r="J28">
        <v>13.344745551152521</v>
      </c>
    </row>
    <row r="29" spans="1:10" x14ac:dyDescent="0.2">
      <c r="A29" t="s">
        <v>38</v>
      </c>
      <c r="B29">
        <v>1</v>
      </c>
      <c r="C29">
        <v>0.22919999999999999</v>
      </c>
      <c r="D29">
        <v>8.0850000000000005E-2</v>
      </c>
      <c r="E29">
        <v>2.7400000000000001E-2</v>
      </c>
      <c r="F29">
        <v>9.4500000000000001E-3</v>
      </c>
      <c r="G29">
        <v>2.3999999999999998E-3</v>
      </c>
      <c r="H29" t="s">
        <v>382</v>
      </c>
      <c r="I29">
        <v>9</v>
      </c>
      <c r="J29">
        <v>12.8910075642879</v>
      </c>
    </row>
    <row r="30" spans="1:10" x14ac:dyDescent="0.2">
      <c r="A30" t="s">
        <v>40</v>
      </c>
      <c r="B30">
        <v>1</v>
      </c>
      <c r="C30">
        <v>0.28255000000000002</v>
      </c>
      <c r="D30">
        <v>8.6199999999999999E-2</v>
      </c>
      <c r="E30">
        <v>2.5000000000000001E-2</v>
      </c>
      <c r="F30">
        <v>7.5500000000000003E-3</v>
      </c>
      <c r="G30">
        <v>2.3500000000000001E-3</v>
      </c>
      <c r="H30" t="s">
        <v>382</v>
      </c>
      <c r="I30">
        <v>3</v>
      </c>
      <c r="J30">
        <v>12.89893074417701</v>
      </c>
    </row>
    <row r="31" spans="1:10" x14ac:dyDescent="0.2">
      <c r="A31" t="s">
        <v>53</v>
      </c>
      <c r="B31">
        <v>1</v>
      </c>
      <c r="C31">
        <v>0.26055</v>
      </c>
      <c r="D31">
        <v>8.2699999999999996E-2</v>
      </c>
      <c r="E31">
        <v>2.4E-2</v>
      </c>
      <c r="F31">
        <v>7.0000000000000001E-3</v>
      </c>
      <c r="G31">
        <v>1.6000000000000001E-3</v>
      </c>
      <c r="H31" t="s">
        <v>383</v>
      </c>
      <c r="I31">
        <v>7</v>
      </c>
      <c r="J31">
        <v>12.2388904180045</v>
      </c>
    </row>
    <row r="32" spans="1:10" x14ac:dyDescent="0.2">
      <c r="A32" t="s">
        <v>63</v>
      </c>
      <c r="B32">
        <v>1</v>
      </c>
      <c r="C32">
        <v>0.26724999999999999</v>
      </c>
      <c r="D32">
        <v>7.3749999999999996E-2</v>
      </c>
      <c r="E32">
        <v>1.8200000000000001E-2</v>
      </c>
      <c r="F32">
        <v>4.7499999999999999E-3</v>
      </c>
      <c r="G32">
        <v>1.2999999999999999E-3</v>
      </c>
      <c r="H32" t="s">
        <v>385</v>
      </c>
      <c r="I32">
        <v>11</v>
      </c>
      <c r="J32">
        <v>10.280535393881051</v>
      </c>
    </row>
    <row r="33" spans="1:10" x14ac:dyDescent="0.2">
      <c r="A33" t="s">
        <v>60</v>
      </c>
      <c r="B33">
        <v>1</v>
      </c>
      <c r="C33">
        <v>0.23105000000000001</v>
      </c>
      <c r="D33">
        <v>4.8500000000000001E-2</v>
      </c>
      <c r="E33">
        <v>1.255E-2</v>
      </c>
      <c r="F33">
        <v>3.2000000000000002E-3</v>
      </c>
      <c r="G33">
        <v>8.9999999999999998E-4</v>
      </c>
      <c r="H33" t="s">
        <v>383</v>
      </c>
      <c r="I33">
        <v>12</v>
      </c>
      <c r="J33">
        <v>9.7914064574296606</v>
      </c>
    </row>
    <row r="34" spans="1:10" x14ac:dyDescent="0.2">
      <c r="A34" t="s">
        <v>58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382</v>
      </c>
      <c r="I34">
        <v>12</v>
      </c>
      <c r="J34">
        <v>10.62898797126984</v>
      </c>
    </row>
    <row r="35" spans="1:10" x14ac:dyDescent="0.2">
      <c r="A35" t="s">
        <v>22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383</v>
      </c>
      <c r="I35">
        <v>6</v>
      </c>
      <c r="J35">
        <v>16.95891571245977</v>
      </c>
    </row>
    <row r="36" spans="1:10" x14ac:dyDescent="0.2">
      <c r="A36" t="s">
        <v>132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384</v>
      </c>
      <c r="I36">
        <v>13</v>
      </c>
      <c r="J36">
        <v>4.6851123682196496</v>
      </c>
    </row>
    <row r="37" spans="1:10" x14ac:dyDescent="0.2">
      <c r="A37" t="s">
        <v>56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385</v>
      </c>
      <c r="I37">
        <v>8</v>
      </c>
      <c r="J37">
        <v>11.02555602329811</v>
      </c>
    </row>
    <row r="38" spans="1:10" x14ac:dyDescent="0.2">
      <c r="A38" t="s">
        <v>206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15</v>
      </c>
      <c r="J38">
        <v>0.1935829077834591</v>
      </c>
    </row>
    <row r="39" spans="1:10" x14ac:dyDescent="0.2">
      <c r="A39" t="s">
        <v>29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382</v>
      </c>
      <c r="I39">
        <v>8</v>
      </c>
      <c r="J39">
        <v>14.114224917334671</v>
      </c>
    </row>
    <row r="40" spans="1:10" x14ac:dyDescent="0.2">
      <c r="A40" t="s">
        <v>154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383</v>
      </c>
      <c r="I40">
        <v>13</v>
      </c>
      <c r="J40">
        <v>2.5953665153972891</v>
      </c>
    </row>
    <row r="41" spans="1:10" x14ac:dyDescent="0.2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382</v>
      </c>
      <c r="I41">
        <v>13</v>
      </c>
      <c r="J41">
        <v>2.1356002741910172</v>
      </c>
    </row>
    <row r="42" spans="1:10" x14ac:dyDescent="0.2">
      <c r="A42" t="s">
        <v>293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382</v>
      </c>
      <c r="I42">
        <v>16</v>
      </c>
      <c r="J42">
        <v>-7.2160644315092952</v>
      </c>
    </row>
    <row r="43" spans="1:10" x14ac:dyDescent="0.2">
      <c r="A43" t="s">
        <v>139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385</v>
      </c>
      <c r="I43">
        <v>15</v>
      </c>
      <c r="J43">
        <v>3.928312715113337</v>
      </c>
    </row>
    <row r="44" spans="1:10" x14ac:dyDescent="0.2">
      <c r="A44" t="s">
        <v>92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383</v>
      </c>
      <c r="I44">
        <v>14</v>
      </c>
      <c r="J44">
        <v>6.9567142213273874</v>
      </c>
    </row>
    <row r="45" spans="1:10" x14ac:dyDescent="0.2">
      <c r="A45" t="s">
        <v>275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383</v>
      </c>
      <c r="I45">
        <v>16</v>
      </c>
      <c r="J45">
        <v>-5.3079314642110162</v>
      </c>
    </row>
    <row r="46" spans="1:10" x14ac:dyDescent="0.2">
      <c r="A46" t="s">
        <v>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385</v>
      </c>
      <c r="I46">
        <v>12</v>
      </c>
      <c r="J46">
        <v>7.3382243907443794</v>
      </c>
    </row>
    <row r="47" spans="1:10" x14ac:dyDescent="0.2">
      <c r="A47" t="s">
        <v>78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382</v>
      </c>
      <c r="I47">
        <v>11</v>
      </c>
      <c r="J47">
        <v>7.7337055835141966</v>
      </c>
    </row>
    <row r="48" spans="1:10" x14ac:dyDescent="0.2">
      <c r="A48" t="s">
        <v>50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383</v>
      </c>
      <c r="I48">
        <v>10</v>
      </c>
      <c r="J48">
        <v>11.938625469494371</v>
      </c>
    </row>
    <row r="49" spans="1:10" x14ac:dyDescent="0.2">
      <c r="A49" t="s">
        <v>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385</v>
      </c>
      <c r="I49">
        <v>6</v>
      </c>
      <c r="J49">
        <v>13.976487221924669</v>
      </c>
    </row>
    <row r="50" spans="1:10" x14ac:dyDescent="0.2">
      <c r="A50" t="s">
        <v>138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14</v>
      </c>
      <c r="J50">
        <v>3.8559349343715992</v>
      </c>
    </row>
    <row r="51" spans="1:10" x14ac:dyDescent="0.2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384</v>
      </c>
      <c r="I51">
        <v>12</v>
      </c>
      <c r="J51">
        <v>9.044790611595948</v>
      </c>
    </row>
    <row r="52" spans="1:10" x14ac:dyDescent="0.2">
      <c r="A52" t="s">
        <v>33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384</v>
      </c>
      <c r="I52">
        <v>8</v>
      </c>
      <c r="J52">
        <v>14.72942352472889</v>
      </c>
    </row>
    <row r="53" spans="1:10" x14ac:dyDescent="0.2">
      <c r="A53" t="s">
        <v>221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385</v>
      </c>
      <c r="I53">
        <v>14</v>
      </c>
      <c r="J53">
        <v>-0.34703170207646011</v>
      </c>
    </row>
    <row r="54" spans="1:10" x14ac:dyDescent="0.2">
      <c r="A54" t="s">
        <v>319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16</v>
      </c>
      <c r="J54">
        <v>-11.471425536201769</v>
      </c>
    </row>
    <row r="55" spans="1:10" x14ac:dyDescent="0.2">
      <c r="A55" t="s">
        <v>235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383</v>
      </c>
      <c r="I55">
        <v>15</v>
      </c>
      <c r="J55">
        <v>-2.43869723675573</v>
      </c>
    </row>
    <row r="56" spans="1:10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7</v>
      </c>
      <c r="J56">
        <v>15.01820898903012</v>
      </c>
    </row>
    <row r="57" spans="1:10" x14ac:dyDescent="0.2">
      <c r="A57" t="s">
        <v>27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382</v>
      </c>
      <c r="I57">
        <v>10</v>
      </c>
      <c r="J57">
        <v>15.7373824689671</v>
      </c>
    </row>
    <row r="58" spans="1:10" x14ac:dyDescent="0.2">
      <c r="A58" t="s">
        <v>316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16</v>
      </c>
      <c r="J58">
        <v>-9.4717636747576321</v>
      </c>
    </row>
    <row r="59" spans="1:10" x14ac:dyDescent="0.2">
      <c r="A59" t="s">
        <v>55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384</v>
      </c>
      <c r="I59">
        <v>11</v>
      </c>
      <c r="J59">
        <v>10.62507679613563</v>
      </c>
    </row>
    <row r="60" spans="1:10" x14ac:dyDescent="0.2">
      <c r="A60" t="s">
        <v>186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382</v>
      </c>
      <c r="I60">
        <v>15</v>
      </c>
      <c r="J60">
        <v>1.063936136616795</v>
      </c>
    </row>
    <row r="61" spans="1:10" x14ac:dyDescent="0.2">
      <c r="A61" t="s">
        <v>179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13</v>
      </c>
      <c r="J61">
        <v>1.3139417704256631</v>
      </c>
    </row>
    <row r="62" spans="1:10" x14ac:dyDescent="0.2">
      <c r="A62" t="s">
        <v>43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384</v>
      </c>
      <c r="I62">
        <v>10</v>
      </c>
      <c r="J62">
        <v>12.78042205274066</v>
      </c>
    </row>
    <row r="63" spans="1:10" x14ac:dyDescent="0.2">
      <c r="A63" t="s">
        <v>44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383</v>
      </c>
      <c r="I63">
        <v>8</v>
      </c>
      <c r="J63">
        <v>11.840993072985089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16.148066436541431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3.0807597689023769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2026-03-21T21:00:57Z</dcterms:modified>
</cp:coreProperties>
</file>