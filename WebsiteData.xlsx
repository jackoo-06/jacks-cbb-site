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827F12A8-D481-9248-A70D-F74F164E04FA}" xr6:coauthVersionLast="47" xr6:coauthVersionMax="47" xr10:uidLastSave="{00000000-0000-0000-0000-000000000000}"/>
  <bookViews>
    <workbookView xWindow="0" yWindow="780" windowWidth="18700" windowHeight="19940" activeTab="3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  <externalReference r:id="rId9"/>
  </externalReferences>
  <definedNames>
    <definedName name="_xlnm._FilterDatabase" localSheetId="3" hidden="1">Rankings!$A$1:$F$1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H2" i="1"/>
  <c r="K13" i="5"/>
  <c r="C2" i="4"/>
  <c r="O28" i="4" l="1"/>
  <c r="L28" i="4"/>
  <c r="F28" i="4"/>
  <c r="B28" i="4"/>
  <c r="O27" i="4"/>
  <c r="L27" i="4"/>
  <c r="F27" i="4"/>
  <c r="G27" i="4" s="1"/>
  <c r="B27" i="4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O24" i="4" l="1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E2" i="1" l="1"/>
  <c r="I2" i="1" l="1"/>
  <c r="G2" i="1"/>
  <c r="E78" i="2" l="1"/>
  <c r="E150" i="2" l="1"/>
  <c r="F150" i="2"/>
  <c r="E151" i="2"/>
  <c r="F151" i="2"/>
  <c r="E152" i="2"/>
  <c r="F152" i="2"/>
  <c r="E153" i="2"/>
  <c r="F153" i="2"/>
  <c r="E154" i="2"/>
  <c r="F154" i="2"/>
  <c r="E155" i="2"/>
  <c r="F155" i="2"/>
  <c r="E156" i="2"/>
  <c r="F156" i="2"/>
  <c r="E157" i="2"/>
  <c r="F157" i="2"/>
  <c r="E158" i="2"/>
  <c r="F158" i="2"/>
  <c r="E159" i="2"/>
  <c r="F159" i="2"/>
  <c r="E160" i="2"/>
  <c r="F160" i="2"/>
  <c r="E161" i="2"/>
  <c r="F161" i="2"/>
  <c r="E162" i="2"/>
  <c r="F162" i="2"/>
  <c r="E163" i="2"/>
  <c r="F163" i="2"/>
  <c r="E164" i="2"/>
  <c r="F164" i="2"/>
  <c r="E165" i="2"/>
  <c r="F165" i="2"/>
  <c r="E166" i="2"/>
  <c r="F166" i="2"/>
  <c r="E167" i="2"/>
  <c r="F167" i="2"/>
  <c r="E168" i="2"/>
  <c r="F168" i="2"/>
  <c r="E169" i="2"/>
  <c r="F169" i="2"/>
  <c r="E170" i="2"/>
  <c r="F170" i="2"/>
  <c r="E171" i="2"/>
  <c r="F171" i="2"/>
  <c r="E172" i="2"/>
  <c r="F172" i="2"/>
  <c r="E173" i="2"/>
  <c r="F173" i="2"/>
  <c r="E174" i="2"/>
  <c r="F174" i="2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33" i="2"/>
  <c r="F233" i="2"/>
  <c r="E234" i="2"/>
  <c r="F234" i="2"/>
  <c r="E235" i="2"/>
  <c r="F235" i="2"/>
  <c r="E236" i="2"/>
  <c r="F236" i="2"/>
  <c r="E237" i="2"/>
  <c r="F237" i="2"/>
  <c r="E238" i="2"/>
  <c r="F238" i="2"/>
  <c r="E239" i="2"/>
  <c r="F239" i="2"/>
  <c r="E240" i="2"/>
  <c r="F240" i="2"/>
  <c r="E241" i="2"/>
  <c r="F241" i="2"/>
  <c r="E242" i="2"/>
  <c r="F24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63" i="2"/>
  <c r="F263" i="2"/>
  <c r="E264" i="2"/>
  <c r="F264" i="2"/>
  <c r="E265" i="2"/>
  <c r="F265" i="2"/>
  <c r="E266" i="2"/>
  <c r="F266" i="2"/>
  <c r="E267" i="2"/>
  <c r="F267" i="2"/>
  <c r="E268" i="2"/>
  <c r="F268" i="2"/>
  <c r="E269" i="2"/>
  <c r="F269" i="2"/>
  <c r="E270" i="2"/>
  <c r="F270" i="2"/>
  <c r="E271" i="2"/>
  <c r="F271" i="2"/>
  <c r="E272" i="2"/>
  <c r="F272" i="2"/>
  <c r="E273" i="2"/>
  <c r="F273" i="2"/>
  <c r="E274" i="2"/>
  <c r="F274" i="2"/>
  <c r="E275" i="2"/>
  <c r="F275" i="2"/>
  <c r="E276" i="2"/>
  <c r="F276" i="2"/>
  <c r="E277" i="2"/>
  <c r="F277" i="2"/>
  <c r="E278" i="2"/>
  <c r="F278" i="2"/>
  <c r="E279" i="2"/>
  <c r="F279" i="2"/>
  <c r="E280" i="2"/>
  <c r="F280" i="2"/>
  <c r="E281" i="2"/>
  <c r="F281" i="2"/>
  <c r="E282" i="2"/>
  <c r="F282" i="2"/>
  <c r="E283" i="2"/>
  <c r="F283" i="2"/>
  <c r="E284" i="2"/>
  <c r="F284" i="2"/>
  <c r="E285" i="2"/>
  <c r="F285" i="2"/>
  <c r="E286" i="2"/>
  <c r="F286" i="2"/>
  <c r="E287" i="2"/>
  <c r="F287" i="2"/>
  <c r="E288" i="2"/>
  <c r="F288" i="2"/>
  <c r="E289" i="2"/>
  <c r="F289" i="2"/>
  <c r="E290" i="2"/>
  <c r="F290" i="2"/>
  <c r="E291" i="2"/>
  <c r="F291" i="2"/>
  <c r="E292" i="2"/>
  <c r="F292" i="2"/>
  <c r="E293" i="2"/>
  <c r="F293" i="2"/>
  <c r="E294" i="2"/>
  <c r="F294" i="2"/>
  <c r="E295" i="2"/>
  <c r="F295" i="2"/>
  <c r="E296" i="2"/>
  <c r="F296" i="2"/>
  <c r="E297" i="2"/>
  <c r="F297" i="2"/>
  <c r="E298" i="2"/>
  <c r="F298" i="2"/>
  <c r="E299" i="2"/>
  <c r="F299" i="2"/>
  <c r="E300" i="2"/>
  <c r="F300" i="2"/>
  <c r="E301" i="2"/>
  <c r="F301" i="2"/>
  <c r="E302" i="2"/>
  <c r="F302" i="2"/>
  <c r="E303" i="2"/>
  <c r="F303" i="2"/>
  <c r="E304" i="2"/>
  <c r="F304" i="2"/>
  <c r="E305" i="2"/>
  <c r="F305" i="2"/>
  <c r="E306" i="2"/>
  <c r="F306" i="2"/>
  <c r="E307" i="2"/>
  <c r="F307" i="2"/>
  <c r="E308" i="2"/>
  <c r="F308" i="2"/>
  <c r="E309" i="2"/>
  <c r="F309" i="2"/>
  <c r="E310" i="2"/>
  <c r="F310" i="2"/>
  <c r="E311" i="2"/>
  <c r="F311" i="2"/>
  <c r="E312" i="2"/>
  <c r="F312" i="2"/>
  <c r="E313" i="2"/>
  <c r="F313" i="2"/>
  <c r="E314" i="2"/>
  <c r="F314" i="2"/>
  <c r="E315" i="2"/>
  <c r="F315" i="2"/>
  <c r="E316" i="2"/>
  <c r="F316" i="2"/>
  <c r="E317" i="2"/>
  <c r="F317" i="2"/>
  <c r="E318" i="2"/>
  <c r="F318" i="2"/>
  <c r="E319" i="2"/>
  <c r="F319" i="2"/>
  <c r="E320" i="2"/>
  <c r="F320" i="2"/>
  <c r="E321" i="2"/>
  <c r="F321" i="2"/>
  <c r="E322" i="2"/>
  <c r="F322" i="2"/>
  <c r="E323" i="2"/>
  <c r="F323" i="2"/>
  <c r="E324" i="2"/>
  <c r="F324" i="2"/>
  <c r="E325" i="2"/>
  <c r="F325" i="2"/>
  <c r="E326" i="2"/>
  <c r="F326" i="2"/>
  <c r="E327" i="2"/>
  <c r="F327" i="2"/>
  <c r="E328" i="2"/>
  <c r="F328" i="2"/>
  <c r="E329" i="2"/>
  <c r="F329" i="2"/>
  <c r="E330" i="2"/>
  <c r="F330" i="2"/>
  <c r="E331" i="2"/>
  <c r="F331" i="2"/>
  <c r="E332" i="2"/>
  <c r="F332" i="2"/>
  <c r="E333" i="2"/>
  <c r="F333" i="2"/>
  <c r="E334" i="2"/>
  <c r="F334" i="2"/>
  <c r="E335" i="2"/>
  <c r="F335" i="2"/>
  <c r="E336" i="2"/>
  <c r="F336" i="2"/>
  <c r="E337" i="2"/>
  <c r="F337" i="2"/>
  <c r="E338" i="2"/>
  <c r="F338" i="2"/>
  <c r="E339" i="2"/>
  <c r="F339" i="2"/>
  <c r="E340" i="2"/>
  <c r="F340" i="2"/>
  <c r="E341" i="2"/>
  <c r="F341" i="2"/>
  <c r="E342" i="2"/>
  <c r="F342" i="2"/>
  <c r="E343" i="2"/>
  <c r="F343" i="2"/>
  <c r="E344" i="2"/>
  <c r="F344" i="2"/>
  <c r="E345" i="2"/>
  <c r="F345" i="2"/>
  <c r="E346" i="2"/>
  <c r="F346" i="2"/>
  <c r="E347" i="2"/>
  <c r="F347" i="2"/>
  <c r="E348" i="2"/>
  <c r="F348" i="2"/>
  <c r="E349" i="2"/>
  <c r="F349" i="2"/>
  <c r="E350" i="2"/>
  <c r="F350" i="2"/>
  <c r="E351" i="2"/>
  <c r="F351" i="2"/>
  <c r="E352" i="2"/>
  <c r="F352" i="2"/>
  <c r="E353" i="2"/>
  <c r="F353" i="2"/>
  <c r="E354" i="2"/>
  <c r="F354" i="2"/>
  <c r="E355" i="2"/>
  <c r="F355" i="2"/>
  <c r="E356" i="2"/>
  <c r="F356" i="2"/>
  <c r="E357" i="2"/>
  <c r="F357" i="2"/>
  <c r="E358" i="2"/>
  <c r="F358" i="2"/>
  <c r="E359" i="2"/>
  <c r="F359" i="2"/>
  <c r="E360" i="2"/>
  <c r="F360" i="2"/>
  <c r="E361" i="2"/>
  <c r="F361" i="2"/>
  <c r="E362" i="2"/>
  <c r="F362" i="2"/>
  <c r="E363" i="2"/>
  <c r="F363" i="2"/>
  <c r="E364" i="2"/>
  <c r="F364" i="2"/>
  <c r="E365" i="2"/>
  <c r="F365" i="2"/>
  <c r="E366" i="2"/>
  <c r="F366" i="2"/>
  <c r="E3" i="2"/>
  <c r="F3" i="2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E34" i="2"/>
  <c r="F34" i="2"/>
  <c r="E35" i="2"/>
  <c r="F35" i="2"/>
  <c r="E36" i="2"/>
  <c r="F36" i="2"/>
  <c r="E37" i="2"/>
  <c r="F37" i="2"/>
  <c r="E38" i="2"/>
  <c r="F38" i="2"/>
  <c r="E39" i="2"/>
  <c r="F39" i="2"/>
  <c r="E40" i="2"/>
  <c r="F40" i="2"/>
  <c r="E41" i="2"/>
  <c r="F41" i="2"/>
  <c r="E42" i="2"/>
  <c r="F42" i="2"/>
  <c r="E43" i="2"/>
  <c r="F43" i="2"/>
  <c r="E44" i="2"/>
  <c r="F44" i="2"/>
  <c r="E45" i="2"/>
  <c r="F45" i="2"/>
  <c r="E46" i="2"/>
  <c r="F46" i="2"/>
  <c r="E47" i="2"/>
  <c r="F47" i="2"/>
  <c r="E48" i="2"/>
  <c r="F48" i="2"/>
  <c r="E49" i="2"/>
  <c r="F49" i="2"/>
  <c r="E50" i="2"/>
  <c r="F50" i="2"/>
  <c r="E51" i="2"/>
  <c r="F51" i="2"/>
  <c r="E52" i="2"/>
  <c r="F52" i="2"/>
  <c r="E53" i="2"/>
  <c r="F53" i="2"/>
  <c r="E54" i="2"/>
  <c r="F54" i="2"/>
  <c r="E55" i="2"/>
  <c r="F55" i="2"/>
  <c r="E56" i="2"/>
  <c r="F56" i="2"/>
  <c r="E57" i="2"/>
  <c r="F57" i="2"/>
  <c r="E58" i="2"/>
  <c r="F58" i="2"/>
  <c r="E59" i="2"/>
  <c r="F59" i="2"/>
  <c r="E60" i="2"/>
  <c r="F60" i="2"/>
  <c r="E61" i="2"/>
  <c r="F61" i="2"/>
  <c r="E62" i="2"/>
  <c r="F62" i="2"/>
  <c r="E63" i="2"/>
  <c r="F63" i="2"/>
  <c r="E64" i="2"/>
  <c r="F64" i="2"/>
  <c r="E65" i="2"/>
  <c r="F65" i="2"/>
  <c r="E66" i="2"/>
  <c r="F66" i="2"/>
  <c r="E67" i="2"/>
  <c r="F67" i="2"/>
  <c r="E68" i="2"/>
  <c r="F68" i="2"/>
  <c r="E69" i="2"/>
  <c r="F69" i="2"/>
  <c r="E70" i="2"/>
  <c r="F70" i="2"/>
  <c r="E71" i="2"/>
  <c r="F71" i="2"/>
  <c r="E72" i="2"/>
  <c r="F72" i="2"/>
  <c r="E73" i="2"/>
  <c r="F73" i="2"/>
  <c r="E74" i="2"/>
  <c r="F74" i="2"/>
  <c r="E75" i="2"/>
  <c r="F75" i="2"/>
  <c r="E76" i="2"/>
  <c r="F76" i="2"/>
  <c r="E77" i="2"/>
  <c r="F77" i="2"/>
  <c r="F78" i="2"/>
  <c r="E79" i="2"/>
  <c r="F79" i="2"/>
  <c r="E80" i="2"/>
  <c r="F80" i="2"/>
  <c r="E81" i="2"/>
  <c r="F81" i="2"/>
  <c r="E82" i="2"/>
  <c r="F82" i="2"/>
  <c r="E83" i="2"/>
  <c r="F83" i="2"/>
  <c r="E84" i="2"/>
  <c r="F84" i="2"/>
  <c r="E85" i="2"/>
  <c r="F85" i="2"/>
  <c r="E86" i="2"/>
  <c r="F86" i="2"/>
  <c r="E87" i="2"/>
  <c r="F87" i="2"/>
  <c r="E88" i="2"/>
  <c r="F88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122" i="2"/>
  <c r="F122" i="2"/>
  <c r="E123" i="2"/>
  <c r="F123" i="2"/>
  <c r="E124" i="2"/>
  <c r="F124" i="2"/>
  <c r="E125" i="2"/>
  <c r="F125" i="2"/>
  <c r="E126" i="2"/>
  <c r="F126" i="2"/>
  <c r="E127" i="2"/>
  <c r="F127" i="2"/>
  <c r="E128" i="2"/>
  <c r="F128" i="2"/>
  <c r="E129" i="2"/>
  <c r="F129" i="2"/>
  <c r="E130" i="2"/>
  <c r="F130" i="2"/>
  <c r="E131" i="2"/>
  <c r="F131" i="2"/>
  <c r="E132" i="2"/>
  <c r="F132" i="2"/>
  <c r="E133" i="2"/>
  <c r="F133" i="2"/>
  <c r="E134" i="2"/>
  <c r="F134" i="2"/>
  <c r="E135" i="2"/>
  <c r="F135" i="2"/>
  <c r="E136" i="2"/>
  <c r="F136" i="2"/>
  <c r="E137" i="2"/>
  <c r="F137" i="2"/>
  <c r="E138" i="2"/>
  <c r="F138" i="2"/>
  <c r="E139" i="2"/>
  <c r="F139" i="2"/>
  <c r="E140" i="2"/>
  <c r="F140" i="2"/>
  <c r="E141" i="2"/>
  <c r="F141" i="2"/>
  <c r="E142" i="2"/>
  <c r="F142" i="2"/>
  <c r="E143" i="2"/>
  <c r="F143" i="2"/>
  <c r="E144" i="2"/>
  <c r="F144" i="2"/>
  <c r="E145" i="2"/>
  <c r="F145" i="2"/>
  <c r="E146" i="2"/>
  <c r="F146" i="2"/>
  <c r="E147" i="2"/>
  <c r="F147" i="2"/>
  <c r="E148" i="2"/>
  <c r="F148" i="2"/>
  <c r="E149" i="2"/>
  <c r="F149" i="2"/>
  <c r="F2" i="2"/>
  <c r="E2" i="2"/>
  <c r="B366" i="2" l="1"/>
  <c r="B177" i="2"/>
  <c r="B2" i="2"/>
  <c r="B119" i="2" l="1"/>
  <c r="B44" i="2"/>
  <c r="B238" i="2"/>
  <c r="B214" i="2"/>
  <c r="B82" i="2"/>
  <c r="B346" i="2"/>
  <c r="B360" i="2"/>
  <c r="B183" i="2"/>
  <c r="B162" i="2"/>
  <c r="B229" i="2"/>
  <c r="B115" i="2"/>
  <c r="B351" i="2"/>
  <c r="B208" i="2"/>
  <c r="B281" i="2"/>
  <c r="B152" i="2"/>
  <c r="B309" i="2"/>
  <c r="B187" i="2"/>
  <c r="B292" i="2"/>
  <c r="B129" i="2"/>
  <c r="B342" i="2"/>
  <c r="B84" i="2"/>
  <c r="B196" i="2"/>
  <c r="B207" i="2"/>
  <c r="B340" i="2"/>
  <c r="B135" i="2"/>
  <c r="B111" i="2"/>
  <c r="B343" i="2"/>
  <c r="B278" i="2"/>
  <c r="B263" i="2"/>
  <c r="B122" i="2"/>
  <c r="B156" i="2"/>
  <c r="B279" i="2"/>
  <c r="B318" i="2"/>
  <c r="B331" i="2"/>
  <c r="B5" i="2"/>
  <c r="B344" i="2"/>
  <c r="B160" i="2"/>
  <c r="B79" i="2"/>
  <c r="B332" i="2"/>
  <c r="B179" i="2"/>
  <c r="B121" i="2"/>
  <c r="B212" i="2"/>
  <c r="B94" i="2"/>
  <c r="B288" i="2"/>
  <c r="B218" i="2"/>
  <c r="B108" i="2"/>
  <c r="B174" i="2"/>
  <c r="B239" i="2"/>
  <c r="B285" i="2"/>
  <c r="B68" i="2"/>
  <c r="B88" i="2"/>
  <c r="B157" i="2"/>
  <c r="B50" i="2"/>
  <c r="B365" i="2"/>
  <c r="B40" i="2"/>
  <c r="B78" i="2"/>
  <c r="B126" i="2"/>
  <c r="B143" i="2"/>
  <c r="B294" i="2"/>
  <c r="B191" i="2"/>
  <c r="B58" i="2"/>
  <c r="B77" i="2"/>
  <c r="B36" i="2"/>
  <c r="B11" i="2"/>
  <c r="B203" i="2"/>
  <c r="B355" i="2"/>
  <c r="B270" i="2"/>
  <c r="B226" i="2"/>
  <c r="B233" i="2"/>
  <c r="B314" i="2"/>
  <c r="B43" i="2"/>
  <c r="B315" i="2"/>
  <c r="B220" i="2"/>
  <c r="B241" i="2"/>
  <c r="B55" i="2"/>
  <c r="B349" i="2"/>
  <c r="B223" i="2"/>
  <c r="B136" i="2"/>
  <c r="B282" i="2"/>
  <c r="B42" i="2"/>
  <c r="B206" i="2"/>
  <c r="B32" i="2"/>
  <c r="B181" i="2"/>
  <c r="B158" i="2"/>
  <c r="B124" i="2"/>
  <c r="B71" i="2"/>
  <c r="B327" i="2"/>
  <c r="B102" i="2"/>
  <c r="B274" i="2"/>
  <c r="B69" i="2"/>
  <c r="B74" i="2"/>
  <c r="B305" i="2"/>
  <c r="B189" i="2"/>
  <c r="B131" i="2"/>
  <c r="B180" i="2"/>
  <c r="B61" i="2"/>
  <c r="B170" i="2"/>
  <c r="B155" i="2"/>
  <c r="B97" i="2"/>
  <c r="B252" i="2"/>
  <c r="B246" i="2"/>
  <c r="B35" i="2"/>
  <c r="B312" i="2"/>
  <c r="B240" i="2"/>
  <c r="B356" i="2"/>
  <c r="B140" i="2"/>
  <c r="B41" i="2"/>
  <c r="B13" i="2"/>
  <c r="B38" i="2"/>
  <c r="B64" i="2"/>
  <c r="B211" i="2"/>
  <c r="B277" i="2"/>
  <c r="B317" i="2"/>
  <c r="B73" i="2"/>
  <c r="B348" i="2"/>
  <c r="B53" i="2"/>
  <c r="B150" i="2"/>
  <c r="B334" i="2"/>
  <c r="B15" i="2"/>
  <c r="B106" i="2"/>
  <c r="B128" i="2"/>
  <c r="B283" i="2"/>
  <c r="B353" i="2"/>
  <c r="B109" i="2"/>
  <c r="B287" i="2"/>
  <c r="B89" i="2"/>
  <c r="B127" i="2"/>
  <c r="B289" i="2"/>
  <c r="B330" i="2"/>
  <c r="B93" i="2"/>
  <c r="B164" i="2"/>
  <c r="B251" i="2"/>
  <c r="B224" i="2"/>
  <c r="B301" i="2"/>
  <c r="B148" i="2"/>
  <c r="B31" i="2"/>
  <c r="B101" i="2"/>
  <c r="B361" i="2"/>
  <c r="B311" i="2"/>
  <c r="B165" i="2"/>
  <c r="B284" i="2"/>
  <c r="B350" i="2"/>
  <c r="B264" i="2"/>
  <c r="B56" i="2"/>
  <c r="B153" i="2"/>
  <c r="B116" i="2"/>
  <c r="B30" i="2"/>
  <c r="B237" i="2"/>
  <c r="B280" i="2"/>
  <c r="B272" i="2"/>
  <c r="B105" i="2"/>
  <c r="B48" i="2"/>
  <c r="B269" i="2"/>
  <c r="B83" i="2"/>
  <c r="B182" i="2"/>
  <c r="B86" i="2"/>
  <c r="B112" i="2"/>
  <c r="B219" i="2"/>
  <c r="B329" i="2"/>
  <c r="B290" i="2"/>
  <c r="B325" i="2"/>
  <c r="B247" i="2"/>
  <c r="B23" i="2"/>
  <c r="B286" i="2"/>
  <c r="B323" i="2"/>
  <c r="B7" i="2"/>
  <c r="B27" i="2"/>
  <c r="B51" i="2"/>
  <c r="B245" i="2"/>
  <c r="B232" i="2"/>
  <c r="B337" i="2"/>
  <c r="B244" i="2"/>
  <c r="B171" i="2"/>
  <c r="B178" i="2"/>
  <c r="B190" i="2"/>
  <c r="B184" i="2"/>
  <c r="B138" i="2"/>
  <c r="B300" i="2"/>
  <c r="B62" i="2"/>
  <c r="B154" i="2"/>
  <c r="B167" i="2"/>
  <c r="B12" i="2"/>
  <c r="B24" i="2"/>
  <c r="B70" i="2"/>
  <c r="B3" i="2"/>
  <c r="B271" i="2"/>
  <c r="B67" i="2"/>
  <c r="B307" i="2"/>
  <c r="B216" i="2"/>
  <c r="B161" i="2"/>
  <c r="B98" i="2"/>
  <c r="B295" i="2"/>
  <c r="B303" i="2"/>
  <c r="B231" i="2"/>
  <c r="B75" i="2"/>
  <c r="B248" i="2"/>
  <c r="B304" i="2"/>
  <c r="B34" i="2"/>
  <c r="B175" i="2"/>
  <c r="B230" i="2"/>
  <c r="B168" i="2"/>
  <c r="B151" i="2"/>
  <c r="B221" i="2"/>
  <c r="B149" i="2"/>
  <c r="B291" i="2"/>
  <c r="B14" i="2"/>
  <c r="B210" i="2"/>
  <c r="B146" i="2"/>
  <c r="B354" i="2"/>
  <c r="B92" i="2"/>
  <c r="B33" i="2"/>
  <c r="B120" i="2"/>
  <c r="B123" i="2"/>
  <c r="B202" i="2"/>
  <c r="B254" i="2"/>
  <c r="B99" i="2"/>
  <c r="B259" i="2"/>
  <c r="B147" i="2"/>
  <c r="B107" i="2"/>
  <c r="B205" i="2"/>
  <c r="B204" i="2"/>
  <c r="B357" i="2"/>
  <c r="B60" i="2"/>
  <c r="B185" i="2"/>
  <c r="B302" i="2"/>
  <c r="B235" i="2"/>
  <c r="B225" i="2"/>
  <c r="B169" i="2"/>
  <c r="B276" i="2"/>
  <c r="B76" i="2"/>
  <c r="B217" i="2"/>
  <c r="B297" i="2"/>
  <c r="B328" i="2"/>
  <c r="B319" i="2"/>
  <c r="B266" i="2"/>
  <c r="B268" i="2"/>
  <c r="B341" i="2"/>
  <c r="B29" i="2"/>
  <c r="B236" i="2"/>
  <c r="B257" i="2"/>
  <c r="B293" i="2"/>
  <c r="B339" i="2"/>
  <c r="B198" i="2"/>
  <c r="B145" i="2"/>
  <c r="B255" i="2"/>
  <c r="B306" i="2"/>
  <c r="B260" i="2"/>
  <c r="B313" i="2"/>
  <c r="B258" i="2"/>
  <c r="B134" i="2"/>
  <c r="B359" i="2"/>
  <c r="B267" i="2"/>
  <c r="B197" i="2"/>
  <c r="B18" i="2"/>
  <c r="B9" i="2"/>
  <c r="B95" i="2"/>
  <c r="B10" i="2"/>
  <c r="B324" i="2"/>
  <c r="B142" i="2"/>
  <c r="B125" i="2"/>
  <c r="B308" i="2"/>
  <c r="B117" i="2"/>
  <c r="B296" i="2"/>
  <c r="B275" i="2"/>
  <c r="B163" i="2"/>
  <c r="B130" i="2"/>
  <c r="B362" i="2"/>
  <c r="B141" i="2"/>
  <c r="B85" i="2"/>
  <c r="B87" i="2"/>
  <c r="B322" i="2"/>
  <c r="B213" i="2"/>
  <c r="B28" i="2"/>
  <c r="B20" i="2"/>
  <c r="B96" i="2"/>
  <c r="B8" i="2"/>
  <c r="B103" i="2"/>
  <c r="B25" i="2"/>
  <c r="B80" i="2"/>
  <c r="B37" i="2"/>
  <c r="B91" i="2"/>
  <c r="B192" i="2"/>
  <c r="B57" i="2"/>
  <c r="B19" i="2"/>
  <c r="B194" i="2"/>
  <c r="B188" i="2"/>
  <c r="B90" i="2"/>
  <c r="B310" i="2"/>
  <c r="B39" i="2"/>
  <c r="B100" i="2"/>
  <c r="B326" i="2"/>
  <c r="B133" i="2"/>
  <c r="B215" i="2"/>
  <c r="B63" i="2"/>
  <c r="B335" i="2"/>
  <c r="B250" i="2"/>
  <c r="B186" i="2"/>
  <c r="B199" i="2"/>
  <c r="B4" i="2"/>
  <c r="B321" i="2"/>
  <c r="B132" i="2"/>
  <c r="B195" i="2"/>
  <c r="B81" i="2"/>
  <c r="B26" i="2"/>
  <c r="B261" i="2"/>
  <c r="B227" i="2"/>
  <c r="B139" i="2"/>
  <c r="B234" i="2"/>
  <c r="B173" i="2"/>
  <c r="B166" i="2"/>
  <c r="B243" i="2"/>
  <c r="B104" i="2"/>
  <c r="B172" i="2"/>
  <c r="B358" i="2"/>
  <c r="B113" i="2"/>
  <c r="B47" i="2"/>
  <c r="B193" i="2"/>
  <c r="B65" i="2"/>
  <c r="B176" i="2"/>
  <c r="B364" i="2"/>
  <c r="B22" i="2"/>
  <c r="B66" i="2"/>
  <c r="B345" i="2"/>
  <c r="B110" i="2"/>
  <c r="B228" i="2"/>
  <c r="B59" i="2"/>
  <c r="B256" i="2"/>
  <c r="B137" i="2"/>
  <c r="B159" i="2"/>
  <c r="B320" i="2"/>
  <c r="B45" i="2"/>
  <c r="B6" i="2"/>
  <c r="B54" i="2"/>
  <c r="B336" i="2"/>
  <c r="B222" i="2"/>
  <c r="B118" i="2"/>
  <c r="B46" i="2"/>
  <c r="B363" i="2"/>
  <c r="B17" i="2"/>
  <c r="B144" i="2"/>
  <c r="B333" i="2"/>
  <c r="B200" i="2"/>
  <c r="B262" i="2"/>
  <c r="B72" i="2"/>
  <c r="B242" i="2"/>
  <c r="B253" i="2"/>
  <c r="B316" i="2"/>
  <c r="B21" i="2"/>
  <c r="B209" i="2"/>
  <c r="B49" i="2"/>
  <c r="B299" i="2"/>
  <c r="B201" i="2"/>
  <c r="B16" i="2"/>
  <c r="B273" i="2"/>
  <c r="B338" i="2"/>
  <c r="B52" i="2"/>
  <c r="B347" i="2"/>
  <c r="B249" i="2"/>
  <c r="B352" i="2"/>
  <c r="B298" i="2"/>
  <c r="B265" i="2"/>
  <c r="B114" i="2"/>
  <c r="C113" i="2" l="1"/>
  <c r="D113" i="2" s="1"/>
  <c r="C243" i="2"/>
  <c r="D243" i="2" s="1"/>
  <c r="C139" i="2"/>
  <c r="D139" i="2" s="1"/>
  <c r="C81" i="2"/>
  <c r="D81" i="2" s="1"/>
  <c r="C4" i="2"/>
  <c r="D4" i="2" s="1"/>
  <c r="C366" i="2"/>
  <c r="D366" i="2" s="1"/>
  <c r="C335" i="2"/>
  <c r="D335" i="2" s="1"/>
  <c r="C326" i="2"/>
  <c r="D326" i="2" s="1"/>
  <c r="C90" i="2"/>
  <c r="D90" i="2" s="1"/>
  <c r="C57" i="2"/>
  <c r="D57" i="2" s="1"/>
  <c r="C80" i="2"/>
  <c r="D80" i="2" s="1"/>
  <c r="C96" i="2"/>
  <c r="D96" i="2" s="1"/>
  <c r="C322" i="2"/>
  <c r="D322" i="2" s="1"/>
  <c r="C362" i="2"/>
  <c r="D362" i="2" s="1"/>
  <c r="C296" i="2"/>
  <c r="D296" i="2" s="1"/>
  <c r="C142" i="2"/>
  <c r="D142" i="2" s="1"/>
  <c r="C9" i="2"/>
  <c r="D9" i="2" s="1"/>
  <c r="C359" i="2"/>
  <c r="D359" i="2" s="1"/>
  <c r="C260" i="2"/>
  <c r="D260" i="2" s="1"/>
  <c r="C198" i="2"/>
  <c r="D198" i="2" s="1"/>
  <c r="C236" i="2"/>
  <c r="D236" i="2" s="1"/>
  <c r="C253" i="2"/>
  <c r="D253" i="2" s="1"/>
  <c r="C320" i="2"/>
  <c r="D320" i="2" s="1"/>
  <c r="C59" i="2"/>
  <c r="D59" i="2" s="1"/>
  <c r="C66" i="2"/>
  <c r="D66" i="2" s="1"/>
  <c r="C65" i="2"/>
  <c r="D65" i="2" s="1"/>
  <c r="C273" i="2"/>
  <c r="D273" i="2" s="1"/>
  <c r="C200" i="2"/>
  <c r="D200" i="2" s="1"/>
  <c r="C249" i="2"/>
  <c r="D249" i="2" s="1"/>
  <c r="C49" i="2"/>
  <c r="D49" i="2" s="1"/>
  <c r="C363" i="2"/>
  <c r="D363" i="2" s="1"/>
  <c r="C265" i="2"/>
  <c r="D265" i="2" s="1"/>
  <c r="C347" i="2"/>
  <c r="D347" i="2" s="1"/>
  <c r="C16" i="2"/>
  <c r="D16" i="2" s="1"/>
  <c r="C209" i="2"/>
  <c r="D209" i="2" s="1"/>
  <c r="C114" i="2"/>
  <c r="D114" i="2" s="1"/>
  <c r="C336" i="2"/>
  <c r="D336" i="2" s="1"/>
  <c r="C266" i="2"/>
  <c r="D266" i="2" s="1"/>
  <c r="C217" i="2"/>
  <c r="D217" i="2" s="1"/>
  <c r="C225" i="2"/>
  <c r="D225" i="2" s="1"/>
  <c r="C60" i="2"/>
  <c r="D60" i="2" s="1"/>
  <c r="C107" i="2"/>
  <c r="D107" i="2" s="1"/>
  <c r="C254" i="2"/>
  <c r="D254" i="2" s="1"/>
  <c r="C33" i="2"/>
  <c r="D33" i="2" s="1"/>
  <c r="C210" i="2"/>
  <c r="D210" i="2" s="1"/>
  <c r="C221" i="2"/>
  <c r="D221" i="2" s="1"/>
  <c r="C175" i="2"/>
  <c r="D175" i="2" s="1"/>
  <c r="C75" i="2"/>
  <c r="D75" i="2" s="1"/>
  <c r="C98" i="2"/>
  <c r="D98" i="2" s="1"/>
  <c r="C67" i="2"/>
  <c r="D67" i="2" s="1"/>
  <c r="C24" i="2"/>
  <c r="D24" i="2" s="1"/>
  <c r="C62" i="2"/>
  <c r="D62" i="2" s="1"/>
  <c r="C190" i="2"/>
  <c r="D190" i="2" s="1"/>
  <c r="C337" i="2"/>
  <c r="D337" i="2" s="1"/>
  <c r="C27" i="2"/>
  <c r="D27" i="2" s="1"/>
  <c r="C23" i="2"/>
  <c r="D23" i="2" s="1"/>
  <c r="C329" i="2"/>
  <c r="D329" i="2" s="1"/>
  <c r="C178" i="2"/>
  <c r="D178" i="2" s="1"/>
  <c r="C232" i="2"/>
  <c r="D232" i="2" s="1"/>
  <c r="C7" i="2"/>
  <c r="D7" i="2" s="1"/>
  <c r="C247" i="2"/>
  <c r="D247" i="2" s="1"/>
  <c r="C242" i="2"/>
  <c r="D242" i="2" s="1"/>
  <c r="C333" i="2"/>
  <c r="D333" i="2" s="1"/>
  <c r="C46" i="2"/>
  <c r="D46" i="2" s="1"/>
  <c r="C54" i="2"/>
  <c r="D54" i="2" s="1"/>
  <c r="C159" i="2"/>
  <c r="D159" i="2" s="1"/>
  <c r="C228" i="2"/>
  <c r="D228" i="2" s="1"/>
  <c r="C22" i="2"/>
  <c r="D22" i="2" s="1"/>
  <c r="C172" i="2"/>
  <c r="D172" i="2" s="1"/>
  <c r="C173" i="2"/>
  <c r="D173" i="2" s="1"/>
  <c r="C132" i="2"/>
  <c r="D132" i="2" s="1"/>
  <c r="C215" i="2"/>
  <c r="D215" i="2" s="1"/>
  <c r="C39" i="2"/>
  <c r="D39" i="2" s="1"/>
  <c r="C91" i="2"/>
  <c r="D91" i="2" s="1"/>
  <c r="C85" i="2"/>
  <c r="D85" i="2" s="1"/>
  <c r="C308" i="2"/>
  <c r="D308" i="2" s="1"/>
  <c r="C197" i="2"/>
  <c r="D197" i="2" s="1"/>
  <c r="C258" i="2"/>
  <c r="D258" i="2" s="1"/>
  <c r="C255" i="2"/>
  <c r="D255" i="2" s="1"/>
  <c r="C293" i="2"/>
  <c r="D293" i="2" s="1"/>
  <c r="C328" i="2"/>
  <c r="D328" i="2" s="1"/>
  <c r="C276" i="2"/>
  <c r="D276" i="2" s="1"/>
  <c r="C302" i="2"/>
  <c r="D302" i="2" s="1"/>
  <c r="C204" i="2"/>
  <c r="D204" i="2" s="1"/>
  <c r="C259" i="2"/>
  <c r="D259" i="2" s="1"/>
  <c r="C123" i="2"/>
  <c r="D123" i="2" s="1"/>
  <c r="C354" i="2"/>
  <c r="D354" i="2" s="1"/>
  <c r="C291" i="2"/>
  <c r="D291" i="2" s="1"/>
  <c r="C168" i="2"/>
  <c r="D168" i="2" s="1"/>
  <c r="C304" i="2"/>
  <c r="D304" i="2" s="1"/>
  <c r="C303" i="2"/>
  <c r="D303" i="2" s="1"/>
  <c r="C216" i="2"/>
  <c r="D216" i="2" s="1"/>
  <c r="C3" i="2"/>
  <c r="D3" i="2" s="1"/>
  <c r="C2" i="2"/>
  <c r="D2" i="2" s="1"/>
  <c r="C177" i="2"/>
  <c r="D177" i="2" s="1"/>
  <c r="C167" i="2"/>
  <c r="D167" i="2" s="1"/>
  <c r="C138" i="2"/>
  <c r="D138" i="2" s="1"/>
  <c r="C193" i="2"/>
  <c r="D193" i="2" s="1"/>
  <c r="C261" i="2"/>
  <c r="D261" i="2" s="1"/>
  <c r="C186" i="2"/>
  <c r="D186" i="2" s="1"/>
  <c r="C194" i="2"/>
  <c r="D194" i="2" s="1"/>
  <c r="C103" i="2"/>
  <c r="D103" i="2" s="1"/>
  <c r="C28" i="2"/>
  <c r="D28" i="2" s="1"/>
  <c r="C163" i="2"/>
  <c r="D163" i="2" s="1"/>
  <c r="C10" i="2"/>
  <c r="D10" i="2" s="1"/>
  <c r="C341" i="2"/>
  <c r="D341" i="2" s="1"/>
  <c r="C109" i="2"/>
  <c r="D109" i="2" s="1"/>
  <c r="C106" i="2"/>
  <c r="D106" i="2" s="1"/>
  <c r="C53" i="2"/>
  <c r="D53" i="2" s="1"/>
  <c r="C277" i="2"/>
  <c r="D277" i="2" s="1"/>
  <c r="C13" i="2"/>
  <c r="D13" i="2" s="1"/>
  <c r="C240" i="2"/>
  <c r="D240" i="2" s="1"/>
  <c r="C252" i="2"/>
  <c r="D252" i="2" s="1"/>
  <c r="C61" i="2"/>
  <c r="D61" i="2" s="1"/>
  <c r="C305" i="2"/>
  <c r="D305" i="2" s="1"/>
  <c r="C102" i="2"/>
  <c r="D102" i="2" s="1"/>
  <c r="C158" i="2"/>
  <c r="D158" i="2" s="1"/>
  <c r="C42" i="2"/>
  <c r="D42" i="2" s="1"/>
  <c r="C349" i="2"/>
  <c r="D349" i="2" s="1"/>
  <c r="C315" i="2"/>
  <c r="D315" i="2" s="1"/>
  <c r="C226" i="2"/>
  <c r="D226" i="2" s="1"/>
  <c r="C11" i="2"/>
  <c r="D11" i="2" s="1"/>
  <c r="C191" i="2"/>
  <c r="D191" i="2" s="1"/>
  <c r="C78" i="2"/>
  <c r="D78" i="2" s="1"/>
  <c r="C157" i="2"/>
  <c r="D157" i="2" s="1"/>
  <c r="C239" i="2"/>
  <c r="D239" i="2" s="1"/>
  <c r="C288" i="2"/>
  <c r="D288" i="2" s="1"/>
  <c r="C179" i="2"/>
  <c r="D179" i="2" s="1"/>
  <c r="C344" i="2"/>
  <c r="D344" i="2" s="1"/>
  <c r="C279" i="2"/>
  <c r="D279" i="2" s="1"/>
  <c r="C278" i="2"/>
  <c r="D278" i="2" s="1"/>
  <c r="C340" i="2"/>
  <c r="D340" i="2" s="1"/>
  <c r="C342" i="2"/>
  <c r="D342" i="2" s="1"/>
  <c r="C309" i="2"/>
  <c r="D309" i="2" s="1"/>
  <c r="C351" i="2"/>
  <c r="D351" i="2" s="1"/>
  <c r="C183" i="2"/>
  <c r="D183" i="2" s="1"/>
  <c r="C214" i="2"/>
  <c r="D214" i="2" s="1"/>
  <c r="C182" i="2"/>
  <c r="D182" i="2" s="1"/>
  <c r="C105" i="2"/>
  <c r="D105" i="2" s="1"/>
  <c r="C30" i="2"/>
  <c r="D30" i="2" s="1"/>
  <c r="C264" i="2"/>
  <c r="D264" i="2" s="1"/>
  <c r="C311" i="2"/>
  <c r="D311" i="2" s="1"/>
  <c r="C148" i="2"/>
  <c r="D148" i="2" s="1"/>
  <c r="C164" i="2"/>
  <c r="D164" i="2" s="1"/>
  <c r="C127" i="2"/>
  <c r="D127" i="2" s="1"/>
  <c r="C358" i="2"/>
  <c r="D358" i="2" s="1"/>
  <c r="C166" i="2"/>
  <c r="D166" i="2" s="1"/>
  <c r="C227" i="2"/>
  <c r="D227" i="2" s="1"/>
  <c r="C195" i="2"/>
  <c r="D195" i="2" s="1"/>
  <c r="C199" i="2"/>
  <c r="D199" i="2" s="1"/>
  <c r="C63" i="2"/>
  <c r="D63" i="2" s="1"/>
  <c r="C100" i="2"/>
  <c r="D100" i="2" s="1"/>
  <c r="C188" i="2"/>
  <c r="D188" i="2" s="1"/>
  <c r="C192" i="2"/>
  <c r="D192" i="2" s="1"/>
  <c r="C25" i="2"/>
  <c r="D25" i="2" s="1"/>
  <c r="C20" i="2"/>
  <c r="D20" i="2" s="1"/>
  <c r="C87" i="2"/>
  <c r="D87" i="2" s="1"/>
  <c r="C130" i="2"/>
  <c r="D130" i="2" s="1"/>
  <c r="C117" i="2"/>
  <c r="D117" i="2" s="1"/>
  <c r="C324" i="2"/>
  <c r="D324" i="2" s="1"/>
  <c r="C18" i="2"/>
  <c r="D18" i="2" s="1"/>
  <c r="C134" i="2"/>
  <c r="D134" i="2" s="1"/>
  <c r="C306" i="2"/>
  <c r="D306" i="2" s="1"/>
  <c r="C339" i="2"/>
  <c r="D339" i="2" s="1"/>
  <c r="C29" i="2"/>
  <c r="D29" i="2" s="1"/>
  <c r="C319" i="2"/>
  <c r="D319" i="2" s="1"/>
  <c r="C76" i="2"/>
  <c r="D76" i="2" s="1"/>
  <c r="C235" i="2"/>
  <c r="D235" i="2" s="1"/>
  <c r="C357" i="2"/>
  <c r="D357" i="2" s="1"/>
  <c r="C147" i="2"/>
  <c r="D147" i="2" s="1"/>
  <c r="C202" i="2"/>
  <c r="D202" i="2" s="1"/>
  <c r="C92" i="2"/>
  <c r="D92" i="2" s="1"/>
  <c r="C14" i="2"/>
  <c r="D14" i="2" s="1"/>
  <c r="C151" i="2"/>
  <c r="D151" i="2" s="1"/>
  <c r="C34" i="2"/>
  <c r="D34" i="2" s="1"/>
  <c r="C231" i="2"/>
  <c r="D231" i="2" s="1"/>
  <c r="C161" i="2"/>
  <c r="D161" i="2" s="1"/>
  <c r="C271" i="2"/>
  <c r="D271" i="2" s="1"/>
  <c r="C12" i="2"/>
  <c r="D12" i="2" s="1"/>
  <c r="C300" i="2"/>
  <c r="D300" i="2" s="1"/>
  <c r="C353" i="2"/>
  <c r="D353" i="2" s="1"/>
  <c r="C15" i="2"/>
  <c r="D15" i="2" s="1"/>
  <c r="C348" i="2"/>
  <c r="D348" i="2" s="1"/>
  <c r="C211" i="2"/>
  <c r="D211" i="2" s="1"/>
  <c r="C41" i="2"/>
  <c r="D41" i="2" s="1"/>
  <c r="C312" i="2"/>
  <c r="D312" i="2" s="1"/>
  <c r="C97" i="2"/>
  <c r="D97" i="2" s="1"/>
  <c r="C180" i="2"/>
  <c r="D180" i="2" s="1"/>
  <c r="C74" i="2"/>
  <c r="D74" i="2" s="1"/>
  <c r="C327" i="2"/>
  <c r="D327" i="2" s="1"/>
  <c r="C181" i="2"/>
  <c r="D181" i="2" s="1"/>
  <c r="C282" i="2"/>
  <c r="D282" i="2" s="1"/>
  <c r="C55" i="2"/>
  <c r="D55" i="2" s="1"/>
  <c r="C43" i="2"/>
  <c r="D43" i="2" s="1"/>
  <c r="C270" i="2"/>
  <c r="D270" i="2" s="1"/>
  <c r="C36" i="2"/>
  <c r="D36" i="2" s="1"/>
  <c r="C294" i="2"/>
  <c r="D294" i="2" s="1"/>
  <c r="C40" i="2"/>
  <c r="D40" i="2" s="1"/>
  <c r="C88" i="2"/>
  <c r="D88" i="2" s="1"/>
  <c r="C174" i="2"/>
  <c r="D174" i="2" s="1"/>
  <c r="C94" i="2"/>
  <c r="D94" i="2" s="1"/>
  <c r="C332" i="2"/>
  <c r="D332" i="2" s="1"/>
  <c r="C5" i="2"/>
  <c r="D5" i="2" s="1"/>
  <c r="C156" i="2"/>
  <c r="D156" i="2" s="1"/>
  <c r="C343" i="2"/>
  <c r="D343" i="2" s="1"/>
  <c r="C207" i="2"/>
  <c r="D207" i="2" s="1"/>
  <c r="C129" i="2"/>
  <c r="D129" i="2" s="1"/>
  <c r="C152" i="2"/>
  <c r="D152" i="2" s="1"/>
  <c r="C115" i="2"/>
  <c r="D115" i="2" s="1"/>
  <c r="C360" i="2"/>
  <c r="D360" i="2" s="1"/>
  <c r="C238" i="2"/>
  <c r="D238" i="2" s="1"/>
  <c r="C219" i="2"/>
  <c r="D219" i="2" s="1"/>
  <c r="C83" i="2"/>
  <c r="D83" i="2" s="1"/>
  <c r="C272" i="2"/>
  <c r="D272" i="2" s="1"/>
  <c r="C116" i="2"/>
  <c r="D116" i="2" s="1"/>
  <c r="C350" i="2"/>
  <c r="D350" i="2" s="1"/>
  <c r="C361" i="2"/>
  <c r="D361" i="2" s="1"/>
  <c r="C301" i="2"/>
  <c r="D301" i="2" s="1"/>
  <c r="C93" i="2"/>
  <c r="D93" i="2" s="1"/>
  <c r="C89" i="2"/>
  <c r="D89" i="2" s="1"/>
  <c r="C283" i="2"/>
  <c r="D283" i="2" s="1"/>
  <c r="C334" i="2"/>
  <c r="D334" i="2" s="1"/>
  <c r="C73" i="2"/>
  <c r="D73" i="2" s="1"/>
  <c r="C64" i="2"/>
  <c r="D64" i="2" s="1"/>
  <c r="C140" i="2"/>
  <c r="D140" i="2" s="1"/>
  <c r="C35" i="2"/>
  <c r="D35" i="2" s="1"/>
  <c r="C155" i="2"/>
  <c r="D155" i="2" s="1"/>
  <c r="C131" i="2"/>
  <c r="D131" i="2" s="1"/>
  <c r="C69" i="2"/>
  <c r="D69" i="2" s="1"/>
  <c r="C71" i="2"/>
  <c r="D71" i="2" s="1"/>
  <c r="C32" i="2"/>
  <c r="D32" i="2" s="1"/>
  <c r="C136" i="2"/>
  <c r="D136" i="2" s="1"/>
  <c r="C241" i="2"/>
  <c r="D241" i="2" s="1"/>
  <c r="C314" i="2"/>
  <c r="D314" i="2" s="1"/>
  <c r="C355" i="2"/>
  <c r="D355" i="2" s="1"/>
  <c r="C77" i="2"/>
  <c r="D77" i="2" s="1"/>
  <c r="C143" i="2"/>
  <c r="D143" i="2" s="1"/>
  <c r="C365" i="2"/>
  <c r="D365" i="2" s="1"/>
  <c r="C68" i="2"/>
  <c r="D68" i="2" s="1"/>
  <c r="C108" i="2"/>
  <c r="D108" i="2" s="1"/>
  <c r="C212" i="2"/>
  <c r="D212" i="2" s="1"/>
  <c r="C79" i="2"/>
  <c r="D79" i="2" s="1"/>
  <c r="C331" i="2"/>
  <c r="D331" i="2" s="1"/>
  <c r="C122" i="2"/>
  <c r="D122" i="2" s="1"/>
  <c r="C111" i="2"/>
  <c r="D111" i="2" s="1"/>
  <c r="C196" i="2"/>
  <c r="D196" i="2" s="1"/>
  <c r="C292" i="2"/>
  <c r="D292" i="2" s="1"/>
  <c r="C281" i="2"/>
  <c r="D281" i="2" s="1"/>
  <c r="C229" i="2"/>
  <c r="D229" i="2" s="1"/>
  <c r="C346" i="2"/>
  <c r="D346" i="2" s="1"/>
  <c r="C44" i="2"/>
  <c r="D44" i="2" s="1"/>
  <c r="C298" i="2"/>
  <c r="D298" i="2" s="1"/>
  <c r="C52" i="2"/>
  <c r="D52" i="2" s="1"/>
  <c r="C201" i="2"/>
  <c r="D201" i="2" s="1"/>
  <c r="C21" i="2"/>
  <c r="D21" i="2" s="1"/>
  <c r="C72" i="2"/>
  <c r="D72" i="2" s="1"/>
  <c r="C144" i="2"/>
  <c r="D144" i="2" s="1"/>
  <c r="C118" i="2"/>
  <c r="D118" i="2" s="1"/>
  <c r="C6" i="2"/>
  <c r="D6" i="2" s="1"/>
  <c r="C137" i="2"/>
  <c r="D137" i="2" s="1"/>
  <c r="C110" i="2"/>
  <c r="D110" i="2" s="1"/>
  <c r="C364" i="2"/>
  <c r="D364" i="2" s="1"/>
  <c r="C171" i="2"/>
  <c r="D171" i="2" s="1"/>
  <c r="C245" i="2"/>
  <c r="D245" i="2" s="1"/>
  <c r="C323" i="2"/>
  <c r="D323" i="2" s="1"/>
  <c r="C325" i="2"/>
  <c r="D325" i="2" s="1"/>
  <c r="C112" i="2"/>
  <c r="D112" i="2" s="1"/>
  <c r="C269" i="2"/>
  <c r="D269" i="2" s="1"/>
  <c r="C280" i="2"/>
  <c r="D280" i="2" s="1"/>
  <c r="C153" i="2"/>
  <c r="D153" i="2" s="1"/>
  <c r="C284" i="2"/>
  <c r="D284" i="2" s="1"/>
  <c r="C101" i="2"/>
  <c r="D101" i="2" s="1"/>
  <c r="C224" i="2"/>
  <c r="D224" i="2" s="1"/>
  <c r="C330" i="2"/>
  <c r="D330" i="2" s="1"/>
  <c r="C47" i="2"/>
  <c r="D47" i="2" s="1"/>
  <c r="C104" i="2"/>
  <c r="D104" i="2" s="1"/>
  <c r="C234" i="2"/>
  <c r="D234" i="2" s="1"/>
  <c r="C26" i="2"/>
  <c r="D26" i="2" s="1"/>
  <c r="C321" i="2"/>
  <c r="D321" i="2" s="1"/>
  <c r="C250" i="2"/>
  <c r="D250" i="2" s="1"/>
  <c r="C133" i="2"/>
  <c r="D133" i="2" s="1"/>
  <c r="C310" i="2"/>
  <c r="D310" i="2" s="1"/>
  <c r="C19" i="2"/>
  <c r="D19" i="2" s="1"/>
  <c r="C37" i="2"/>
  <c r="D37" i="2" s="1"/>
  <c r="C8" i="2"/>
  <c r="D8" i="2" s="1"/>
  <c r="C213" i="2"/>
  <c r="D213" i="2" s="1"/>
  <c r="C141" i="2"/>
  <c r="D141" i="2" s="1"/>
  <c r="C275" i="2"/>
  <c r="D275" i="2" s="1"/>
  <c r="C125" i="2"/>
  <c r="D125" i="2" s="1"/>
  <c r="C95" i="2"/>
  <c r="D95" i="2" s="1"/>
  <c r="C267" i="2"/>
  <c r="D267" i="2" s="1"/>
  <c r="C313" i="2"/>
  <c r="D313" i="2" s="1"/>
  <c r="C145" i="2"/>
  <c r="D145" i="2" s="1"/>
  <c r="C257" i="2"/>
  <c r="D257" i="2" s="1"/>
  <c r="C268" i="2"/>
  <c r="D268" i="2" s="1"/>
  <c r="C297" i="2"/>
  <c r="D297" i="2" s="1"/>
  <c r="C169" i="2"/>
  <c r="D169" i="2" s="1"/>
  <c r="C185" i="2"/>
  <c r="D185" i="2" s="1"/>
  <c r="C205" i="2"/>
  <c r="D205" i="2" s="1"/>
  <c r="C99" i="2"/>
  <c r="D99" i="2" s="1"/>
  <c r="C120" i="2"/>
  <c r="D120" i="2" s="1"/>
  <c r="C146" i="2"/>
  <c r="D146" i="2" s="1"/>
  <c r="C149" i="2"/>
  <c r="D149" i="2" s="1"/>
  <c r="C230" i="2"/>
  <c r="D230" i="2" s="1"/>
  <c r="C248" i="2"/>
  <c r="D248" i="2" s="1"/>
  <c r="C295" i="2"/>
  <c r="D295" i="2" s="1"/>
  <c r="C307" i="2"/>
  <c r="D307" i="2" s="1"/>
  <c r="C70" i="2"/>
  <c r="D70" i="2" s="1"/>
  <c r="C154" i="2"/>
  <c r="D154" i="2" s="1"/>
  <c r="C184" i="2"/>
  <c r="D184" i="2" s="1"/>
  <c r="C287" i="2"/>
  <c r="D287" i="2" s="1"/>
  <c r="C128" i="2"/>
  <c r="D128" i="2" s="1"/>
  <c r="C150" i="2"/>
  <c r="D150" i="2" s="1"/>
  <c r="C317" i="2"/>
  <c r="D317" i="2" s="1"/>
  <c r="C38" i="2"/>
  <c r="D38" i="2" s="1"/>
  <c r="C356" i="2"/>
  <c r="D356" i="2" s="1"/>
  <c r="C246" i="2"/>
  <c r="D246" i="2" s="1"/>
  <c r="C170" i="2"/>
  <c r="D170" i="2" s="1"/>
  <c r="C189" i="2"/>
  <c r="D189" i="2" s="1"/>
  <c r="C274" i="2"/>
  <c r="D274" i="2" s="1"/>
  <c r="C124" i="2"/>
  <c r="D124" i="2" s="1"/>
  <c r="C206" i="2"/>
  <c r="D206" i="2" s="1"/>
  <c r="C223" i="2"/>
  <c r="D223" i="2" s="1"/>
  <c r="C220" i="2"/>
  <c r="D220" i="2" s="1"/>
  <c r="C233" i="2"/>
  <c r="D233" i="2" s="1"/>
  <c r="C203" i="2"/>
  <c r="D203" i="2" s="1"/>
  <c r="C58" i="2"/>
  <c r="D58" i="2" s="1"/>
  <c r="C126" i="2"/>
  <c r="D126" i="2" s="1"/>
  <c r="C50" i="2"/>
  <c r="D50" i="2" s="1"/>
  <c r="C285" i="2"/>
  <c r="D285" i="2" s="1"/>
  <c r="C218" i="2"/>
  <c r="D218" i="2" s="1"/>
  <c r="C121" i="2"/>
  <c r="D121" i="2" s="1"/>
  <c r="C160" i="2"/>
  <c r="D160" i="2" s="1"/>
  <c r="C318" i="2"/>
  <c r="D318" i="2" s="1"/>
  <c r="C263" i="2"/>
  <c r="D263" i="2" s="1"/>
  <c r="C135" i="2"/>
  <c r="D135" i="2" s="1"/>
  <c r="C84" i="2"/>
  <c r="D84" i="2" s="1"/>
  <c r="C187" i="2"/>
  <c r="D187" i="2" s="1"/>
  <c r="C208" i="2"/>
  <c r="D208" i="2" s="1"/>
  <c r="C162" i="2"/>
  <c r="D162" i="2" s="1"/>
  <c r="C82" i="2"/>
  <c r="D82" i="2" s="1"/>
  <c r="C119" i="2"/>
  <c r="D119" i="2" s="1"/>
  <c r="C352" i="2"/>
  <c r="D352" i="2" s="1"/>
  <c r="C338" i="2"/>
  <c r="D338" i="2" s="1"/>
  <c r="C299" i="2"/>
  <c r="D299" i="2" s="1"/>
  <c r="C316" i="2"/>
  <c r="D316" i="2" s="1"/>
  <c r="C262" i="2"/>
  <c r="D262" i="2" s="1"/>
  <c r="C17" i="2"/>
  <c r="D17" i="2" s="1"/>
  <c r="C222" i="2"/>
  <c r="D222" i="2" s="1"/>
  <c r="C45" i="2"/>
  <c r="D45" i="2" s="1"/>
  <c r="C256" i="2"/>
  <c r="D256" i="2" s="1"/>
  <c r="C345" i="2"/>
  <c r="D345" i="2" s="1"/>
  <c r="C176" i="2"/>
  <c r="D176" i="2" s="1"/>
  <c r="C244" i="2"/>
  <c r="D244" i="2" s="1"/>
  <c r="C51" i="2"/>
  <c r="D51" i="2" s="1"/>
  <c r="C286" i="2"/>
  <c r="D286" i="2" s="1"/>
  <c r="C290" i="2"/>
  <c r="D290" i="2" s="1"/>
  <c r="C86" i="2"/>
  <c r="D86" i="2" s="1"/>
  <c r="C48" i="2"/>
  <c r="D48" i="2" s="1"/>
  <c r="C237" i="2"/>
  <c r="D237" i="2" s="1"/>
  <c r="C56" i="2"/>
  <c r="D56" i="2" s="1"/>
  <c r="C165" i="2"/>
  <c r="D165" i="2" s="1"/>
  <c r="C31" i="2"/>
  <c r="D31" i="2" s="1"/>
  <c r="C251" i="2"/>
  <c r="D251" i="2" s="1"/>
  <c r="C289" i="2"/>
  <c r="D289" i="2" s="1"/>
</calcChain>
</file>

<file path=xl/sharedStrings.xml><?xml version="1.0" encoding="utf-8"?>
<sst xmlns="http://schemas.openxmlformats.org/spreadsheetml/2006/main" count="760" uniqueCount="484">
  <si>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</si>
  <si>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</si>
  <si>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</si>
  <si>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</si>
  <si>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</si>
  <si>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</si>
  <si>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</si>
  <si>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</si>
  <si>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</si>
  <si>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</si>
  <si>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</si>
  <si>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</si>
  <si>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</si>
  <si>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</si>
  <si>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</si>
  <si>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</si>
  <si>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</si>
  <si>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</si>
  <si>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</si>
  <si>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</si>
  <si>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</si>
  <si>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</si>
  <si>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</si>
  <si>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</si>
  <si>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</si>
  <si>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</si>
  <si>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</si>
  <si>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</si>
  <si>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</si>
  <si>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</si>
  <si>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</si>
  <si>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</si>
  <si>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</si>
  <si>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</si>
  <si>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</si>
  <si>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</si>
  <si>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</si>
  <si>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</si>
  <si>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</si>
  <si>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</si>
  <si>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</si>
  <si>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</si>
  <si>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</si>
  <si>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</si>
  <si>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</si>
  <si>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</si>
  <si>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</si>
  <si>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</si>
  <si>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</si>
  <si>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</si>
  <si>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</si>
  <si>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</si>
  <si>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</si>
  <si>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</si>
  <si>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</si>
  <si>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</si>
  <si>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</si>
  <si>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</si>
  <si>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</si>
  <si>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</si>
  <si>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</si>
  <si>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</si>
  <si>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</si>
  <si>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</si>
  <si>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</si>
  <si>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</si>
  <si>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</si>
  <si>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</si>
  <si>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</si>
  <si>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</si>
  <si>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</si>
  <si>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</si>
  <si>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</si>
  <si>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</si>
  <si>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</si>
  <si>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</si>
  <si>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</si>
  <si>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</si>
  <si>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</si>
  <si>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</si>
  <si>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</si>
  <si>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</si>
  <si>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</si>
  <si>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</si>
  <si>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</si>
  <si>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</si>
  <si>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</si>
  <si>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</si>
  <si>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</si>
  <si>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</si>
  <si>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</si>
  <si>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</si>
  <si>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</si>
  <si>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</si>
  <si>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</si>
  <si>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</si>
  <si>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</si>
  <si>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</si>
  <si>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</si>
  <si>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</si>
  <si>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</si>
  <si>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</si>
  <si>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</si>
  <si>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</si>
  <si>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</si>
  <si>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</si>
  <si>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</si>
  <si>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</si>
  <si>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</si>
  <si>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</si>
  <si>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</si>
  <si>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</si>
  <si>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</si>
  <si>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</si>
  <si>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</si>
  <si>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</si>
  <si>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</si>
  <si>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</si>
  <si>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</si>
  <si>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</si>
  <si>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</si>
  <si>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</si>
  <si>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</si>
  <si>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</si>
  <si>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</si>
  <si>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</si>
  <si>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</si>
  <si>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</si>
  <si>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</si>
  <si>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</si>
  <si>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</si>
  <si>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</si>
  <si>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</si>
  <si>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</si>
  <si>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</si>
  <si>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</si>
  <si>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</si>
  <si>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</si>
  <si>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</si>
  <si>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</si>
  <si>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</si>
  <si>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</si>
  <si>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</si>
  <si>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</si>
  <si>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</si>
  <si>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</si>
  <si>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</si>
  <si>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</si>
  <si>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</si>
  <si>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</si>
  <si>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</si>
  <si>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</si>
  <si>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</si>
  <si>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</si>
  <si>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</si>
  <si>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</si>
  <si>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</si>
  <si>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</si>
  <si>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</si>
  <si>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</si>
  <si>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</si>
  <si>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</si>
  <si>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</si>
  <si>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</si>
  <si>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</si>
  <si>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</si>
  <si>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</si>
  <si>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</si>
  <si>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</si>
  <si>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</si>
  <si>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</si>
  <si>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</si>
  <si>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</si>
  <si>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</si>
  <si>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</si>
  <si>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</si>
  <si>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</si>
  <si>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</si>
  <si>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</si>
  <si>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</si>
  <si>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</si>
  <si>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</si>
  <si>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</si>
  <si>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</si>
  <si>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</si>
  <si>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</si>
  <si>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</si>
  <si>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</si>
  <si>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</si>
  <si>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</si>
  <si>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</si>
  <si>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</si>
  <si>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</si>
  <si>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</si>
  <si>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</si>
  <si>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</si>
  <si>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</si>
  <si>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</si>
  <si>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</si>
  <si>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</si>
  <si>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</si>
  <si>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</si>
  <si>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</si>
  <si>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</si>
  <si>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</si>
  <si>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</si>
  <si>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</si>
  <si>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</si>
  <si>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</si>
  <si>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</si>
  <si>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</si>
  <si>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</si>
  <si>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</si>
  <si>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</si>
  <si>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</si>
  <si>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</si>
  <si>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</si>
  <si>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</si>
  <si>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</si>
  <si>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</si>
  <si>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</si>
  <si>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</si>
  <si>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</si>
  <si>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</si>
  <si>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</si>
  <si>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</si>
  <si>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</si>
  <si>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</si>
  <si>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</si>
  <si>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</si>
  <si>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</si>
  <si>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</si>
  <si>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</si>
  <si>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</si>
  <si>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</si>
  <si>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</si>
  <si>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</si>
  <si>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</si>
  <si>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</si>
  <si>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</si>
  <si>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</si>
  <si>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</si>
  <si>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</si>
  <si>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</si>
  <si>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</si>
  <si>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</si>
  <si>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</si>
  <si>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</si>
  <si>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</si>
  <si>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</si>
  <si>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</si>
  <si>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</si>
  <si>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</si>
  <si>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</si>
  <si>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</si>
  <si>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</si>
  <si>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</si>
  <si>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</si>
  <si>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</si>
  <si>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</si>
  <si>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</si>
  <si>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</si>
  <si>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</si>
  <si>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</si>
  <si>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</si>
  <si>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</si>
  <si>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</si>
  <si>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</si>
  <si>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</si>
  <si>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</si>
  <si>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</si>
  <si>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</si>
  <si>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</si>
  <si>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</si>
  <si>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</si>
  <si>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</si>
  <si>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</si>
  <si>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</si>
  <si>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</si>
  <si>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</si>
  <si>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</si>
  <si>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</si>
  <si>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</si>
  <si>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</si>
  <si>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</si>
  <si>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</si>
  <si>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</si>
  <si>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</si>
  <si>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</si>
  <si>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</si>
  <si>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</si>
  <si>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</si>
  <si>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</si>
  <si>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</si>
  <si>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</si>
  <si>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</si>
  <si>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</si>
  <si>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</si>
  <si>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</si>
  <si>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</si>
  <si>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</si>
  <si>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</si>
  <si>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</si>
  <si>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</si>
  <si>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</si>
  <si>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</si>
  <si>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</si>
  <si>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</si>
  <si>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</si>
  <si>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</si>
  <si>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</si>
  <si>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</si>
  <si>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</si>
  <si>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</si>
  <si>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</si>
  <si>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</si>
  <si>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</si>
  <si>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</si>
  <si>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</si>
  <si>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</si>
  <si>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</si>
  <si>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</si>
  <si>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</si>
  <si>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</si>
  <si>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</si>
  <si>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</si>
  <si>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</si>
  <si>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</si>
  <si>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</si>
  <si>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</si>
  <si>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</si>
  <si>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</si>
  <si>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</si>
  <si>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</si>
  <si>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</si>
  <si>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</si>
  <si>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</si>
  <si>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</si>
  <si>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</si>
  <si>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</si>
  <si>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</si>
  <si>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</si>
  <si>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</si>
  <si>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</si>
  <si>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</si>
  <si>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</si>
  <si>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</si>
  <si>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</si>
  <si>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</si>
  <si>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</si>
  <si>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</si>
  <si>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</si>
  <si>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</si>
  <si>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</si>
  <si>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</si>
  <si>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</si>
  <si>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</si>
  <si>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</si>
  <si>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</si>
  <si>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</si>
  <si>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</si>
  <si>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</si>
  <si>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</si>
  <si>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</si>
  <si>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</si>
  <si>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</si>
  <si>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</si>
  <si>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</si>
  <si>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</si>
  <si>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</si>
  <si>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</si>
  <si>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</si>
  <si>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</si>
  <si>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</si>
  <si>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</si>
  <si>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</si>
  <si>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</si>
  <si>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</si>
  <si>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</si>
  <si>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</si>
  <si>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</si>
  <si>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</si>
  <si>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</si>
  <si>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</si>
  <si>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</si>
  <si>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</si>
  <si>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</si>
  <si>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</si>
  <si>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</si>
  <si>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</si>
  <si>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</si>
  <si>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</si>
  <si>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</si>
  <si>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</si>
  <si>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</si>
  <si>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</si>
  <si>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</si>
  <si>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</si>
  <si>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</si>
  <si>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</si>
  <si>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</si>
  <si>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</si>
  <si>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</si>
  <si>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</si>
  <si>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</si>
  <si>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</si>
  <si>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</si>
  <si>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</si>
  <si>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</si>
  <si>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</si>
  <si>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</si>
  <si>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</si>
  <si>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</si>
  <si>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</si>
  <si>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</si>
  <si>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</si>
  <si>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</si>
  <si>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</si>
  <si>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</si>
  <si>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</si>
  <si>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</si>
  <si>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</si>
  <si>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</si>
  <si>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</si>
  <si>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</si>
  <si>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</si>
  <si>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</si>
  <si>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</si>
  <si>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</si>
  <si>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</si>
  <si>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</si>
  <si>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</si>
  <si>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</si>
  <si>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</si>
  <si>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</si>
  <si>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</si>
  <si>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</si>
  <si>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</si>
  <si>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</si>
  <si>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</si>
  <si>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</si>
  <si>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</si>
  <si>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</si>
  <si>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East Region Winner</t>
  </si>
  <si>
    <t>Midwest Region Winner</t>
  </si>
  <si>
    <t>Closed</t>
  </si>
  <si>
    <t>Reach Sweet 16 - Yes</t>
  </si>
  <si>
    <t>Reach Sweet 16 - No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</si>
  <si>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</si>
  <si>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</si>
  <si>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</si>
  <si>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</si>
  <si>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</si>
  <si>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</si>
  <si>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</si>
  <si>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</si>
  <si>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</si>
  <si>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</si>
  <si>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</si>
  <si>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</si>
  <si>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</si>
  <si>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</si>
  <si>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</si>
  <si>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</si>
  <si>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</si>
  <si>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</si>
  <si>
    <t>2026-27</t>
  </si>
  <si>
    <t>04/11/2026</t>
  </si>
  <si>
    <t>03/15/2026</t>
  </si>
  <si>
    <t>03/16/2026</t>
  </si>
  <si>
    <t>04/15/2026</t>
  </si>
  <si>
    <t>USC</t>
  </si>
  <si>
    <t>04/18/2026</t>
  </si>
  <si>
    <t>04/20/2026</t>
  </si>
  <si>
    <t>Wooden Award Winner</t>
  </si>
  <si>
    <t>Braden Huff</t>
  </si>
  <si>
    <t>07/01/2026</t>
  </si>
  <si>
    <t>Robert Wright</t>
  </si>
  <si>
    <t>08/22/2026</t>
  </si>
  <si>
    <t>08/23/2026</t>
  </si>
  <si>
    <t>P25</t>
  </si>
  <si>
    <t>Show Bars</t>
  </si>
  <si>
    <t>P90</t>
  </si>
  <si>
    <t>West 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</si>
</sst>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Summer%2026-27.xlsx" TargetMode="External"/><Relationship Id="rId1" Type="http://schemas.openxmlformats.org/officeDocument/2006/relationships/externalLinkPath" Target="College%20Ball%20Model%20Summer%2026-27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2026-27%20Team%20Rating%2010.04.26.xlsx" TargetMode="External"/><Relationship Id="rId1" Type="http://schemas.openxmlformats.org/officeDocument/2006/relationships/externalLinkPath" Target="2026-27%20Team%20Rating%2010.04.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ransfer Ratings"/>
      <sheetName val="TeamPER"/>
      <sheetName val="Freshmen 26-27"/>
      <sheetName val="Full Rankings"/>
      <sheetName val="FelderTransferRtg"/>
      <sheetName val="TeamRtg"/>
      <sheetName val="ATS Data"/>
      <sheetName val="PlayerRtg"/>
      <sheetName val="Market Odds"/>
      <sheetName val="TeamRosters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A3" t="str">
            <v>Florida</v>
          </cell>
          <cell r="B3">
            <v>2.3298564444458925</v>
          </cell>
          <cell r="C3">
            <v>1.1018654524877594</v>
          </cell>
          <cell r="D3">
            <v>1</v>
          </cell>
          <cell r="E3">
            <v>2.5624040119670459</v>
          </cell>
          <cell r="F3">
            <v>1</v>
          </cell>
          <cell r="G3">
            <v>2.7072115318255499</v>
          </cell>
        </row>
        <row r="4">
          <cell r="A4" t="str">
            <v>Duke</v>
          </cell>
          <cell r="B4">
            <v>2.3724603209097661</v>
          </cell>
          <cell r="C4">
            <v>1.0576681025006738</v>
          </cell>
          <cell r="D4">
            <v>3</v>
          </cell>
          <cell r="E4">
            <v>2.416886717035803</v>
          </cell>
          <cell r="F4">
            <v>2</v>
          </cell>
          <cell r="G4">
            <v>2.5534949585769553</v>
          </cell>
        </row>
        <row r="5">
          <cell r="A5" t="str">
            <v>Illinois</v>
          </cell>
          <cell r="B5">
            <v>1.920033914208608</v>
          </cell>
          <cell r="C5">
            <v>1.0651897223245659</v>
          </cell>
          <cell r="D5">
            <v>2</v>
          </cell>
          <cell r="E5">
            <v>2.3080984377677805</v>
          </cell>
          <cell r="F5">
            <v>3</v>
          </cell>
          <cell r="G5">
            <v>2.4385769242182698</v>
          </cell>
        </row>
        <row r="6">
          <cell r="A6" t="str">
            <v>Houston</v>
          </cell>
          <cell r="B6">
            <v>2.1421383544845458</v>
          </cell>
          <cell r="C6">
            <v>1.0288778247480099</v>
          </cell>
          <cell r="D6">
            <v>5</v>
          </cell>
          <cell r="E6">
            <v>2.2446740676332002</v>
          </cell>
          <cell r="F6">
            <v>4</v>
          </cell>
          <cell r="G6">
            <v>2.3715788616021056</v>
          </cell>
        </row>
        <row r="7">
          <cell r="A7" t="str">
            <v>Gonzaga</v>
          </cell>
          <cell r="B7">
            <v>2.1488184458900852</v>
          </cell>
          <cell r="C7">
            <v>1.0274181576699166</v>
          </cell>
          <cell r="D7">
            <v>6</v>
          </cell>
          <cell r="E7">
            <v>2.2414501108536848</v>
          </cell>
          <cell r="F7">
            <v>5</v>
          </cell>
          <cell r="G7">
            <v>2.3681732486219933</v>
          </cell>
        </row>
        <row r="8">
          <cell r="A8" t="str">
            <v>UConn</v>
          </cell>
          <cell r="B8">
            <v>1.8429141834358775</v>
          </cell>
          <cell r="C8">
            <v>1.0271405210219409</v>
          </cell>
          <cell r="D8">
            <v>7</v>
          </cell>
          <cell r="E8">
            <v>2.1486844409777794</v>
          </cell>
          <cell r="F8">
            <v>6</v>
          </cell>
          <cell r="G8">
            <v>2.2701806292898912</v>
          </cell>
        </row>
        <row r="9">
          <cell r="A9" t="str">
            <v>Arizona</v>
          </cell>
          <cell r="B9">
            <v>2.4411326789092134</v>
          </cell>
          <cell r="C9">
            <v>0.97368442332346838</v>
          </cell>
          <cell r="D9">
            <v>9</v>
          </cell>
          <cell r="E9">
            <v>2.1366901434545578</v>
          </cell>
          <cell r="F9">
            <v>7</v>
          </cell>
          <cell r="G9">
            <v>2.257510504308081</v>
          </cell>
        </row>
        <row r="10">
          <cell r="A10" t="str">
            <v>Texas</v>
          </cell>
          <cell r="B10">
            <v>1.4596895432031811</v>
          </cell>
          <cell r="C10">
            <v>1.0341487318792124</v>
          </cell>
          <cell r="D10">
            <v>4</v>
          </cell>
          <cell r="E10">
            <v>2.0588178518172149</v>
          </cell>
          <cell r="F10">
            <v>8</v>
          </cell>
          <cell r="G10">
            <v>2.1752504414944926</v>
          </cell>
        </row>
        <row r="11">
          <cell r="A11" t="str">
            <v>Michigan State</v>
          </cell>
          <cell r="B11">
            <v>2.0438264420963757</v>
          </cell>
          <cell r="C11">
            <v>0.96940033167703232</v>
          </cell>
          <cell r="D11">
            <v>11</v>
          </cell>
          <cell r="E11">
            <v>2.0021542506264938</v>
          </cell>
          <cell r="F11">
            <v>9</v>
          </cell>
          <cell r="G11">
            <v>2.1153940882886539</v>
          </cell>
        </row>
        <row r="12">
          <cell r="A12" t="str">
            <v>Alabama</v>
          </cell>
          <cell r="B12">
            <v>2.0079188366631255</v>
          </cell>
          <cell r="C12">
            <v>0.97070716173414673</v>
          </cell>
          <cell r="D12">
            <v>10</v>
          </cell>
          <cell r="E12">
            <v>1.9960625478728622</v>
          </cell>
          <cell r="F12">
            <v>10</v>
          </cell>
          <cell r="G12">
            <v>2.108959144091954</v>
          </cell>
        </row>
        <row r="13">
          <cell r="A13" t="str">
            <v>Vanderbilt</v>
          </cell>
          <cell r="B13">
            <v>1.9750140720740106</v>
          </cell>
          <cell r="C13">
            <v>0.92715728646923778</v>
          </cell>
          <cell r="D13">
            <v>20</v>
          </cell>
          <cell r="E13">
            <v>1.8302116740973582</v>
          </cell>
          <cell r="F13">
            <v>11</v>
          </cell>
          <cell r="G13">
            <v>1.9337632816406789</v>
          </cell>
        </row>
        <row r="14">
          <cell r="A14" t="str">
            <v>Michigan</v>
          </cell>
          <cell r="B14">
            <v>2.3843675202568266</v>
          </cell>
          <cell r="C14">
            <v>0.8915728003309078</v>
          </cell>
          <cell r="D14">
            <v>34</v>
          </cell>
          <cell r="E14">
            <v>1.8255673233717704</v>
          </cell>
          <cell r="F14">
            <v>12</v>
          </cell>
          <cell r="G14">
            <v>1.9288572415796723</v>
          </cell>
        </row>
        <row r="15">
          <cell r="A15" t="str">
            <v>Kansas</v>
          </cell>
          <cell r="B15">
            <v>1.7036280870418232</v>
          </cell>
          <cell r="C15">
            <v>0.94456016050163782</v>
          </cell>
          <cell r="D15">
            <v>17</v>
          </cell>
          <cell r="E15">
            <v>1.811126496207238</v>
          </cell>
          <cell r="F15">
            <v>13</v>
          </cell>
          <cell r="G15">
            <v>1.9136027354561493</v>
          </cell>
        </row>
        <row r="16">
          <cell r="A16" t="str">
            <v>Virginia</v>
          </cell>
          <cell r="B16">
            <v>1.2837239079548026</v>
          </cell>
          <cell r="C16">
            <v>0.97894911017080843</v>
          </cell>
          <cell r="D16">
            <v>8</v>
          </cell>
          <cell r="E16">
            <v>1.8083236609949869</v>
          </cell>
          <cell r="F16">
            <v>14</v>
          </cell>
          <cell r="G16">
            <v>1.9106419724457366</v>
          </cell>
        </row>
        <row r="17">
          <cell r="A17" t="str">
            <v>Texas Tech</v>
          </cell>
          <cell r="B17">
            <v>1.7307723029482374</v>
          </cell>
          <cell r="C17">
            <v>0.93625522391622829</v>
          </cell>
          <cell r="D17">
            <v>19</v>
          </cell>
          <cell r="E17">
            <v>1.7895245691392447</v>
          </cell>
          <cell r="F17">
            <v>15</v>
          </cell>
          <cell r="G17">
            <v>1.8907836320222451</v>
          </cell>
        </row>
        <row r="18">
          <cell r="A18" t="str">
            <v>Arkansas</v>
          </cell>
          <cell r="B18">
            <v>2.0353783970235364</v>
          </cell>
          <cell r="C18">
            <v>0.91057631722231225</v>
          </cell>
          <cell r="D18">
            <v>26</v>
          </cell>
          <cell r="E18">
            <v>1.7889341110000343</v>
          </cell>
          <cell r="F18">
            <v>16</v>
          </cell>
          <cell r="G18">
            <v>1.8901599040877128</v>
          </cell>
        </row>
        <row r="19">
          <cell r="A19" t="str">
            <v>Nebraska</v>
          </cell>
          <cell r="B19">
            <v>1.5980765174629916</v>
          </cell>
          <cell r="C19">
            <v>0.94517391873550327</v>
          </cell>
          <cell r="D19">
            <v>16</v>
          </cell>
          <cell r="E19">
            <v>1.781659278893011</v>
          </cell>
          <cell r="F19">
            <v>17</v>
          </cell>
          <cell r="G19">
            <v>1.8824751662496515</v>
          </cell>
        </row>
        <row r="20">
          <cell r="A20" t="str">
            <v>Georgia</v>
          </cell>
          <cell r="B20">
            <v>1.4165505551334869</v>
          </cell>
          <cell r="C20">
            <v>0.95483961468900491</v>
          </cell>
          <cell r="D20">
            <v>13</v>
          </cell>
          <cell r="E20">
            <v>1.7618204156304271</v>
          </cell>
          <cell r="F20">
            <v>18</v>
          </cell>
          <cell r="G20">
            <v>1.8615184677396033</v>
          </cell>
        </row>
        <row r="21">
          <cell r="A21" t="str">
            <v>Kentucky</v>
          </cell>
          <cell r="B21">
            <v>1.8370317256087239</v>
          </cell>
          <cell r="C21">
            <v>0.91892431995662904</v>
          </cell>
          <cell r="D21">
            <v>22</v>
          </cell>
          <cell r="E21">
            <v>1.7593295483321318</v>
          </cell>
          <cell r="F21">
            <v>19</v>
          </cell>
          <cell r="G21">
            <v>1.8588872507032237</v>
          </cell>
        </row>
        <row r="22">
          <cell r="A22" t="str">
            <v>Iowa State</v>
          </cell>
          <cell r="B22">
            <v>2.1151351908000979</v>
          </cell>
          <cell r="C22">
            <v>0.88272686965850911</v>
          </cell>
          <cell r="D22">
            <v>37</v>
          </cell>
          <cell r="E22">
            <v>1.7131147932274811</v>
          </cell>
          <cell r="F22">
            <v>20</v>
          </cell>
          <cell r="G22">
            <v>1.8100684914515035</v>
          </cell>
        </row>
        <row r="23">
          <cell r="A23" t="str">
            <v>Tennessee</v>
          </cell>
          <cell r="B23">
            <v>2.1093237350207152</v>
          </cell>
          <cell r="C23">
            <v>0.87993004091347404</v>
          </cell>
          <cell r="D23">
            <v>39</v>
          </cell>
          <cell r="E23">
            <v>1.7013541568788468</v>
          </cell>
          <cell r="F23">
            <v>21</v>
          </cell>
          <cell r="G23">
            <v>1.7976451934539073</v>
          </cell>
        </row>
        <row r="24">
          <cell r="A24" t="str">
            <v>Louisville</v>
          </cell>
          <cell r="B24">
            <v>1.6836789259046161</v>
          </cell>
          <cell r="C24">
            <v>0.91542628420953309</v>
          </cell>
          <cell r="D24">
            <v>23</v>
          </cell>
          <cell r="E24">
            <v>1.700795046306482</v>
          </cell>
          <cell r="F24">
            <v>22</v>
          </cell>
          <cell r="G24">
            <v>1.7970545793877815</v>
          </cell>
        </row>
        <row r="25">
          <cell r="A25" t="str">
            <v>Villanova</v>
          </cell>
          <cell r="B25">
            <v>1.1705506225722693</v>
          </cell>
          <cell r="C25">
            <v>0.94986967739564321</v>
          </cell>
          <cell r="D25">
            <v>14</v>
          </cell>
          <cell r="E25">
            <v>1.6702199702350127</v>
          </cell>
          <cell r="F25">
            <v>23</v>
          </cell>
          <cell r="G25">
            <v>1.7647567283128143</v>
          </cell>
        </row>
        <row r="26">
          <cell r="A26" t="str">
            <v>BYU</v>
          </cell>
          <cell r="B26">
            <v>1.7198667772762584</v>
          </cell>
          <cell r="C26">
            <v>0.89719039088982089</v>
          </cell>
          <cell r="D26">
            <v>33</v>
          </cell>
          <cell r="E26">
            <v>1.6463372190522003</v>
          </cell>
          <cell r="F26">
            <v>24</v>
          </cell>
          <cell r="G26">
            <v>1.7395282860626655</v>
          </cell>
        </row>
        <row r="27">
          <cell r="A27" t="str">
            <v>St. John's</v>
          </cell>
          <cell r="B27">
            <v>1.5225420471935447</v>
          </cell>
          <cell r="C27">
            <v>0.90699678367681447</v>
          </cell>
          <cell r="D27">
            <v>29</v>
          </cell>
          <cell r="E27">
            <v>1.6222626491553576</v>
          </cell>
          <cell r="F27">
            <v>25</v>
          </cell>
          <cell r="G27">
            <v>1.7140972169328756</v>
          </cell>
        </row>
        <row r="28">
          <cell r="A28" t="str">
            <v>Southern California</v>
          </cell>
          <cell r="B28">
            <v>0.93770939839851419</v>
          </cell>
          <cell r="C28">
            <v>0.94937932209625897</v>
          </cell>
          <cell r="D28">
            <v>15</v>
          </cell>
          <cell r="E28">
            <v>1.598611332805516</v>
          </cell>
          <cell r="F28">
            <v>26</v>
          </cell>
          <cell r="G28">
            <v>1.6891132498804788</v>
          </cell>
        </row>
        <row r="29">
          <cell r="A29" t="str">
            <v>Miami</v>
          </cell>
          <cell r="B29">
            <v>1.2132616285585638</v>
          </cell>
          <cell r="C29">
            <v>0.91932073810408266</v>
          </cell>
          <cell r="D29">
            <v>21</v>
          </cell>
          <cell r="E29">
            <v>1.5736183414786464</v>
          </cell>
          <cell r="F29">
            <v>27</v>
          </cell>
          <cell r="G29">
            <v>1.6627120101940653</v>
          </cell>
        </row>
        <row r="30">
          <cell r="A30" t="str">
            <v>UCLA</v>
          </cell>
          <cell r="B30">
            <v>1.6111786314801126</v>
          </cell>
          <cell r="C30">
            <v>0.88188704397472117</v>
          </cell>
          <cell r="D30">
            <v>38</v>
          </cell>
          <cell r="E30">
            <v>1.5589198824063395</v>
          </cell>
          <cell r="F30">
            <v>28</v>
          </cell>
          <cell r="G30">
            <v>1.6471853557046638</v>
          </cell>
        </row>
        <row r="31">
          <cell r="A31" t="str">
            <v>Baylor</v>
          </cell>
          <cell r="B31">
            <v>1.3263082288045847</v>
          </cell>
          <cell r="C31">
            <v>0.90447184770913269</v>
          </cell>
          <cell r="D31">
            <v>31</v>
          </cell>
          <cell r="E31">
            <v>1.5543491227567312</v>
          </cell>
          <cell r="F31">
            <v>29</v>
          </cell>
          <cell r="G31">
            <v>1.6423570532625884</v>
          </cell>
        </row>
        <row r="32">
          <cell r="A32" t="str">
            <v>Purdue</v>
          </cell>
          <cell r="B32">
            <v>2.1468365779649368</v>
          </cell>
          <cell r="C32">
            <v>0.83133777451620761</v>
          </cell>
          <cell r="D32">
            <v>52</v>
          </cell>
          <cell r="E32">
            <v>1.5385685970515595</v>
          </cell>
          <cell r="F32">
            <v>30</v>
          </cell>
          <cell r="G32">
            <v>1.6256873623051904</v>
          </cell>
        </row>
        <row r="33">
          <cell r="A33" t="str">
            <v>Ohio State</v>
          </cell>
          <cell r="B33">
            <v>1.480782681200234</v>
          </cell>
          <cell r="C33">
            <v>0.88653622715697833</v>
          </cell>
          <cell r="D33">
            <v>36</v>
          </cell>
          <cell r="E33">
            <v>1.5364527411047153</v>
          </cell>
          <cell r="F33">
            <v>31</v>
          </cell>
          <cell r="G33">
            <v>1.6234522869088932</v>
          </cell>
        </row>
        <row r="34">
          <cell r="A34" t="str">
            <v>Wisconsin</v>
          </cell>
          <cell r="B34">
            <v>1.633833869039695</v>
          </cell>
          <cell r="C34">
            <v>0.87144545037103849</v>
          </cell>
          <cell r="D34">
            <v>40</v>
          </cell>
          <cell r="E34">
            <v>1.5283185516358471</v>
          </cell>
          <cell r="F34">
            <v>32</v>
          </cell>
          <cell r="G34">
            <v>1.6148597705904719</v>
          </cell>
        </row>
        <row r="35">
          <cell r="A35" t="str">
            <v>LSU</v>
          </cell>
          <cell r="B35">
            <v>1.1732078843986069</v>
          </cell>
          <cell r="C35">
            <v>0.90720427850389551</v>
          </cell>
          <cell r="D35">
            <v>28</v>
          </cell>
          <cell r="E35">
            <v>1.5182055695601138</v>
          </cell>
          <cell r="F35">
            <v>33</v>
          </cell>
          <cell r="G35">
            <v>1.6041769651497806</v>
          </cell>
        </row>
        <row r="36">
          <cell r="A36" t="str">
            <v>Maryland</v>
          </cell>
          <cell r="B36">
            <v>0.48942434053070777</v>
          </cell>
          <cell r="C36">
            <v>0.96155485084319259</v>
          </cell>
          <cell r="D36">
            <v>12</v>
          </cell>
          <cell r="E36">
            <v>1.5077340278144575</v>
          </cell>
          <cell r="F36">
            <v>34</v>
          </cell>
          <cell r="G36">
            <v>1.5931153967325526</v>
          </cell>
        </row>
        <row r="37">
          <cell r="A37" t="str">
            <v>NC State</v>
          </cell>
          <cell r="B37">
            <v>1.2089910120808776</v>
          </cell>
          <cell r="C37">
            <v>0.89757797892544255</v>
          </cell>
          <cell r="D37">
            <v>32</v>
          </cell>
          <cell r="E37">
            <v>1.4944626855810408</v>
          </cell>
          <cell r="F37">
            <v>35</v>
          </cell>
          <cell r="G37">
            <v>1.5790962710231715</v>
          </cell>
        </row>
        <row r="38">
          <cell r="A38" t="str">
            <v>TCU</v>
          </cell>
          <cell r="B38">
            <v>1.2612728385669907</v>
          </cell>
          <cell r="C38">
            <v>0.89018399423931538</v>
          </cell>
          <cell r="D38">
            <v>35</v>
          </cell>
          <cell r="E38">
            <v>1.4836647323435834</v>
          </cell>
          <cell r="F38">
            <v>36</v>
          </cell>
          <cell r="G38">
            <v>1.5676898992201169</v>
          </cell>
        </row>
        <row r="39">
          <cell r="A39" t="str">
            <v>VCU</v>
          </cell>
          <cell r="B39">
            <v>1.0029156853985772</v>
          </cell>
          <cell r="C39">
            <v>0.9066710532272575</v>
          </cell>
          <cell r="D39">
            <v>30</v>
          </cell>
          <cell r="E39">
            <v>1.4652080953799613</v>
          </cell>
          <cell r="F39">
            <v>37</v>
          </cell>
          <cell r="G39">
            <v>1.5481933095598852</v>
          </cell>
        </row>
        <row r="40">
          <cell r="A40" t="str">
            <v>Auburn</v>
          </cell>
          <cell r="B40">
            <v>1.7297344382488178</v>
          </cell>
          <cell r="C40">
            <v>0.8450628447743187</v>
          </cell>
          <cell r="D40">
            <v>50</v>
          </cell>
          <cell r="E40">
            <v>1.4625960484761842</v>
          </cell>
          <cell r="F40">
            <v>38</v>
          </cell>
          <cell r="G40">
            <v>1.5454340849646031</v>
          </cell>
        </row>
        <row r="41">
          <cell r="A41" t="str">
            <v>North Carolina</v>
          </cell>
          <cell r="B41">
            <v>1.399308931370413</v>
          </cell>
          <cell r="C41">
            <v>0.86837157796516817</v>
          </cell>
          <cell r="D41">
            <v>41</v>
          </cell>
          <cell r="E41">
            <v>1.4469516034398338</v>
          </cell>
          <cell r="F41">
            <v>39</v>
          </cell>
          <cell r="G41">
            <v>1.5289081422407498</v>
          </cell>
        </row>
        <row r="42">
          <cell r="A42" t="str">
            <v>West Virginia</v>
          </cell>
          <cell r="B42">
            <v>0.85148932871286476</v>
          </cell>
          <cell r="C42">
            <v>0.91165626420701784</v>
          </cell>
          <cell r="D42">
            <v>25</v>
          </cell>
          <cell r="E42">
            <v>1.4376353586612729</v>
          </cell>
          <cell r="F42">
            <v>40</v>
          </cell>
          <cell r="G42">
            <v>1.5190669668424432</v>
          </cell>
        </row>
        <row r="43">
          <cell r="A43" t="str">
            <v>Marquette</v>
          </cell>
          <cell r="B43">
            <v>0.51719732592928536</v>
          </cell>
          <cell r="C43">
            <v>0.93821776263808132</v>
          </cell>
          <cell r="D43">
            <v>18</v>
          </cell>
          <cell r="E43">
            <v>1.4324811592992088</v>
          </cell>
          <cell r="F43">
            <v>41</v>
          </cell>
          <cell r="G43">
            <v>1.5136223503509743</v>
          </cell>
        </row>
        <row r="44">
          <cell r="A44" t="str">
            <v>Colorado State</v>
          </cell>
          <cell r="B44">
            <v>0.80398951321808487</v>
          </cell>
          <cell r="C44">
            <v>0.90909130668564386</v>
          </cell>
          <cell r="D44">
            <v>27</v>
          </cell>
          <cell r="E44">
            <v>1.4141986908211714</v>
          </cell>
          <cell r="F44">
            <v>42</v>
          </cell>
          <cell r="G44">
            <v>1.4943097428269185</v>
          </cell>
        </row>
        <row r="45">
          <cell r="A45" t="str">
            <v>Providence</v>
          </cell>
          <cell r="B45">
            <v>0.69425739770880301</v>
          </cell>
          <cell r="C45">
            <v>0.91451697918491426</v>
          </cell>
          <cell r="D45">
            <v>24</v>
          </cell>
          <cell r="E45">
            <v>1.4007117956832071</v>
          </cell>
          <cell r="F45">
            <v>43</v>
          </cell>
          <cell r="G45">
            <v>1.4800629187270713</v>
          </cell>
        </row>
        <row r="46">
          <cell r="A46" t="str">
            <v>New Mexico</v>
          </cell>
          <cell r="B46">
            <v>1.2426414769371414</v>
          </cell>
          <cell r="C46">
            <v>0.86381772370318699</v>
          </cell>
          <cell r="D46">
            <v>43</v>
          </cell>
          <cell r="E46">
            <v>1.3836411560395316</v>
          </cell>
          <cell r="F46">
            <v>44</v>
          </cell>
          <cell r="G46">
            <v>1.4620304214185744</v>
          </cell>
        </row>
        <row r="47">
          <cell r="A47" t="str">
            <v>Oklahoma</v>
          </cell>
          <cell r="B47">
            <v>1.3151389996405596</v>
          </cell>
          <cell r="C47">
            <v>0.85598775060966381</v>
          </cell>
          <cell r="D47">
            <v>46</v>
          </cell>
          <cell r="E47">
            <v>1.3773463634622192</v>
          </cell>
          <cell r="F47">
            <v>45</v>
          </cell>
          <cell r="G47">
            <v>1.4553809441536736</v>
          </cell>
        </row>
        <row r="48">
          <cell r="A48" t="str">
            <v>Cincinnati</v>
          </cell>
          <cell r="B48">
            <v>1.2304938501803491</v>
          </cell>
          <cell r="C48">
            <v>0.86081318843356036</v>
          </cell>
          <cell r="D48">
            <v>45</v>
          </cell>
          <cell r="E48">
            <v>1.3692357409327456</v>
          </cell>
          <cell r="F48">
            <v>46</v>
          </cell>
          <cell r="G48">
            <v>1.4468133226710682</v>
          </cell>
        </row>
        <row r="49">
          <cell r="A49" t="str">
            <v>Iowa</v>
          </cell>
          <cell r="B49">
            <v>1.5661196946449574</v>
          </cell>
          <cell r="C49">
            <v>0.82776940307832314</v>
          </cell>
          <cell r="D49">
            <v>54</v>
          </cell>
          <cell r="E49">
            <v>1.3515729536749395</v>
          </cell>
          <cell r="F49">
            <v>47</v>
          </cell>
          <cell r="G49">
            <v>1.4281553127584199</v>
          </cell>
        </row>
        <row r="50">
          <cell r="A50" t="str">
            <v>Indiana</v>
          </cell>
          <cell r="B50">
            <v>1.2531976647873275</v>
          </cell>
          <cell r="C50">
            <v>0.85255309219703124</v>
          </cell>
          <cell r="D50">
            <v>47</v>
          </cell>
          <cell r="E50">
            <v>1.3464622949155107</v>
          </cell>
          <cell r="F50">
            <v>48</v>
          </cell>
          <cell r="G50">
            <v>1.4227566901966584</v>
          </cell>
        </row>
        <row r="51">
          <cell r="A51" t="str">
            <v>Clemson</v>
          </cell>
          <cell r="B51">
            <v>1.0833331337032761</v>
          </cell>
          <cell r="C51">
            <v>0.86344138797462477</v>
          </cell>
          <cell r="D51">
            <v>44</v>
          </cell>
          <cell r="E51">
            <v>1.3345007585578155</v>
          </cell>
          <cell r="F51">
            <v>49</v>
          </cell>
          <cell r="G51">
            <v>1.4101211723321863</v>
          </cell>
        </row>
        <row r="52">
          <cell r="A52" t="str">
            <v>Missouri</v>
          </cell>
          <cell r="B52">
            <v>1.1832890866486203</v>
          </cell>
          <cell r="C52">
            <v>0.84826675155352149</v>
          </cell>
          <cell r="D52">
            <v>48</v>
          </cell>
          <cell r="E52">
            <v>1.3101376446192208</v>
          </cell>
          <cell r="F52">
            <v>50</v>
          </cell>
          <cell r="G52">
            <v>1.3843853009357632</v>
          </cell>
        </row>
        <row r="53">
          <cell r="A53" t="str">
            <v>Texas A&amp;M</v>
          </cell>
          <cell r="B53">
            <v>1.3327173308481712</v>
          </cell>
          <cell r="C53">
            <v>0.8216069784434562</v>
          </cell>
          <cell r="D53">
            <v>57</v>
          </cell>
          <cell r="E53">
            <v>1.2594807330826816</v>
          </cell>
          <cell r="F53">
            <v>51</v>
          </cell>
          <cell r="G53">
            <v>1.3308740887019646</v>
          </cell>
        </row>
        <row r="54">
          <cell r="A54" t="str">
            <v>Saint Louis</v>
          </cell>
          <cell r="B54">
            <v>1.2842333839022859</v>
          </cell>
          <cell r="C54">
            <v>0.81650207927071361</v>
          </cell>
          <cell r="D54">
            <v>59</v>
          </cell>
          <cell r="E54">
            <v>1.2266517001513</v>
          </cell>
          <cell r="F54">
            <v>52</v>
          </cell>
          <cell r="G54">
            <v>1.2961952799207701</v>
          </cell>
        </row>
        <row r="55">
          <cell r="A55" t="str">
            <v>Utah State</v>
          </cell>
          <cell r="B55">
            <v>1.6485162279320009</v>
          </cell>
          <cell r="C55">
            <v>0.78320665138907553</v>
          </cell>
          <cell r="D55">
            <v>66</v>
          </cell>
          <cell r="E55">
            <v>1.2166847228921283</v>
          </cell>
          <cell r="F55">
            <v>53</v>
          </cell>
          <cell r="G55">
            <v>1.28566670604472</v>
          </cell>
        </row>
        <row r="56">
          <cell r="A56" t="str">
            <v>Florida State</v>
          </cell>
          <cell r="B56">
            <v>0.87649403642374502</v>
          </cell>
          <cell r="C56">
            <v>0.84092632962981084</v>
          </cell>
          <cell r="D56">
            <v>51</v>
          </cell>
          <cell r="E56">
            <v>1.1918084702479528</v>
          </cell>
          <cell r="F56">
            <v>54</v>
          </cell>
          <cell r="G56">
            <v>1.2593887827673822</v>
          </cell>
        </row>
        <row r="57">
          <cell r="A57" t="str">
            <v>Creighton</v>
          </cell>
          <cell r="B57">
            <v>0.57564045619396964</v>
          </cell>
          <cell r="C57">
            <v>0.86381979739168724</v>
          </cell>
          <cell r="D57">
            <v>42</v>
          </cell>
          <cell r="E57">
            <v>1.1835482769969832</v>
          </cell>
          <cell r="F57">
            <v>55</v>
          </cell>
          <cell r="G57">
            <v>1.2506631628916818</v>
          </cell>
        </row>
        <row r="58">
          <cell r="A58" t="str">
            <v>Grand Canyon</v>
          </cell>
          <cell r="B58">
            <v>0.87218628114457908</v>
          </cell>
          <cell r="C58">
            <v>0.82568926851441438</v>
          </cell>
          <cell r="D58">
            <v>55</v>
          </cell>
          <cell r="E58">
            <v>1.1359426618208537</v>
          </cell>
          <cell r="F58">
            <v>56</v>
          </cell>
          <cell r="G58">
            <v>1.2003751745414064</v>
          </cell>
        </row>
        <row r="59">
          <cell r="A59" t="str">
            <v>Oklahoma State</v>
          </cell>
          <cell r="B59">
            <v>1.0210632551400336</v>
          </cell>
          <cell r="C59">
            <v>0.81139042330185041</v>
          </cell>
          <cell r="D59">
            <v>60</v>
          </cell>
          <cell r="E59">
            <v>1.1293926123461118</v>
          </cell>
          <cell r="F59">
            <v>57</v>
          </cell>
          <cell r="G59">
            <v>1.1934560577426656</v>
          </cell>
        </row>
        <row r="60">
          <cell r="A60" t="str">
            <v>Xavier</v>
          </cell>
          <cell r="B60">
            <v>0.54180577683735809</v>
          </cell>
          <cell r="C60">
            <v>0.84509823392433892</v>
          </cell>
          <cell r="D60">
            <v>49</v>
          </cell>
          <cell r="E60">
            <v>1.1063442008166535</v>
          </cell>
          <cell r="F60">
            <v>58</v>
          </cell>
          <cell r="G60">
            <v>1.1691089666233196</v>
          </cell>
        </row>
        <row r="61">
          <cell r="A61" t="str">
            <v>Stanford</v>
          </cell>
          <cell r="B61">
            <v>1.0639598452875727</v>
          </cell>
          <cell r="C61">
            <v>0.79395608570010956</v>
          </cell>
          <cell r="D61">
            <v>64</v>
          </cell>
          <cell r="E61">
            <v>1.0798182809758643</v>
          </cell>
          <cell r="F61">
            <v>59</v>
          </cell>
          <cell r="G61">
            <v>1.1410884244457067</v>
          </cell>
        </row>
        <row r="62">
          <cell r="A62" t="str">
            <v>Utah</v>
          </cell>
          <cell r="B62">
            <v>0.62009023953642373</v>
          </cell>
          <cell r="C62">
            <v>0.81705494042304727</v>
          </cell>
          <cell r="D62">
            <v>58</v>
          </cell>
          <cell r="E62">
            <v>1.0293888997201628</v>
          </cell>
          <cell r="F62">
            <v>60</v>
          </cell>
          <cell r="G62">
            <v>1.0878175628526836</v>
          </cell>
        </row>
        <row r="63">
          <cell r="A63" t="str">
            <v>Pittsburgh</v>
          </cell>
          <cell r="B63">
            <v>0.43935032086783271</v>
          </cell>
          <cell r="C63">
            <v>0.82816383859178977</v>
          </cell>
          <cell r="D63">
            <v>53</v>
          </cell>
          <cell r="E63">
            <v>1.0149548627463389</v>
          </cell>
          <cell r="F63">
            <v>61</v>
          </cell>
          <cell r="G63">
            <v>1.0725702295181265</v>
          </cell>
        </row>
        <row r="64">
          <cell r="A64" t="str">
            <v>SMU</v>
          </cell>
          <cell r="B64">
            <v>1.3725727887868471</v>
          </cell>
          <cell r="C64">
            <v>0.73705601740269144</v>
          </cell>
          <cell r="D64">
            <v>81</v>
          </cell>
          <cell r="E64">
            <v>0.96860729698420833</v>
          </cell>
          <cell r="F64">
            <v>62</v>
          </cell>
          <cell r="G64">
            <v>1.0236111762953817</v>
          </cell>
        </row>
        <row r="65">
          <cell r="A65" t="str">
            <v>UCF</v>
          </cell>
          <cell r="B65">
            <v>1.2719714896161205</v>
          </cell>
          <cell r="C65">
            <v>0.74511863485699825</v>
          </cell>
          <cell r="D65">
            <v>77</v>
          </cell>
          <cell r="E65">
            <v>0.9673042021339</v>
          </cell>
          <cell r="F65">
            <v>63</v>
          </cell>
          <cell r="G65">
            <v>1.0222346576135168</v>
          </cell>
        </row>
        <row r="66">
          <cell r="A66" t="str">
            <v>Syracuse</v>
          </cell>
          <cell r="B66">
            <v>0.52634441261855802</v>
          </cell>
          <cell r="C66">
            <v>0.8041163705254748</v>
          </cell>
          <cell r="D66">
            <v>61</v>
          </cell>
          <cell r="E66">
            <v>0.95492400986972759</v>
          </cell>
          <cell r="F66">
            <v>64</v>
          </cell>
          <cell r="G66">
            <v>1.009156894369591</v>
          </cell>
        </row>
        <row r="67">
          <cell r="A67" t="str">
            <v>Minnesota</v>
          </cell>
          <cell r="B67">
            <v>0.65884614829491162</v>
          </cell>
          <cell r="C67">
            <v>0.78386491381164491</v>
          </cell>
          <cell r="D67">
            <v>65</v>
          </cell>
          <cell r="E67">
            <v>0.92214135000037634</v>
          </cell>
          <cell r="F67">
            <v>65</v>
          </cell>
          <cell r="G67">
            <v>0.97452707157449325</v>
          </cell>
        </row>
        <row r="68">
          <cell r="A68" t="str">
            <v>Mississippi State</v>
          </cell>
          <cell r="B68">
            <v>0.53126980142787505</v>
          </cell>
          <cell r="C68">
            <v>0.79435647207571991</v>
          </cell>
          <cell r="D68">
            <v>63</v>
          </cell>
          <cell r="E68">
            <v>0.92144530279584291</v>
          </cell>
          <cell r="F68">
            <v>66</v>
          </cell>
          <cell r="G68">
            <v>0.97379180508159502</v>
          </cell>
        </row>
        <row r="69">
          <cell r="A69" t="str">
            <v>Arizona State</v>
          </cell>
          <cell r="B69">
            <v>1.0400032442688223</v>
          </cell>
          <cell r="C69">
            <v>0.74557862893231241</v>
          </cell>
          <cell r="D69">
            <v>76</v>
          </cell>
          <cell r="E69">
            <v>0.8993612561025861</v>
          </cell>
          <cell r="F69">
            <v>67</v>
          </cell>
          <cell r="G69">
            <v>0.95046341663984046</v>
          </cell>
        </row>
        <row r="70">
          <cell r="A70" t="str">
            <v>Oregon</v>
          </cell>
          <cell r="B70">
            <v>0.8057097643968506</v>
          </cell>
          <cell r="C70">
            <v>0.76293157242268084</v>
          </cell>
          <cell r="D70">
            <v>72</v>
          </cell>
          <cell r="E70">
            <v>0.89122499714258985</v>
          </cell>
          <cell r="F70">
            <v>68</v>
          </cell>
          <cell r="G70">
            <v>0.94186871422330121</v>
          </cell>
        </row>
        <row r="71">
          <cell r="A71" t="str">
            <v>Dayton</v>
          </cell>
          <cell r="B71">
            <v>0.68173237323609626</v>
          </cell>
          <cell r="C71">
            <v>0.77248186353380566</v>
          </cell>
          <cell r="D71">
            <v>69</v>
          </cell>
          <cell r="E71">
            <v>0.88823736803769116</v>
          </cell>
          <cell r="F71">
            <v>69</v>
          </cell>
          <cell r="G71">
            <v>0.93871274497332458</v>
          </cell>
        </row>
        <row r="72">
          <cell r="A72" t="str">
            <v>Saint Mary's</v>
          </cell>
          <cell r="B72">
            <v>1.5120905367113564</v>
          </cell>
          <cell r="C72">
            <v>0.70070741844987483</v>
          </cell>
          <cell r="D72">
            <v>92</v>
          </cell>
          <cell r="E72">
            <v>0.88027546847429594</v>
          </cell>
          <cell r="F72">
            <v>70</v>
          </cell>
          <cell r="G72">
            <v>0.93030222636099824</v>
          </cell>
        </row>
        <row r="73">
          <cell r="A73" t="str">
            <v>Wichita State</v>
          </cell>
          <cell r="B73">
            <v>0.72871408452276532</v>
          </cell>
          <cell r="C73">
            <v>0.76495970137171165</v>
          </cell>
          <cell r="D73">
            <v>71</v>
          </cell>
          <cell r="E73">
            <v>0.87539029622778031</v>
          </cell>
          <cell r="F73">
            <v>71</v>
          </cell>
          <cell r="G73">
            <v>0.92514179551449072</v>
          </cell>
        </row>
        <row r="74">
          <cell r="A74" t="str">
            <v>California</v>
          </cell>
          <cell r="B74">
            <v>0.8808176745014038</v>
          </cell>
          <cell r="C74">
            <v>0.75209644628127093</v>
          </cell>
          <cell r="D74">
            <v>73</v>
          </cell>
          <cell r="E74">
            <v>0.87494998105407251</v>
          </cell>
          <cell r="F74">
            <v>72</v>
          </cell>
          <cell r="G74">
            <v>0.92467667046056701</v>
          </cell>
        </row>
        <row r="75">
          <cell r="A75" t="str">
            <v>High Point</v>
          </cell>
          <cell r="B75">
            <v>0.95095297617021568</v>
          </cell>
          <cell r="C75">
            <v>0.74432046352632097</v>
          </cell>
          <cell r="D75">
            <v>79</v>
          </cell>
          <cell r="E75">
            <v>0.86813989546451797</v>
          </cell>
          <cell r="F75">
            <v>73</v>
          </cell>
          <cell r="G75">
            <v>0.91748286562210724</v>
          </cell>
        </row>
        <row r="76">
          <cell r="A76" t="str">
            <v>Santa Clara</v>
          </cell>
          <cell r="B76">
            <v>1.5890742504072184</v>
          </cell>
          <cell r="C76">
            <v>0.68631921732990264</v>
          </cell>
          <cell r="D76">
            <v>99</v>
          </cell>
          <cell r="E76">
            <v>0.85183740130665764</v>
          </cell>
          <cell r="F76">
            <v>74</v>
          </cell>
          <cell r="G76">
            <v>0.90026179551813368</v>
          </cell>
        </row>
        <row r="77">
          <cell r="A77" t="str">
            <v>Kansas State</v>
          </cell>
          <cell r="B77">
            <v>0.7961542429416445</v>
          </cell>
          <cell r="C77">
            <v>0.74699894479378148</v>
          </cell>
          <cell r="D77">
            <v>75</v>
          </cell>
          <cell r="E77">
            <v>0.83129359849376561</v>
          </cell>
          <cell r="F77">
            <v>75</v>
          </cell>
          <cell r="G77">
            <v>0.87856043712369181</v>
          </cell>
        </row>
        <row r="78">
          <cell r="A78" t="str">
            <v>Liberty</v>
          </cell>
          <cell r="B78">
            <v>0.56445281638974321</v>
          </cell>
          <cell r="C78">
            <v>0.76562978286702377</v>
          </cell>
          <cell r="D78">
            <v>70</v>
          </cell>
          <cell r="E78">
            <v>0.82851189830687988</v>
          </cell>
          <cell r="F78">
            <v>76</v>
          </cell>
          <cell r="G78">
            <v>0.87562200000709278</v>
          </cell>
        </row>
        <row r="79">
          <cell r="A79" t="str">
            <v>Pennsylvania</v>
          </cell>
          <cell r="B79">
            <v>-0.13764132567735701</v>
          </cell>
          <cell r="C79">
            <v>0.8218049751894263</v>
          </cell>
          <cell r="D79">
            <v>56</v>
          </cell>
          <cell r="E79">
            <v>0.81908228677680606</v>
          </cell>
          <cell r="F79">
            <v>77</v>
          </cell>
          <cell r="G79">
            <v>0.86566107012481819</v>
          </cell>
        </row>
        <row r="80">
          <cell r="A80" t="str">
            <v>Fresno State</v>
          </cell>
          <cell r="B80">
            <v>0.29120551811351308</v>
          </cell>
          <cell r="C80">
            <v>0.78228015565906039</v>
          </cell>
          <cell r="D80">
            <v>67</v>
          </cell>
          <cell r="E80">
            <v>0.80617314707351906</v>
          </cell>
          <cell r="F80">
            <v>78</v>
          </cell>
          <cell r="G80">
            <v>0.85202455551180079</v>
          </cell>
        </row>
        <row r="81">
          <cell r="A81" t="str">
            <v>DePaul</v>
          </cell>
          <cell r="B81">
            <v>0.36664718639439264</v>
          </cell>
          <cell r="C81">
            <v>0.77330105126184501</v>
          </cell>
          <cell r="D81">
            <v>68</v>
          </cell>
          <cell r="E81">
            <v>0.79664583753406226</v>
          </cell>
          <cell r="F81">
            <v>79</v>
          </cell>
          <cell r="G81">
            <v>0.8419604227544133</v>
          </cell>
        </row>
        <row r="82">
          <cell r="A82" t="str">
            <v>Virginia Tech</v>
          </cell>
          <cell r="B82">
            <v>0.73519766761354333</v>
          </cell>
          <cell r="C82">
            <v>0.73675948981083683</v>
          </cell>
          <cell r="D82">
            <v>82</v>
          </cell>
          <cell r="E82">
            <v>0.77633270916260821</v>
          </cell>
          <cell r="F82">
            <v>80</v>
          </cell>
          <cell r="G82">
            <v>0.82050273632137383</v>
          </cell>
        </row>
        <row r="83">
          <cell r="A83" t="str">
            <v>Davidson</v>
          </cell>
          <cell r="B83">
            <v>0.53828750834892591</v>
          </cell>
          <cell r="C83">
            <v>0.74441942252135473</v>
          </cell>
          <cell r="D83">
            <v>78</v>
          </cell>
          <cell r="E83">
            <v>0.74469468940685712</v>
          </cell>
          <cell r="F83">
            <v>81</v>
          </cell>
          <cell r="G83">
            <v>0.78708204922350478</v>
          </cell>
        </row>
        <row r="84">
          <cell r="A84" t="str">
            <v>San Francisco</v>
          </cell>
          <cell r="B84">
            <v>0.46295289499995351</v>
          </cell>
          <cell r="C84">
            <v>0.74738312502969073</v>
          </cell>
          <cell r="D84">
            <v>74</v>
          </cell>
          <cell r="E84">
            <v>0.73270918472848978</v>
          </cell>
          <cell r="F84">
            <v>82</v>
          </cell>
          <cell r="G84">
            <v>0.77442121252581775</v>
          </cell>
        </row>
        <row r="85">
          <cell r="A85" t="str">
            <v>Murray State</v>
          </cell>
          <cell r="B85">
            <v>0.53533832444252472</v>
          </cell>
          <cell r="C85">
            <v>0.72880128623215534</v>
          </cell>
          <cell r="D85">
            <v>84</v>
          </cell>
          <cell r="E85">
            <v>0.68787158295114958</v>
          </cell>
          <cell r="F85">
            <v>83</v>
          </cell>
          <cell r="G85">
            <v>0.72705720331196833</v>
          </cell>
        </row>
        <row r="86">
          <cell r="A86" t="str">
            <v>Ole Miss</v>
          </cell>
          <cell r="B86">
            <v>0.98084267348770082</v>
          </cell>
          <cell r="C86">
            <v>0.69116454943998895</v>
          </cell>
          <cell r="D86">
            <v>96</v>
          </cell>
          <cell r="E86">
            <v>0.68672210446808213</v>
          </cell>
          <cell r="F86">
            <v>84</v>
          </cell>
          <cell r="G86">
            <v>0.72584295662380927</v>
          </cell>
        </row>
        <row r="87">
          <cell r="A87" t="str">
            <v>South Florida</v>
          </cell>
          <cell r="B87">
            <v>1.0405794082736679</v>
          </cell>
          <cell r="C87">
            <v>0.67423215688149851</v>
          </cell>
          <cell r="D87">
            <v>105</v>
          </cell>
          <cell r="E87">
            <v>0.64399759681568236</v>
          </cell>
          <cell r="F87">
            <v>85</v>
          </cell>
          <cell r="G87">
            <v>0.68071110536748003</v>
          </cell>
        </row>
        <row r="88">
          <cell r="A88" t="str">
            <v>Florida Atlantic</v>
          </cell>
          <cell r="B88">
            <v>0.38154914856129396</v>
          </cell>
          <cell r="C88">
            <v>0.72612905608664646</v>
          </cell>
          <cell r="D88">
            <v>85</v>
          </cell>
          <cell r="E88">
            <v>0.63216389638119097</v>
          </cell>
          <cell r="F88">
            <v>86</v>
          </cell>
          <cell r="G88">
            <v>0.66821062643471862</v>
          </cell>
        </row>
        <row r="89">
          <cell r="A89" t="str">
            <v>Northwestern</v>
          </cell>
          <cell r="B89">
            <v>1.0107445736967684</v>
          </cell>
          <cell r="C89">
            <v>0.66669969237852456</v>
          </cell>
          <cell r="D89">
            <v>106</v>
          </cell>
          <cell r="E89">
            <v>0.60806866209609045</v>
          </cell>
          <cell r="F89">
            <v>87</v>
          </cell>
          <cell r="G89">
            <v>0.64275772856661462</v>
          </cell>
        </row>
        <row r="90">
          <cell r="A90" t="str">
            <v>Butler</v>
          </cell>
          <cell r="B90">
            <v>0.62459123259469296</v>
          </cell>
          <cell r="C90">
            <v>0.69801219793226488</v>
          </cell>
          <cell r="D90">
            <v>94</v>
          </cell>
          <cell r="E90">
            <v>0.6043724004776132</v>
          </cell>
          <cell r="F90">
            <v>88</v>
          </cell>
          <cell r="G90">
            <v>0.63885319838625987</v>
          </cell>
        </row>
        <row r="91">
          <cell r="A91" t="str">
            <v>Notre Dame</v>
          </cell>
          <cell r="B91">
            <v>0.70249525702957005</v>
          </cell>
          <cell r="C91">
            <v>0.69007115176450129</v>
          </cell>
          <cell r="D91">
            <v>97</v>
          </cell>
          <cell r="E91">
            <v>0.5993017360080255</v>
          </cell>
          <cell r="F91">
            <v>89</v>
          </cell>
          <cell r="G91">
            <v>0.63349682362182569</v>
          </cell>
        </row>
        <row r="92">
          <cell r="A92" t="str">
            <v>Texas State</v>
          </cell>
          <cell r="B92">
            <v>-0.64015751557396283</v>
          </cell>
          <cell r="C92">
            <v>0.79912454065076011</v>
          </cell>
          <cell r="D92">
            <v>62</v>
          </cell>
          <cell r="E92">
            <v>0.58709455470670169</v>
          </cell>
          <cell r="F92">
            <v>90</v>
          </cell>
          <cell r="G92">
            <v>0.62060181976987505</v>
          </cell>
        </row>
        <row r="93">
          <cell r="A93" t="str">
            <v>Oregon State</v>
          </cell>
          <cell r="B93">
            <v>0.17381517979660244</v>
          </cell>
          <cell r="C93">
            <v>0.73024499696846168</v>
          </cell>
          <cell r="D93">
            <v>83</v>
          </cell>
          <cell r="E93">
            <v>0.58458547408104955</v>
          </cell>
          <cell r="F93">
            <v>91</v>
          </cell>
          <cell r="G93">
            <v>0.61795136316289978</v>
          </cell>
        </row>
        <row r="94">
          <cell r="A94" t="str">
            <v>UC Santa Barbara</v>
          </cell>
          <cell r="B94">
            <v>0.18582827122902343</v>
          </cell>
          <cell r="C94">
            <v>0.71849242628598253</v>
          </cell>
          <cell r="D94">
            <v>89</v>
          </cell>
          <cell r="E94">
            <v>0.54609606750787765</v>
          </cell>
          <cell r="F94">
            <v>92</v>
          </cell>
          <cell r="G94">
            <v>0.57729324285084027</v>
          </cell>
        </row>
        <row r="95">
          <cell r="A95" t="str">
            <v>Florida International</v>
          </cell>
          <cell r="B95">
            <v>0.32987067603626036</v>
          </cell>
          <cell r="C95">
            <v>0.69825289686526448</v>
          </cell>
          <cell r="D95">
            <v>93</v>
          </cell>
          <cell r="E95">
            <v>0.51681832750250656</v>
          </cell>
          <cell r="F95">
            <v>93</v>
          </cell>
          <cell r="G95">
            <v>0.54636582719062332</v>
          </cell>
        </row>
        <row r="96">
          <cell r="A96" t="str">
            <v>Colorado</v>
          </cell>
          <cell r="B96">
            <v>0.90686552488418681</v>
          </cell>
          <cell r="C96">
            <v>0.64672835962939101</v>
          </cell>
          <cell r="D96">
            <v>115</v>
          </cell>
          <cell r="E96">
            <v>0.50537506666244236</v>
          </cell>
          <cell r="F96">
            <v>94</v>
          </cell>
          <cell r="G96">
            <v>0.53427778745654464</v>
          </cell>
        </row>
        <row r="97">
          <cell r="A97" t="str">
            <v>San Diego State</v>
          </cell>
          <cell r="B97">
            <v>1.4358114615475326</v>
          </cell>
          <cell r="C97">
            <v>0.60156411447878932</v>
          </cell>
          <cell r="D97">
            <v>145</v>
          </cell>
          <cell r="E97">
            <v>0.50229733118341691</v>
          </cell>
          <cell r="F97">
            <v>95</v>
          </cell>
          <cell r="G97">
            <v>0.5310266347229472</v>
          </cell>
        </row>
        <row r="98">
          <cell r="A98" t="str">
            <v>Fordham</v>
          </cell>
          <cell r="B98">
            <v>3.7541287537337059E-3</v>
          </cell>
          <cell r="C98">
            <v>0.72011108330084461</v>
          </cell>
          <cell r="D98">
            <v>88</v>
          </cell>
          <cell r="E98">
            <v>0.49727125174561082</v>
          </cell>
          <cell r="F98">
            <v>96</v>
          </cell>
          <cell r="G98">
            <v>0.52571735716649026</v>
          </cell>
        </row>
        <row r="99">
          <cell r="A99" t="str">
            <v>Eastern Michigan</v>
          </cell>
          <cell r="B99">
            <v>-0.27337007334217339</v>
          </cell>
          <cell r="C99">
            <v>0.74288935184188509</v>
          </cell>
          <cell r="D99">
            <v>80</v>
          </cell>
          <cell r="E99">
            <v>0.49571727120169146</v>
          </cell>
          <cell r="F99">
            <v>97</v>
          </cell>
          <cell r="G99">
            <v>0.52407581645327717</v>
          </cell>
        </row>
        <row r="100">
          <cell r="A100" t="str">
            <v>Boston College</v>
          </cell>
          <cell r="B100">
            <v>-5.0237973065669808E-2</v>
          </cell>
          <cell r="C100">
            <v>0.72313760496708412</v>
          </cell>
          <cell r="D100">
            <v>86</v>
          </cell>
          <cell r="E100">
            <v>0.49191349536910245</v>
          </cell>
          <cell r="F100">
            <v>98</v>
          </cell>
          <cell r="G100">
            <v>0.5200577140918522</v>
          </cell>
        </row>
        <row r="101">
          <cell r="A101" t="str">
            <v>Seton Hall</v>
          </cell>
          <cell r="B101">
            <v>0.93513266741954915</v>
          </cell>
          <cell r="C101">
            <v>0.63733176600204544</v>
          </cell>
          <cell r="D101">
            <v>122</v>
          </cell>
          <cell r="E101">
            <v>0.48020010836205268</v>
          </cell>
          <cell r="F101">
            <v>99</v>
          </cell>
          <cell r="G101">
            <v>0.50768432773451877</v>
          </cell>
        </row>
        <row r="102">
          <cell r="A102" t="str">
            <v>Belmont</v>
          </cell>
          <cell r="B102">
            <v>0.85738907237928474</v>
          </cell>
          <cell r="C102">
            <v>0.63910785519012037</v>
          </cell>
          <cell r="D102">
            <v>120</v>
          </cell>
          <cell r="E102">
            <v>0.46323832028016232</v>
          </cell>
          <cell r="F102">
            <v>100</v>
          </cell>
          <cell r="G102">
            <v>0.48976681530859723</v>
          </cell>
        </row>
        <row r="103">
          <cell r="A103" t="str">
            <v>Rutgers</v>
          </cell>
          <cell r="B103">
            <v>0.32044654665317462</v>
          </cell>
          <cell r="C103">
            <v>0.68041331891457957</v>
          </cell>
          <cell r="D103">
            <v>101</v>
          </cell>
          <cell r="E103">
            <v>0.45009636016929933</v>
          </cell>
          <cell r="F103">
            <v>101</v>
          </cell>
          <cell r="G103">
            <v>0.47588436185200911</v>
          </cell>
        </row>
        <row r="104">
          <cell r="A104" t="str">
            <v>Nevada</v>
          </cell>
          <cell r="B104">
            <v>0.88560573839134515</v>
          </cell>
          <cell r="C104">
            <v>0.63140000028502408</v>
          </cell>
          <cell r="D104">
            <v>123</v>
          </cell>
          <cell r="E104">
            <v>0.44409665259529751</v>
          </cell>
          <cell r="F104">
            <v>102</v>
          </cell>
          <cell r="G104">
            <v>0.46954659637055918</v>
          </cell>
        </row>
        <row r="105">
          <cell r="A105" t="str">
            <v>UNC Wilmington</v>
          </cell>
          <cell r="B105">
            <v>0.23642245351378369</v>
          </cell>
          <cell r="C105">
            <v>0.68499301566227988</v>
          </cell>
          <cell r="D105">
            <v>100</v>
          </cell>
          <cell r="E105">
            <v>0.44129190146335034</v>
          </cell>
          <cell r="F105">
            <v>103</v>
          </cell>
          <cell r="G105">
            <v>0.46658380948655515</v>
          </cell>
        </row>
        <row r="106">
          <cell r="A106" t="str">
            <v>South Carolina</v>
          </cell>
          <cell r="B106">
            <v>0.56868601627495829</v>
          </cell>
          <cell r="C106">
            <v>0.65598138472072764</v>
          </cell>
          <cell r="D106">
            <v>108</v>
          </cell>
          <cell r="E106">
            <v>0.43706210607936946</v>
          </cell>
          <cell r="F106">
            <v>104</v>
          </cell>
          <cell r="G106">
            <v>0.46211568319080809</v>
          </cell>
        </row>
        <row r="107">
          <cell r="A107" t="str">
            <v>Pepperdine</v>
          </cell>
          <cell r="B107">
            <v>-0.2486532878937173</v>
          </cell>
          <cell r="C107">
            <v>0.72259905383898981</v>
          </cell>
          <cell r="D107">
            <v>87</v>
          </cell>
          <cell r="E107">
            <v>0.43046001122285321</v>
          </cell>
          <cell r="F107">
            <v>105</v>
          </cell>
          <cell r="G107">
            <v>0.45514158847522557</v>
          </cell>
        </row>
        <row r="108">
          <cell r="A108" t="str">
            <v>UIC</v>
          </cell>
          <cell r="B108">
            <v>0.50425981875781944</v>
          </cell>
          <cell r="C108">
            <v>0.65950448054090316</v>
          </cell>
          <cell r="D108">
            <v>107</v>
          </cell>
          <cell r="E108">
            <v>0.43035266479332351</v>
          </cell>
          <cell r="F108">
            <v>106</v>
          </cell>
          <cell r="G108">
            <v>0.45502819353268231</v>
          </cell>
        </row>
        <row r="109">
          <cell r="A109" t="str">
            <v>Rhode Island</v>
          </cell>
          <cell r="B109">
            <v>0.18364761929382362</v>
          </cell>
          <cell r="C109">
            <v>0.67968163703593532</v>
          </cell>
          <cell r="D109">
            <v>102</v>
          </cell>
          <cell r="E109">
            <v>0.40643606979639935</v>
          </cell>
          <cell r="F109">
            <v>107</v>
          </cell>
          <cell r="G109">
            <v>0.42976400051398467</v>
          </cell>
        </row>
        <row r="110">
          <cell r="A110" t="str">
            <v>Western Kentucky</v>
          </cell>
          <cell r="B110">
            <v>0.50704336024940022</v>
          </cell>
          <cell r="C110">
            <v>0.65036247149836357</v>
          </cell>
          <cell r="D110">
            <v>111</v>
          </cell>
          <cell r="E110">
            <v>0.39844445340890111</v>
          </cell>
          <cell r="F110">
            <v>108</v>
          </cell>
          <cell r="G110">
            <v>0.42132209066138621</v>
          </cell>
        </row>
        <row r="111">
          <cell r="A111" t="str">
            <v>Georgia Tech</v>
          </cell>
          <cell r="B111">
            <v>-0.25980172922660771</v>
          </cell>
          <cell r="C111">
            <v>0.71454847639415997</v>
          </cell>
          <cell r="D111">
            <v>91</v>
          </cell>
          <cell r="E111">
            <v>0.39828130675485973</v>
          </cell>
          <cell r="F111">
            <v>109</v>
          </cell>
          <cell r="G111">
            <v>0.42114975138990601</v>
          </cell>
        </row>
        <row r="112">
          <cell r="A112" t="str">
            <v>UC Irvine</v>
          </cell>
          <cell r="B112">
            <v>0.47970174828222711</v>
          </cell>
          <cell r="C112">
            <v>0.64920946418449543</v>
          </cell>
          <cell r="D112">
            <v>112</v>
          </cell>
          <cell r="E112">
            <v>0.38611232675752594</v>
          </cell>
          <cell r="F112">
            <v>110</v>
          </cell>
          <cell r="G112">
            <v>0.40829510132233371</v>
          </cell>
        </row>
        <row r="113">
          <cell r="A113" t="str">
            <v>McNeese</v>
          </cell>
          <cell r="B113">
            <v>0.68994679516813917</v>
          </cell>
          <cell r="C113">
            <v>0.6311520501378578</v>
          </cell>
          <cell r="D113">
            <v>124</v>
          </cell>
          <cell r="E113">
            <v>0.38451090448559228</v>
          </cell>
          <cell r="F113">
            <v>111</v>
          </cell>
          <cell r="G113">
            <v>0.40660344574227408</v>
          </cell>
        </row>
        <row r="114">
          <cell r="A114" t="str">
            <v>Memphis</v>
          </cell>
          <cell r="B114">
            <v>0.40694785604434924</v>
          </cell>
          <cell r="C114">
            <v>0.65331130382710878</v>
          </cell>
          <cell r="D114">
            <v>109</v>
          </cell>
          <cell r="E114">
            <v>0.37897742202493867</v>
          </cell>
          <cell r="F114">
            <v>112</v>
          </cell>
          <cell r="G114">
            <v>0.40075817516887052</v>
          </cell>
        </row>
        <row r="115">
          <cell r="A115" t="str">
            <v>George Washington</v>
          </cell>
          <cell r="B115">
            <v>0.77812493291986051</v>
          </cell>
          <cell r="C115">
            <v>0.61786824410288377</v>
          </cell>
          <cell r="D115">
            <v>131</v>
          </cell>
          <cell r="E115">
            <v>0.36338669668507723</v>
          </cell>
          <cell r="F115">
            <v>113</v>
          </cell>
          <cell r="G115">
            <v>0.38428897901705983</v>
          </cell>
        </row>
        <row r="116">
          <cell r="A116" t="str">
            <v>Montana State</v>
          </cell>
          <cell r="B116">
            <v>0.46943153251006403</v>
          </cell>
          <cell r="C116">
            <v>0.64307365094495006</v>
          </cell>
          <cell r="D116">
            <v>117</v>
          </cell>
          <cell r="E116">
            <v>0.36105506268621845</v>
          </cell>
          <cell r="F116">
            <v>114</v>
          </cell>
          <cell r="G116">
            <v>0.38182596739673086</v>
          </cell>
        </row>
        <row r="117">
          <cell r="A117" t="str">
            <v>Washington</v>
          </cell>
          <cell r="B117">
            <v>1.1275487418938004</v>
          </cell>
          <cell r="C117">
            <v>0.58581164145534681</v>
          </cell>
          <cell r="D117">
            <v>157</v>
          </cell>
          <cell r="E117">
            <v>0.35339901982015431</v>
          </cell>
          <cell r="F117">
            <v>115</v>
          </cell>
          <cell r="G117">
            <v>0.37373853920084665</v>
          </cell>
        </row>
        <row r="118">
          <cell r="A118" t="str">
            <v>Georgetown</v>
          </cell>
          <cell r="B118">
            <v>0.48617637249629647</v>
          </cell>
          <cell r="C118">
            <v>0.63884973868936701</v>
          </cell>
          <cell r="D118">
            <v>121</v>
          </cell>
          <cell r="E118">
            <v>0.35095003307778216</v>
          </cell>
          <cell r="F118">
            <v>116</v>
          </cell>
          <cell r="G118">
            <v>0.37115156251091741</v>
          </cell>
        </row>
        <row r="119">
          <cell r="A119" t="str">
            <v>Wake Forest</v>
          </cell>
          <cell r="B119">
            <v>1.0121462885583019</v>
          </cell>
          <cell r="C119">
            <v>0.59343217251516034</v>
          </cell>
          <cell r="D119">
            <v>149</v>
          </cell>
          <cell r="E119">
            <v>0.34607218979519083</v>
          </cell>
          <cell r="F119">
            <v>117</v>
          </cell>
          <cell r="G119">
            <v>0.365998873584162</v>
          </cell>
        </row>
        <row r="120">
          <cell r="A120" t="str">
            <v>Utah Valley</v>
          </cell>
          <cell r="B120">
            <v>0.62659560101312139</v>
          </cell>
          <cell r="C120">
            <v>0.62569501065700206</v>
          </cell>
          <cell r="D120">
            <v>127</v>
          </cell>
          <cell r="E120">
            <v>0.34596046187068491</v>
          </cell>
          <cell r="F120">
            <v>118</v>
          </cell>
          <cell r="G120">
            <v>0.36588085026810641</v>
          </cell>
        </row>
        <row r="121">
          <cell r="A121" t="str">
            <v>Robert Morris</v>
          </cell>
          <cell r="B121">
            <v>-1.0911008807614841E-2</v>
          </cell>
          <cell r="C121">
            <v>0.67857565705586542</v>
          </cell>
          <cell r="D121">
            <v>104</v>
          </cell>
          <cell r="E121">
            <v>0.34410727271133662</v>
          </cell>
          <cell r="F121">
            <v>119</v>
          </cell>
          <cell r="G121">
            <v>0.36392324181138608</v>
          </cell>
        </row>
        <row r="122">
          <cell r="A122" t="str">
            <v>Western Michigan</v>
          </cell>
          <cell r="B122">
            <v>-0.46297355823685532</v>
          </cell>
          <cell r="C122">
            <v>0.71478573352259245</v>
          </cell>
          <cell r="D122">
            <v>90</v>
          </cell>
          <cell r="E122">
            <v>0.33817952478125224</v>
          </cell>
          <cell r="F122">
            <v>120</v>
          </cell>
          <cell r="G122">
            <v>0.35766149059257352</v>
          </cell>
        </row>
        <row r="123">
          <cell r="A123" t="str">
            <v>Wyoming</v>
          </cell>
          <cell r="B123">
            <v>0.25293111545269453</v>
          </cell>
          <cell r="C123">
            <v>0.64686445274070081</v>
          </cell>
          <cell r="D123">
            <v>114</v>
          </cell>
          <cell r="E123">
            <v>0.30968217870529857</v>
          </cell>
          <cell r="F123">
            <v>121</v>
          </cell>
          <cell r="G123">
            <v>0.32755844072798745</v>
          </cell>
        </row>
        <row r="124">
          <cell r="A124" t="str">
            <v>Penn State</v>
          </cell>
          <cell r="B124">
            <v>0.2419193506861386</v>
          </cell>
          <cell r="C124">
            <v>0.64550346507759515</v>
          </cell>
          <cell r="D124">
            <v>116</v>
          </cell>
          <cell r="E124">
            <v>0.30150409801121242</v>
          </cell>
          <cell r="F124">
            <v>122</v>
          </cell>
          <cell r="G124">
            <v>0.31891956010119049</v>
          </cell>
        </row>
        <row r="125">
          <cell r="A125" t="str">
            <v>Charlotte</v>
          </cell>
          <cell r="B125">
            <v>-0.16586767922154799</v>
          </cell>
          <cell r="C125">
            <v>0.67874410691744302</v>
          </cell>
          <cell r="D125">
            <v>103</v>
          </cell>
          <cell r="E125">
            <v>0.29822359629608169</v>
          </cell>
          <cell r="F125">
            <v>123</v>
          </cell>
          <cell r="G125">
            <v>0.31545421611974622</v>
          </cell>
        </row>
        <row r="126">
          <cell r="A126" t="str">
            <v>Harvard</v>
          </cell>
          <cell r="B126">
            <v>-0.38781223878403404</v>
          </cell>
          <cell r="C126">
            <v>0.69536564797682465</v>
          </cell>
          <cell r="D126">
            <v>95</v>
          </cell>
          <cell r="E126">
            <v>0.2911724021413381</v>
          </cell>
          <cell r="F126">
            <v>124</v>
          </cell>
          <cell r="G126">
            <v>0.30800571727780551</v>
          </cell>
        </row>
        <row r="127">
          <cell r="A127" t="str">
            <v>UC San Diego</v>
          </cell>
          <cell r="B127">
            <v>0.12468687898564436</v>
          </cell>
          <cell r="C127">
            <v>0.65123893580228021</v>
          </cell>
          <cell r="D127">
            <v>110</v>
          </cell>
          <cell r="E127">
            <v>0.28687667795571675</v>
          </cell>
          <cell r="F127">
            <v>125</v>
          </cell>
          <cell r="G127">
            <v>0.30346794737391314</v>
          </cell>
        </row>
        <row r="128">
          <cell r="A128" t="str">
            <v>Toledo</v>
          </cell>
          <cell r="B128">
            <v>0.41038060530622356</v>
          </cell>
          <cell r="C128">
            <v>0.62220553234263276</v>
          </cell>
          <cell r="D128">
            <v>128</v>
          </cell>
          <cell r="E128">
            <v>0.26859795058323976</v>
          </cell>
          <cell r="F128">
            <v>126</v>
          </cell>
          <cell r="G128">
            <v>0.28415929175074439</v>
          </cell>
        </row>
        <row r="129">
          <cell r="A129" t="str">
            <v>Kent State</v>
          </cell>
          <cell r="B129">
            <v>0.45153011804969945</v>
          </cell>
          <cell r="C129">
            <v>0.61610367200151739</v>
          </cell>
          <cell r="D129">
            <v>133</v>
          </cell>
          <cell r="E129">
            <v>0.25908821171189278</v>
          </cell>
          <cell r="F129">
            <v>127</v>
          </cell>
          <cell r="G129">
            <v>0.27411371969360077</v>
          </cell>
        </row>
        <row r="130">
          <cell r="A130" t="str">
            <v>Miami (OH)</v>
          </cell>
          <cell r="B130">
            <v>0.73051599018835067</v>
          </cell>
          <cell r="C130">
            <v>0.59245452926426134</v>
          </cell>
          <cell r="D130">
            <v>152</v>
          </cell>
          <cell r="E130">
            <v>0.25808154602789957</v>
          </cell>
          <cell r="F130">
            <v>128</v>
          </cell>
          <cell r="G130">
            <v>0.27305033269603801</v>
          </cell>
        </row>
        <row r="131">
          <cell r="A131" t="str">
            <v>Yale</v>
          </cell>
          <cell r="B131">
            <v>0.71034705100013029</v>
          </cell>
          <cell r="C131">
            <v>0.59399355710692114</v>
          </cell>
          <cell r="D131">
            <v>148</v>
          </cell>
          <cell r="E131">
            <v>0.2575430891940555</v>
          </cell>
          <cell r="F131">
            <v>129</v>
          </cell>
          <cell r="G131">
            <v>0.27248153611842224</v>
          </cell>
        </row>
        <row r="132">
          <cell r="A132" t="str">
            <v>Northern Iowa</v>
          </cell>
          <cell r="B132">
            <v>0.87518734435095391</v>
          </cell>
          <cell r="C132">
            <v>0.57987039170134369</v>
          </cell>
          <cell r="D132">
            <v>165</v>
          </cell>
          <cell r="E132">
            <v>0.25641125520839536</v>
          </cell>
          <cell r="F132">
            <v>130</v>
          </cell>
          <cell r="G132">
            <v>0.27128592811977037</v>
          </cell>
        </row>
        <row r="133">
          <cell r="A133" t="str">
            <v>Duquesne</v>
          </cell>
          <cell r="B133">
            <v>0.52609115371575177</v>
          </cell>
          <cell r="C133">
            <v>0.608359968905969</v>
          </cell>
          <cell r="D133">
            <v>137</v>
          </cell>
          <cell r="E133">
            <v>0.25372146004734109</v>
          </cell>
          <cell r="F133">
            <v>131</v>
          </cell>
          <cell r="G133">
            <v>0.26844457448484144</v>
          </cell>
        </row>
        <row r="134">
          <cell r="A134" t="str">
            <v>Washington State</v>
          </cell>
          <cell r="B134">
            <v>0.49065338021690152</v>
          </cell>
          <cell r="C134">
            <v>0.60515219024635658</v>
          </cell>
          <cell r="D134">
            <v>143</v>
          </cell>
          <cell r="E134">
            <v>0.23160105874003561</v>
          </cell>
          <cell r="F134">
            <v>132</v>
          </cell>
          <cell r="G134">
            <v>0.2450777830017441</v>
          </cell>
        </row>
        <row r="135">
          <cell r="A135" t="str">
            <v>Stephen F. Austin</v>
          </cell>
          <cell r="B135">
            <v>0.38424007333727062</v>
          </cell>
          <cell r="C135">
            <v>0.6125104945963149</v>
          </cell>
          <cell r="D135">
            <v>134</v>
          </cell>
          <cell r="E135">
            <v>0.22603177417512196</v>
          </cell>
          <cell r="F135">
            <v>133</v>
          </cell>
          <cell r="G135">
            <v>0.23919469302835419</v>
          </cell>
        </row>
        <row r="136">
          <cell r="A136" t="str">
            <v>UNLV</v>
          </cell>
          <cell r="B136">
            <v>0.72997113970794492</v>
          </cell>
          <cell r="C136">
            <v>0.58063974137557262</v>
          </cell>
          <cell r="D136">
            <v>162</v>
          </cell>
          <cell r="E136">
            <v>0.21560191800481898</v>
          </cell>
          <cell r="F136">
            <v>134</v>
          </cell>
          <cell r="G136">
            <v>0.22817715899068383</v>
          </cell>
        </row>
        <row r="137">
          <cell r="A137" t="str">
            <v>Seattle</v>
          </cell>
          <cell r="B137">
            <v>0.50626190025899143</v>
          </cell>
          <cell r="C137">
            <v>0.59271457223635071</v>
          </cell>
          <cell r="D137">
            <v>150</v>
          </cell>
          <cell r="E137">
            <v>0.19173669618988898</v>
          </cell>
          <cell r="F137">
            <v>135</v>
          </cell>
          <cell r="G137">
            <v>0.20296723381345999</v>
          </cell>
        </row>
        <row r="138">
          <cell r="A138" t="str">
            <v>St. Thomas - Minnesota</v>
          </cell>
          <cell r="B138">
            <v>0.31396897582297317</v>
          </cell>
          <cell r="C138">
            <v>0.60832937876543902</v>
          </cell>
          <cell r="D138">
            <v>138</v>
          </cell>
          <cell r="E138">
            <v>0.1899752441814539</v>
          </cell>
          <cell r="F138">
            <v>136</v>
          </cell>
          <cell r="G138">
            <v>0.20110653150445656</v>
          </cell>
        </row>
        <row r="139">
          <cell r="A139" t="str">
            <v>Central Arkansas</v>
          </cell>
          <cell r="B139">
            <v>-0.13509578530234509</v>
          </cell>
          <cell r="C139">
            <v>0.64099227209905074</v>
          </cell>
          <cell r="D139">
            <v>118</v>
          </cell>
          <cell r="E139">
            <v>0.17224214298354165</v>
          </cell>
          <cell r="F139">
            <v>137</v>
          </cell>
          <cell r="G139">
            <v>0.18237424576136604</v>
          </cell>
        </row>
        <row r="140">
          <cell r="A140" t="str">
            <v>American University</v>
          </cell>
          <cell r="B140">
            <v>-0.7196715002636187</v>
          </cell>
          <cell r="C140">
            <v>0.68995183466883003</v>
          </cell>
          <cell r="D140">
            <v>98</v>
          </cell>
          <cell r="E140">
            <v>0.17222435939192762</v>
          </cell>
          <cell r="F140">
            <v>138</v>
          </cell>
          <cell r="G140">
            <v>0.18235546014028745</v>
          </cell>
        </row>
        <row r="141">
          <cell r="A141" t="str">
            <v>Boise State</v>
          </cell>
          <cell r="B141">
            <v>1.0250421608817428</v>
          </cell>
          <cell r="C141">
            <v>0.54184749387162801</v>
          </cell>
          <cell r="D141">
            <v>196</v>
          </cell>
          <cell r="E141">
            <v>0.16518383185953892</v>
          </cell>
          <cell r="F141">
            <v>139</v>
          </cell>
          <cell r="G141">
            <v>0.17491822893933268</v>
          </cell>
        </row>
        <row r="142">
          <cell r="A142" t="str">
            <v>Richmond</v>
          </cell>
          <cell r="B142">
            <v>0.22526411899587312</v>
          </cell>
          <cell r="C142">
            <v>0.60541434175251929</v>
          </cell>
          <cell r="D142">
            <v>142</v>
          </cell>
          <cell r="E142">
            <v>0.152923209498801</v>
          </cell>
          <cell r="F142">
            <v>140</v>
          </cell>
          <cell r="G142">
            <v>0.16196677285242403</v>
          </cell>
        </row>
        <row r="143">
          <cell r="A143" t="str">
            <v>Sam Houston</v>
          </cell>
          <cell r="B143">
            <v>0.86693386348458423</v>
          </cell>
          <cell r="C143">
            <v>0.54663182760964601</v>
          </cell>
          <cell r="D143">
            <v>192</v>
          </cell>
          <cell r="E143">
            <v>0.13488704541186738</v>
          </cell>
          <cell r="F143">
            <v>141</v>
          </cell>
          <cell r="G143">
            <v>0.14291434792037186</v>
          </cell>
        </row>
        <row r="144">
          <cell r="A144" t="str">
            <v>North Texas</v>
          </cell>
          <cell r="B144">
            <v>0.3382752486351055</v>
          </cell>
          <cell r="C144">
            <v>0.58140247511999754</v>
          </cell>
          <cell r="D144">
            <v>161</v>
          </cell>
          <cell r="E144">
            <v>0.10082497907411422</v>
          </cell>
          <cell r="F144">
            <v>142</v>
          </cell>
          <cell r="G144">
            <v>0.10693302956450429</v>
          </cell>
        </row>
        <row r="145">
          <cell r="A145" t="str">
            <v>Kennesaw State</v>
          </cell>
          <cell r="B145">
            <v>0.64835568430563517</v>
          </cell>
          <cell r="C145">
            <v>0.55511546331189743</v>
          </cell>
          <cell r="D145">
            <v>186</v>
          </cell>
          <cell r="E145">
            <v>9.969881722471817E-2</v>
          </cell>
          <cell r="F145">
            <v>143</v>
          </cell>
          <cell r="G145">
            <v>0.10574341330277913</v>
          </cell>
        </row>
        <row r="146">
          <cell r="A146" t="str">
            <v>Illinois State</v>
          </cell>
          <cell r="B146">
            <v>0.57079341533301753</v>
          </cell>
          <cell r="C146">
            <v>0.56111430083337077</v>
          </cell>
          <cell r="D146">
            <v>181</v>
          </cell>
          <cell r="E146">
            <v>9.7915739831361995E-2</v>
          </cell>
          <cell r="F146">
            <v>144</v>
          </cell>
          <cell r="G146">
            <v>0.10385986711073883</v>
          </cell>
        </row>
        <row r="147">
          <cell r="A147" t="str">
            <v>Hawaii</v>
          </cell>
          <cell r="B147">
            <v>0.18081084214434534</v>
          </cell>
          <cell r="C147">
            <v>0.5926230736497945</v>
          </cell>
          <cell r="D147">
            <v>151</v>
          </cell>
          <cell r="E147">
            <v>9.3773664873250978E-2</v>
          </cell>
          <cell r="F147">
            <v>145</v>
          </cell>
          <cell r="G147">
            <v>9.9484403912357591E-2</v>
          </cell>
        </row>
        <row r="148">
          <cell r="A148" t="str">
            <v>Valparaiso</v>
          </cell>
          <cell r="B148">
            <v>-2.2101432585717803E-4</v>
          </cell>
          <cell r="C148">
            <v>0.60619422528555567</v>
          </cell>
          <cell r="D148">
            <v>140</v>
          </cell>
          <cell r="E148">
            <v>8.8070922053266401E-2</v>
          </cell>
          <cell r="F148">
            <v>146</v>
          </cell>
          <cell r="G148">
            <v>9.3460335880992298E-2</v>
          </cell>
        </row>
        <row r="149">
          <cell r="A149" t="str">
            <v>Presbyterian</v>
          </cell>
          <cell r="B149">
            <v>-0.41945904709258147</v>
          </cell>
          <cell r="C149">
            <v>0.63937518439605845</v>
          </cell>
          <cell r="D149">
            <v>119</v>
          </cell>
          <cell r="E149">
            <v>8.114135815718701E-2</v>
          </cell>
          <cell r="F149">
            <v>147</v>
          </cell>
          <cell r="G149">
            <v>8.6140320643519605E-2</v>
          </cell>
        </row>
        <row r="150">
          <cell r="A150" t="str">
            <v>Northern Colorado</v>
          </cell>
          <cell r="B150">
            <v>0.27139441481342952</v>
          </cell>
          <cell r="C150">
            <v>0.58016620569838473</v>
          </cell>
          <cell r="D150">
            <v>163</v>
          </cell>
          <cell r="E150">
            <v>7.6332871985717199E-2</v>
          </cell>
          <cell r="F150">
            <v>148</v>
          </cell>
          <cell r="G150">
            <v>8.1060896804993468E-2</v>
          </cell>
        </row>
        <row r="151">
          <cell r="A151" t="str">
            <v>Winthrop</v>
          </cell>
          <cell r="B151">
            <v>0.44859935242355203</v>
          </cell>
          <cell r="C151">
            <v>0.56386858465037415</v>
          </cell>
          <cell r="D151">
            <v>178</v>
          </cell>
          <cell r="E151">
            <v>7.1122340475901685E-2</v>
          </cell>
          <cell r="F151">
            <v>149</v>
          </cell>
          <cell r="G151">
            <v>7.5556774089744302E-2</v>
          </cell>
        </row>
        <row r="152">
          <cell r="A152" t="str">
            <v>Lamar</v>
          </cell>
          <cell r="B152">
            <v>-0.13112777718949112</v>
          </cell>
          <cell r="C152">
            <v>0.61224850052014124</v>
          </cell>
          <cell r="D152">
            <v>135</v>
          </cell>
          <cell r="E152">
            <v>7.0483053747646476E-2</v>
          </cell>
          <cell r="F152">
            <v>150</v>
          </cell>
          <cell r="G152">
            <v>7.4881466283636941E-2</v>
          </cell>
        </row>
        <row r="153">
          <cell r="A153" t="str">
            <v>Princeton</v>
          </cell>
          <cell r="B153">
            <v>-0.56851860224779205</v>
          </cell>
          <cell r="C153">
            <v>0.64828807491732721</v>
          </cell>
          <cell r="D153">
            <v>113</v>
          </cell>
          <cell r="E153">
            <v>6.8346148174803723E-2</v>
          </cell>
          <cell r="F153">
            <v>151</v>
          </cell>
          <cell r="G153">
            <v>7.2624155204782562E-2</v>
          </cell>
        </row>
        <row r="154">
          <cell r="A154" t="str">
            <v>Eastern Washington</v>
          </cell>
          <cell r="B154">
            <v>7.6675453498547264E-2</v>
          </cell>
          <cell r="C154">
            <v>0.59051827827976577</v>
          </cell>
          <cell r="D154">
            <v>154</v>
          </cell>
          <cell r="E154">
            <v>5.4994454646507041E-2</v>
          </cell>
          <cell r="F154">
            <v>152</v>
          </cell>
          <cell r="G154">
            <v>5.8520150748096134E-2</v>
          </cell>
        </row>
        <row r="155">
          <cell r="A155" t="str">
            <v>George Mason</v>
          </cell>
          <cell r="B155">
            <v>0.43996959520184292</v>
          </cell>
          <cell r="C155">
            <v>0.55833700098548211</v>
          </cell>
          <cell r="D155">
            <v>184</v>
          </cell>
          <cell r="E155">
            <v>4.872133941832095E-2</v>
          </cell>
          <cell r="F155">
            <v>153</v>
          </cell>
          <cell r="G155">
            <v>5.1893572258398628E-2</v>
          </cell>
        </row>
        <row r="156">
          <cell r="A156" t="str">
            <v>Pacific</v>
          </cell>
          <cell r="B156">
            <v>0.37105364493232823</v>
          </cell>
          <cell r="C156">
            <v>0.56048846914165162</v>
          </cell>
          <cell r="D156">
            <v>183</v>
          </cell>
          <cell r="E156">
            <v>3.5752312519313018E-2</v>
          </cell>
          <cell r="F156">
            <v>154</v>
          </cell>
          <cell r="G156">
            <v>3.819379606185578E-2</v>
          </cell>
        </row>
        <row r="157">
          <cell r="A157" t="str">
            <v>Ohio</v>
          </cell>
          <cell r="B157">
            <v>3.845994786832751E-3</v>
          </cell>
          <cell r="C157">
            <v>0.58773425725879458</v>
          </cell>
          <cell r="D157">
            <v>156</v>
          </cell>
          <cell r="E157">
            <v>2.317428991887149E-2</v>
          </cell>
          <cell r="F157">
            <v>155</v>
          </cell>
          <cell r="G157">
            <v>2.4907055586802229E-2</v>
          </cell>
        </row>
        <row r="158">
          <cell r="A158" t="str">
            <v>Drake</v>
          </cell>
          <cell r="B158">
            <v>0.11940024353176501</v>
          </cell>
          <cell r="C158">
            <v>0.57787452339384704</v>
          </cell>
          <cell r="D158">
            <v>166</v>
          </cell>
          <cell r="E158">
            <v>2.2526667526130466E-2</v>
          </cell>
          <cell r="F158">
            <v>156</v>
          </cell>
          <cell r="G158">
            <v>2.4222942437102438E-2</v>
          </cell>
        </row>
        <row r="159">
          <cell r="A159" t="str">
            <v>UMass</v>
          </cell>
          <cell r="B159">
            <v>0.17121017614130188</v>
          </cell>
          <cell r="C159">
            <v>0.57308254507278744</v>
          </cell>
          <cell r="D159">
            <v>171</v>
          </cell>
          <cell r="E159">
            <v>2.0906564486292925E-2</v>
          </cell>
          <cell r="F159">
            <v>157</v>
          </cell>
          <cell r="G159">
            <v>2.2511553507620699E-2</v>
          </cell>
        </row>
        <row r="160">
          <cell r="A160" t="str">
            <v>Middle Tennessee</v>
          </cell>
          <cell r="B160">
            <v>0.63326234815045102</v>
          </cell>
          <cell r="C160">
            <v>0.53300600750859206</v>
          </cell>
          <cell r="D160">
            <v>205</v>
          </cell>
          <cell r="E160">
            <v>1.5982974594893534E-2</v>
          </cell>
          <cell r="F160">
            <v>158</v>
          </cell>
          <cell r="G160">
            <v>1.7310540345955337E-2</v>
          </cell>
        </row>
        <row r="161">
          <cell r="A161" t="str">
            <v>South Dakota State</v>
          </cell>
          <cell r="B161">
            <v>-5.8054341572980693E-2</v>
          </cell>
          <cell r="C161">
            <v>0.59034570387779084</v>
          </cell>
          <cell r="D161">
            <v>155</v>
          </cell>
          <cell r="E161">
            <v>1.3957418847530396E-2</v>
          </cell>
          <cell r="F161">
            <v>159</v>
          </cell>
          <cell r="G161">
            <v>1.5170853179864349E-2</v>
          </cell>
        </row>
        <row r="162">
          <cell r="A162" t="str">
            <v>Loyola Marymount</v>
          </cell>
          <cell r="B162">
            <v>0.24321029257216253</v>
          </cell>
          <cell r="C162">
            <v>0.56491027719506104</v>
          </cell>
          <cell r="D162">
            <v>177</v>
          </cell>
          <cell r="E162">
            <v>1.3236577508673388E-2</v>
          </cell>
          <cell r="F162">
            <v>160</v>
          </cell>
          <cell r="G162">
            <v>1.4409395509026089E-2</v>
          </cell>
        </row>
        <row r="163">
          <cell r="A163" t="str">
            <v>Abilene Christian</v>
          </cell>
          <cell r="B163">
            <v>0.14057028310587075</v>
          </cell>
          <cell r="C163">
            <v>0.57271619280572472</v>
          </cell>
          <cell r="D163">
            <v>172</v>
          </cell>
          <cell r="E163">
            <v>1.0402459107460148E-2</v>
          </cell>
          <cell r="F163">
            <v>161</v>
          </cell>
          <cell r="G163">
            <v>1.1415586635509503E-2</v>
          </cell>
        </row>
        <row r="164">
          <cell r="A164" t="str">
            <v>UAB</v>
          </cell>
          <cell r="B164">
            <v>2.9833613008207541E-2</v>
          </cell>
          <cell r="C164">
            <v>0.57997464307069857</v>
          </cell>
          <cell r="D164">
            <v>164</v>
          </cell>
          <cell r="E164">
            <v>3.178525409350273E-3</v>
          </cell>
          <cell r="F164">
            <v>162</v>
          </cell>
          <cell r="G164">
            <v>3.7846151144048734E-3</v>
          </cell>
        </row>
        <row r="165">
          <cell r="A165" t="str">
            <v>East Tennessee State</v>
          </cell>
          <cell r="B165">
            <v>0.16988979621936584</v>
          </cell>
          <cell r="C165">
            <v>0.56781127027965805</v>
          </cell>
          <cell r="D165">
            <v>173</v>
          </cell>
          <cell r="E165">
            <v>1.6307061131059578E-3</v>
          </cell>
          <cell r="F165">
            <v>163</v>
          </cell>
          <cell r="G165">
            <v>2.1495828088693176E-3</v>
          </cell>
        </row>
        <row r="166">
          <cell r="A166" t="str">
            <v>Cal Poly</v>
          </cell>
          <cell r="B166">
            <v>-0.24260698715410275</v>
          </cell>
          <cell r="C166">
            <v>0.60156738673168797</v>
          </cell>
          <cell r="D166">
            <v>144</v>
          </cell>
          <cell r="E166">
            <v>-1.2164834350884973E-3</v>
          </cell>
          <cell r="F166">
            <v>164</v>
          </cell>
          <cell r="G166">
            <v>-8.5803371495667244E-4</v>
          </cell>
        </row>
        <row r="167">
          <cell r="A167" t="str">
            <v>Ball State</v>
          </cell>
          <cell r="B167">
            <v>-0.56277466361383588</v>
          </cell>
          <cell r="C167">
            <v>0.62732908368048879</v>
          </cell>
          <cell r="D167">
            <v>126</v>
          </cell>
          <cell r="E167">
            <v>-4.9979761318630911E-3</v>
          </cell>
          <cell r="F167">
            <v>165</v>
          </cell>
          <cell r="G167">
            <v>-4.8525973809967274E-3</v>
          </cell>
        </row>
        <row r="168">
          <cell r="A168" t="str">
            <v>Longwood</v>
          </cell>
          <cell r="B168">
            <v>-0.50353831456378129</v>
          </cell>
          <cell r="C168">
            <v>0.62074650942967557</v>
          </cell>
          <cell r="D168">
            <v>129</v>
          </cell>
          <cell r="E168">
            <v>-1.0803402419172464E-2</v>
          </cell>
          <cell r="F168">
            <v>166</v>
          </cell>
          <cell r="G168">
            <v>-1.0985134654687555E-2</v>
          </cell>
        </row>
        <row r="169">
          <cell r="A169" t="str">
            <v>St. Joseph's</v>
          </cell>
          <cell r="B169">
            <v>1.0527669301433141E-2</v>
          </cell>
          <cell r="C169">
            <v>0.57666472115197354</v>
          </cell>
          <cell r="D169">
            <v>167</v>
          </cell>
          <cell r="E169">
            <v>-1.4468166097839772E-2</v>
          </cell>
          <cell r="F169">
            <v>167</v>
          </cell>
          <cell r="G169">
            <v>-1.4856392120797195E-2</v>
          </cell>
        </row>
        <row r="170">
          <cell r="A170" t="str">
            <v>Cornell</v>
          </cell>
          <cell r="B170">
            <v>0.32268235175379645</v>
          </cell>
          <cell r="C170">
            <v>0.54985567070290053</v>
          </cell>
          <cell r="D170">
            <v>190</v>
          </cell>
          <cell r="E170">
            <v>-1.6841802027423788E-2</v>
          </cell>
          <cell r="F170">
            <v>168</v>
          </cell>
          <cell r="G170">
            <v>-1.736377230133036E-2</v>
          </cell>
        </row>
        <row r="171">
          <cell r="A171" t="str">
            <v>UNC Greensboro</v>
          </cell>
          <cell r="B171">
            <v>-0.53242000403236911</v>
          </cell>
          <cell r="C171">
            <v>0.61756255874208321</v>
          </cell>
          <cell r="D171">
            <v>132</v>
          </cell>
          <cell r="E171">
            <v>-3.0871635590141E-2</v>
          </cell>
          <cell r="F171">
            <v>169</v>
          </cell>
          <cell r="G171">
            <v>-3.2184127088216802E-2</v>
          </cell>
        </row>
        <row r="172">
          <cell r="A172" t="str">
            <v>Columbia</v>
          </cell>
          <cell r="B172">
            <v>7.9006387626589444E-2</v>
          </cell>
          <cell r="C172">
            <v>0.56371071933337424</v>
          </cell>
          <cell r="D172">
            <v>179</v>
          </cell>
          <cell r="E172">
            <v>-4.0320963772889712E-2</v>
          </cell>
          <cell r="F172">
            <v>170</v>
          </cell>
          <cell r="G172">
            <v>-4.2165884572368896E-2</v>
          </cell>
        </row>
        <row r="173">
          <cell r="A173" t="str">
            <v>Wright State</v>
          </cell>
          <cell r="B173">
            <v>0.2328124560290219</v>
          </cell>
          <cell r="C173">
            <v>0.54866891708218846</v>
          </cell>
          <cell r="D173">
            <v>191</v>
          </cell>
          <cell r="E173">
            <v>-4.8053280517178124E-2</v>
          </cell>
          <cell r="F173">
            <v>171</v>
          </cell>
          <cell r="G173">
            <v>-5.0333884353881829E-2</v>
          </cell>
        </row>
        <row r="174">
          <cell r="A174" t="str">
            <v>Western Carolina</v>
          </cell>
          <cell r="B174">
            <v>-4.6087651532144891E-2</v>
          </cell>
          <cell r="C174">
            <v>0.56266321764034066</v>
          </cell>
          <cell r="D174">
            <v>180</v>
          </cell>
          <cell r="E174">
            <v>-8.1600936715973238E-2</v>
          </cell>
          <cell r="F174">
            <v>172</v>
          </cell>
          <cell r="G174">
            <v>-8.5771807755614715E-2</v>
          </cell>
        </row>
        <row r="175">
          <cell r="A175" t="str">
            <v>Tennessee Tech</v>
          </cell>
          <cell r="B175">
            <v>-0.73725031260889751</v>
          </cell>
          <cell r="C175">
            <v>0.61930557117262264</v>
          </cell>
          <cell r="D175">
            <v>130</v>
          </cell>
          <cell r="E175">
            <v>-8.6077906367585555E-2</v>
          </cell>
          <cell r="F175">
            <v>173</v>
          </cell>
          <cell r="G175">
            <v>-9.0501035533721561E-2</v>
          </cell>
        </row>
        <row r="176">
          <cell r="A176" t="str">
            <v>Howard</v>
          </cell>
          <cell r="B176">
            <v>-0.87238680671345403</v>
          </cell>
          <cell r="C176">
            <v>0.62749322115499073</v>
          </cell>
          <cell r="D176">
            <v>125</v>
          </cell>
          <cell r="E176">
            <v>-9.7293739718303907E-2</v>
          </cell>
          <cell r="F176">
            <v>174</v>
          </cell>
          <cell r="G176">
            <v>-0.10234883321037813</v>
          </cell>
        </row>
        <row r="177">
          <cell r="A177" t="str">
            <v>Sacramento State</v>
          </cell>
          <cell r="B177">
            <v>-0.17211650904521836</v>
          </cell>
          <cell r="C177">
            <v>0.56536232194642821</v>
          </cell>
          <cell r="D177">
            <v>176</v>
          </cell>
          <cell r="E177">
            <v>-0.10974240692338966</v>
          </cell>
          <cell r="F177">
            <v>175</v>
          </cell>
          <cell r="G177">
            <v>-0.11549892966580018</v>
          </cell>
        </row>
        <row r="178">
          <cell r="A178" t="str">
            <v>Bowling Green</v>
          </cell>
          <cell r="B178">
            <v>0.48265500533623013</v>
          </cell>
          <cell r="C178">
            <v>0.50981164467033291</v>
          </cell>
          <cell r="D178">
            <v>224</v>
          </cell>
          <cell r="E178">
            <v>-0.11227280324099329</v>
          </cell>
          <cell r="F178">
            <v>176</v>
          </cell>
          <cell r="G178">
            <v>-0.11817190301296608</v>
          </cell>
        </row>
        <row r="179">
          <cell r="A179" t="str">
            <v>North Dakota State</v>
          </cell>
          <cell r="B179">
            <v>0.31709067448919698</v>
          </cell>
          <cell r="C179">
            <v>0.52285049633944969</v>
          </cell>
          <cell r="D179">
            <v>213</v>
          </cell>
          <cell r="E179">
            <v>-0.11524178873816425</v>
          </cell>
          <cell r="F179">
            <v>177</v>
          </cell>
          <cell r="G179">
            <v>-0.12130817816751412</v>
          </cell>
        </row>
        <row r="180">
          <cell r="A180" t="str">
            <v>Tulsa</v>
          </cell>
          <cell r="B180">
            <v>0.4529141603477394</v>
          </cell>
          <cell r="C180">
            <v>0.51131475017102046</v>
          </cell>
          <cell r="D180">
            <v>221</v>
          </cell>
          <cell r="E180">
            <v>-0.11581149227394968</v>
          </cell>
          <cell r="F180">
            <v>178</v>
          </cell>
          <cell r="G180">
            <v>-0.12190998206532519</v>
          </cell>
        </row>
        <row r="181">
          <cell r="A181" t="str">
            <v>SIU Edwardsville</v>
          </cell>
          <cell r="B181">
            <v>-0.52240005963004199</v>
          </cell>
          <cell r="C181">
            <v>0.59206592030373262</v>
          </cell>
          <cell r="D181">
            <v>153</v>
          </cell>
          <cell r="E181">
            <v>-0.11918512157811249</v>
          </cell>
          <cell r="F181">
            <v>179</v>
          </cell>
          <cell r="G181">
            <v>-0.12547370097785707</v>
          </cell>
        </row>
        <row r="182">
          <cell r="A182" t="str">
            <v>Chattanooga</v>
          </cell>
          <cell r="B182">
            <v>-0.43093427592318861</v>
          </cell>
          <cell r="C182">
            <v>0.58282251843219968</v>
          </cell>
          <cell r="D182">
            <v>159</v>
          </cell>
          <cell r="E182">
            <v>-0.12485181167407529</v>
          </cell>
          <cell r="F182">
            <v>180</v>
          </cell>
          <cell r="G182">
            <v>-0.13145968486812062</v>
          </cell>
        </row>
        <row r="183">
          <cell r="A183" t="str">
            <v>Colgate</v>
          </cell>
          <cell r="B183">
            <v>-0.71892535474385477</v>
          </cell>
          <cell r="C183">
            <v>0.6060926266403992</v>
          </cell>
          <cell r="D183">
            <v>141</v>
          </cell>
          <cell r="E183">
            <v>-0.12790426860514881</v>
          </cell>
          <cell r="F183">
            <v>181</v>
          </cell>
          <cell r="G183">
            <v>-0.13468413471550986</v>
          </cell>
        </row>
        <row r="184">
          <cell r="A184" t="str">
            <v>UC Davis</v>
          </cell>
          <cell r="B184">
            <v>-7.3376392588345871E-2</v>
          </cell>
          <cell r="C184">
            <v>0.55135257494265666</v>
          </cell>
          <cell r="D184">
            <v>188</v>
          </cell>
          <cell r="E184">
            <v>-0.13029807147508868</v>
          </cell>
          <cell r="F184">
            <v>182</v>
          </cell>
          <cell r="G184">
            <v>-0.13721281815738992</v>
          </cell>
        </row>
        <row r="185">
          <cell r="A185" t="str">
            <v>Idaho</v>
          </cell>
          <cell r="B185">
            <v>0.32382317121734178</v>
          </cell>
          <cell r="C185">
            <v>0.51624588463426091</v>
          </cell>
          <cell r="D185">
            <v>220</v>
          </cell>
          <cell r="E185">
            <v>-0.13687730068151382</v>
          </cell>
          <cell r="F185">
            <v>183</v>
          </cell>
          <cell r="G185">
            <v>-0.14416275884111826</v>
          </cell>
        </row>
        <row r="186">
          <cell r="A186" t="str">
            <v>William &amp; Mary</v>
          </cell>
          <cell r="B186">
            <v>0.1564954690103646</v>
          </cell>
          <cell r="C186">
            <v>0.52953976605444841</v>
          </cell>
          <cell r="D186">
            <v>208</v>
          </cell>
          <cell r="E186">
            <v>-0.13946187593769202</v>
          </cell>
          <cell r="F186">
            <v>184</v>
          </cell>
          <cell r="G186">
            <v>-0.14689296387874312</v>
          </cell>
        </row>
        <row r="187">
          <cell r="A187" t="str">
            <v>Oakland</v>
          </cell>
          <cell r="B187">
            <v>1.0466952595507377E-3</v>
          </cell>
          <cell r="C187">
            <v>0.54140333974777044</v>
          </cell>
          <cell r="D187">
            <v>198</v>
          </cell>
          <cell r="E187">
            <v>-0.14360560258933816</v>
          </cell>
          <cell r="F187">
            <v>185</v>
          </cell>
          <cell r="G187">
            <v>-0.15127017183653868</v>
          </cell>
        </row>
        <row r="188">
          <cell r="A188" t="str">
            <v>San Jose State</v>
          </cell>
          <cell r="B188">
            <v>8.6901354541952983E-2</v>
          </cell>
          <cell r="C188">
            <v>0.52723561259362972</v>
          </cell>
          <cell r="D188">
            <v>209</v>
          </cell>
          <cell r="E188">
            <v>-0.16859273039346981</v>
          </cell>
          <cell r="F188">
            <v>186</v>
          </cell>
          <cell r="G188">
            <v>-0.17766521761574069</v>
          </cell>
        </row>
        <row r="189">
          <cell r="A189" t="str">
            <v>Akron</v>
          </cell>
          <cell r="B189">
            <v>1.0381335670323941</v>
          </cell>
          <cell r="C189">
            <v>0.44725634690307231</v>
          </cell>
          <cell r="D189">
            <v>269</v>
          </cell>
          <cell r="E189">
            <v>-0.16967902891832987</v>
          </cell>
          <cell r="F189">
            <v>187</v>
          </cell>
          <cell r="G189">
            <v>-0.17881272442477938</v>
          </cell>
        </row>
        <row r="190">
          <cell r="A190" t="str">
            <v>Furman</v>
          </cell>
          <cell r="B190">
            <v>-7.5894324784166509E-2</v>
          </cell>
          <cell r="C190">
            <v>0.53760953183510796</v>
          </cell>
          <cell r="D190">
            <v>201</v>
          </cell>
          <cell r="E190">
            <v>-0.1802759165306774</v>
          </cell>
          <cell r="F190">
            <v>188</v>
          </cell>
          <cell r="G190">
            <v>-0.19000670141315187</v>
          </cell>
        </row>
        <row r="191">
          <cell r="A191" t="str">
            <v>San Diego</v>
          </cell>
          <cell r="B191">
            <v>9.8296488726957981E-2</v>
          </cell>
          <cell r="C191">
            <v>0.52031474798405364</v>
          </cell>
          <cell r="D191">
            <v>217</v>
          </cell>
          <cell r="E191">
            <v>-0.18996215129731106</v>
          </cell>
          <cell r="F191">
            <v>189</v>
          </cell>
          <cell r="G191">
            <v>-0.20023871415577363</v>
          </cell>
        </row>
        <row r="192">
          <cell r="A192" t="str">
            <v>UNC Asheville</v>
          </cell>
          <cell r="B192">
            <v>-0.17876048800798897</v>
          </cell>
          <cell r="C192">
            <v>0.54351622937267097</v>
          </cell>
          <cell r="D192">
            <v>195</v>
          </cell>
          <cell r="E192">
            <v>-0.1899801733282403</v>
          </cell>
          <cell r="F192">
            <v>190</v>
          </cell>
          <cell r="G192">
            <v>-0.20025775165120488</v>
          </cell>
        </row>
        <row r="193">
          <cell r="A193" t="str">
            <v>Buffalo</v>
          </cell>
          <cell r="B193">
            <v>-0.13374353746804454</v>
          </cell>
          <cell r="C193">
            <v>0.53971995120355476</v>
          </cell>
          <cell r="D193">
            <v>199</v>
          </cell>
          <cell r="E193">
            <v>-0.19007194363369509</v>
          </cell>
          <cell r="F193">
            <v>191</v>
          </cell>
          <cell r="G193">
            <v>-0.20035469282158022</v>
          </cell>
        </row>
        <row r="194">
          <cell r="A194" t="str">
            <v>Milwaukee</v>
          </cell>
          <cell r="B194">
            <v>-0.40251836095285426</v>
          </cell>
          <cell r="C194">
            <v>0.56108685946782866</v>
          </cell>
          <cell r="D194">
            <v>182</v>
          </cell>
          <cell r="E194">
            <v>-0.19417607781238722</v>
          </cell>
          <cell r="F194">
            <v>192</v>
          </cell>
          <cell r="G194">
            <v>-0.20469007743960158</v>
          </cell>
        </row>
        <row r="195">
          <cell r="A195" t="str">
            <v>UTEP</v>
          </cell>
          <cell r="B195">
            <v>5.4586796710618571E-2</v>
          </cell>
          <cell r="C195">
            <v>0.52167002721530276</v>
          </cell>
          <cell r="D195">
            <v>216</v>
          </cell>
          <cell r="E195">
            <v>-0.19822095311638613</v>
          </cell>
          <cell r="F195">
            <v>193</v>
          </cell>
          <cell r="G195">
            <v>-0.20896286419833268</v>
          </cell>
        </row>
        <row r="196">
          <cell r="A196" t="str">
            <v>Louisiana</v>
          </cell>
          <cell r="B196">
            <v>-1.0471900436973152</v>
          </cell>
          <cell r="C196">
            <v>0.60983590330673021</v>
          </cell>
          <cell r="D196">
            <v>136</v>
          </cell>
          <cell r="E196">
            <v>-0.21297665148013006</v>
          </cell>
          <cell r="F196">
            <v>194</v>
          </cell>
          <cell r="G196">
            <v>-0.22454998316887387</v>
          </cell>
        </row>
        <row r="197">
          <cell r="A197" t="str">
            <v>Oral Roberts</v>
          </cell>
          <cell r="B197">
            <v>-0.51024380240871769</v>
          </cell>
          <cell r="C197">
            <v>0.55727774767103455</v>
          </cell>
          <cell r="D197">
            <v>185</v>
          </cell>
          <cell r="E197">
            <v>-0.24013653099438692</v>
          </cell>
          <cell r="F197">
            <v>195</v>
          </cell>
          <cell r="G197">
            <v>-0.25324020594101188</v>
          </cell>
        </row>
        <row r="198">
          <cell r="A198" t="str">
            <v>Little Rock</v>
          </cell>
          <cell r="B198">
            <v>-0.73475249182313362</v>
          </cell>
          <cell r="C198">
            <v>0.57353401720880481</v>
          </cell>
          <cell r="D198">
            <v>170</v>
          </cell>
          <cell r="E198">
            <v>-0.24926523074494819</v>
          </cell>
          <cell r="F198">
            <v>196</v>
          </cell>
          <cell r="G198">
            <v>-0.26288326894967079</v>
          </cell>
        </row>
        <row r="199">
          <cell r="A199" t="str">
            <v>Lipscomb</v>
          </cell>
          <cell r="B199">
            <v>-0.24745526391969025</v>
          </cell>
          <cell r="C199">
            <v>0.53229827677268715</v>
          </cell>
          <cell r="D199">
            <v>206</v>
          </cell>
          <cell r="E199">
            <v>-0.25076713711231174</v>
          </cell>
          <cell r="F199">
            <v>197</v>
          </cell>
          <cell r="G199">
            <v>-0.26446980132879766</v>
          </cell>
        </row>
        <row r="200">
          <cell r="A200" t="str">
            <v>Northeastern</v>
          </cell>
          <cell r="B200">
            <v>-0.78773876416909827</v>
          </cell>
          <cell r="C200">
            <v>0.57620353262544122</v>
          </cell>
          <cell r="D200">
            <v>169</v>
          </cell>
          <cell r="E200">
            <v>-0.25559990179157621</v>
          </cell>
          <cell r="F200">
            <v>198</v>
          </cell>
          <cell r="G200">
            <v>-0.2695748716653813</v>
          </cell>
        </row>
        <row r="201">
          <cell r="A201" t="str">
            <v>Lehigh Mountain</v>
          </cell>
          <cell r="B201">
            <v>-1.163965644701193</v>
          </cell>
          <cell r="C201">
            <v>0.60620962303629256</v>
          </cell>
          <cell r="D201">
            <v>139</v>
          </cell>
          <cell r="E201">
            <v>-0.26099731804707382</v>
          </cell>
          <cell r="F201">
            <v>199</v>
          </cell>
          <cell r="G201">
            <v>-0.27527640928387109</v>
          </cell>
        </row>
        <row r="202">
          <cell r="A202" t="str">
            <v>Rice</v>
          </cell>
          <cell r="B202">
            <v>-0.21006897541764014</v>
          </cell>
          <cell r="C202">
            <v>0.52544240146583499</v>
          </cell>
          <cell r="D202">
            <v>211</v>
          </cell>
          <cell r="E202">
            <v>-0.26410644422700935</v>
          </cell>
          <cell r="F202">
            <v>200</v>
          </cell>
          <cell r="G202">
            <v>-0.27856072145035959</v>
          </cell>
        </row>
        <row r="203">
          <cell r="A203" t="str">
            <v>Loyola Chicago</v>
          </cell>
          <cell r="B203">
            <v>-0.51210201693835389</v>
          </cell>
          <cell r="C203">
            <v>0.55059022030199756</v>
          </cell>
          <cell r="D203">
            <v>189</v>
          </cell>
          <cell r="E203">
            <v>-0.26464622936264742</v>
          </cell>
          <cell r="F203">
            <v>201</v>
          </cell>
          <cell r="G203">
            <v>-0.27913092117390464</v>
          </cell>
        </row>
        <row r="204">
          <cell r="A204" t="str">
            <v>Brown</v>
          </cell>
          <cell r="B204">
            <v>-0.38563757197209064</v>
          </cell>
          <cell r="C204">
            <v>0.5396205444477381</v>
          </cell>
          <cell r="D204">
            <v>200</v>
          </cell>
          <cell r="E204">
            <v>-0.26599619198610752</v>
          </cell>
          <cell r="F204">
            <v>202</v>
          </cell>
          <cell r="G204">
            <v>-0.28055694842784734</v>
          </cell>
        </row>
        <row r="205">
          <cell r="A205" t="str">
            <v>UT Rio Grande Valley</v>
          </cell>
          <cell r="B205">
            <v>0.49089681326000612</v>
          </cell>
          <cell r="C205">
            <v>0.46552163895772553</v>
          </cell>
          <cell r="D205">
            <v>253</v>
          </cell>
          <cell r="E205">
            <v>-0.26843057705760964</v>
          </cell>
          <cell r="F205">
            <v>203</v>
          </cell>
          <cell r="G205">
            <v>-0.28312850070509143</v>
          </cell>
        </row>
        <row r="206">
          <cell r="A206" t="str">
            <v>Dartmouth</v>
          </cell>
          <cell r="B206">
            <v>-0.42882961305766093</v>
          </cell>
          <cell r="C206">
            <v>0.54149517565284355</v>
          </cell>
          <cell r="D206">
            <v>197</v>
          </cell>
          <cell r="E206">
            <v>-0.27223957305287638</v>
          </cell>
          <cell r="F206">
            <v>204</v>
          </cell>
          <cell r="G206">
            <v>-0.28715211736307478</v>
          </cell>
        </row>
        <row r="207">
          <cell r="A207" t="str">
            <v>Jacksonville</v>
          </cell>
          <cell r="B207">
            <v>-0.75697282929455945</v>
          </cell>
          <cell r="C207">
            <v>0.56769281787381665</v>
          </cell>
          <cell r="D207">
            <v>174</v>
          </cell>
          <cell r="E207">
            <v>-0.27685233397207065</v>
          </cell>
          <cell r="F207">
            <v>205</v>
          </cell>
          <cell r="G207">
            <v>-0.29202478766696277</v>
          </cell>
        </row>
        <row r="208">
          <cell r="A208" t="str">
            <v>Montana</v>
          </cell>
          <cell r="B208">
            <v>0.14107697691594234</v>
          </cell>
          <cell r="C208">
            <v>0.49117831531455791</v>
          </cell>
          <cell r="D208">
            <v>236</v>
          </cell>
          <cell r="E208">
            <v>-0.28148386239256762</v>
          </cell>
          <cell r="F208">
            <v>206</v>
          </cell>
          <cell r="G208">
            <v>-0.29691728294072844</v>
          </cell>
        </row>
        <row r="209">
          <cell r="A209" t="str">
            <v>VMI</v>
          </cell>
          <cell r="B209">
            <v>-1.170099199782406</v>
          </cell>
          <cell r="C209">
            <v>0.60046009212434215</v>
          </cell>
          <cell r="D209">
            <v>146</v>
          </cell>
          <cell r="E209">
            <v>-0.28343006438382273</v>
          </cell>
          <cell r="F209">
            <v>207</v>
          </cell>
          <cell r="G209">
            <v>-0.29897314510533701</v>
          </cell>
        </row>
        <row r="210">
          <cell r="A210" t="str">
            <v>Bellarmine</v>
          </cell>
          <cell r="B210">
            <v>-0.63759860145644409</v>
          </cell>
          <cell r="C210">
            <v>0.55469266403120987</v>
          </cell>
          <cell r="D210">
            <v>187</v>
          </cell>
          <cell r="E210">
            <v>-0.28760177816593546</v>
          </cell>
          <cell r="F210">
            <v>208</v>
          </cell>
          <cell r="G210">
            <v>-0.30337991714891643</v>
          </cell>
        </row>
        <row r="211">
          <cell r="A211" t="str">
            <v>New Mexico State</v>
          </cell>
          <cell r="B211">
            <v>0.48198626532197303</v>
          </cell>
          <cell r="C211">
            <v>0.46069347844596226</v>
          </cell>
          <cell r="D211">
            <v>257</v>
          </cell>
          <cell r="E211">
            <v>-0.28839641540219241</v>
          </cell>
          <cell r="F211">
            <v>209</v>
          </cell>
          <cell r="G211">
            <v>-0.30421932880091879</v>
          </cell>
        </row>
        <row r="212">
          <cell r="A212" t="str">
            <v>La Salle</v>
          </cell>
          <cell r="B212">
            <v>-0.31239925387414108</v>
          </cell>
          <cell r="C212">
            <v>0.52718527589112818</v>
          </cell>
          <cell r="D212">
            <v>210</v>
          </cell>
          <cell r="E212">
            <v>-0.28856320025187354</v>
          </cell>
          <cell r="F212">
            <v>210</v>
          </cell>
          <cell r="G212">
            <v>-0.30439551126483061</v>
          </cell>
        </row>
        <row r="213">
          <cell r="A213" t="str">
            <v>Stetson</v>
          </cell>
          <cell r="B213">
            <v>-1.1739707399412647</v>
          </cell>
          <cell r="C213">
            <v>0.59633901145419876</v>
          </cell>
          <cell r="D213">
            <v>147</v>
          </cell>
          <cell r="E213">
            <v>-0.29935170356956331</v>
          </cell>
          <cell r="F213">
            <v>211</v>
          </cell>
          <cell r="G213">
            <v>-0.31579190068548296</v>
          </cell>
        </row>
        <row r="214">
          <cell r="A214" t="str">
            <v>Northern Kentucky</v>
          </cell>
          <cell r="B214">
            <v>5.4354431038886389E-2</v>
          </cell>
          <cell r="C214">
            <v>0.49098642150085497</v>
          </cell>
          <cell r="D214">
            <v>237</v>
          </cell>
          <cell r="E214">
            <v>-0.30818791837553289</v>
          </cell>
          <cell r="F214">
            <v>212</v>
          </cell>
          <cell r="G214">
            <v>-0.32512599847161844</v>
          </cell>
        </row>
        <row r="215">
          <cell r="A215" t="str">
            <v>East Carolina</v>
          </cell>
          <cell r="B215">
            <v>-0.60281143538851023</v>
          </cell>
          <cell r="C215">
            <v>0.54497444531106554</v>
          </cell>
          <cell r="D215">
            <v>193</v>
          </cell>
          <cell r="E215">
            <v>-0.31197267078352187</v>
          </cell>
          <cell r="F215">
            <v>213</v>
          </cell>
          <cell r="G215">
            <v>-0.32912400551968324</v>
          </cell>
        </row>
        <row r="216">
          <cell r="A216" t="str">
            <v>California Baptist</v>
          </cell>
          <cell r="B216">
            <v>0.40546139098743139</v>
          </cell>
          <cell r="C216">
            <v>0.45672631121089857</v>
          </cell>
          <cell r="D216">
            <v>262</v>
          </cell>
          <cell r="E216">
            <v>-0.32556279420112499</v>
          </cell>
          <cell r="F216">
            <v>214</v>
          </cell>
          <cell r="G216">
            <v>-0.34347987437201793</v>
          </cell>
        </row>
        <row r="217">
          <cell r="A217" t="str">
            <v>Charleston</v>
          </cell>
          <cell r="B217">
            <v>-0.20754802677768575</v>
          </cell>
          <cell r="C217">
            <v>0.50549557917972698</v>
          </cell>
          <cell r="D217">
            <v>228</v>
          </cell>
          <cell r="E217">
            <v>-0.33479225306887267</v>
          </cell>
          <cell r="F217">
            <v>215</v>
          </cell>
          <cell r="G217">
            <v>-0.35322937384394926</v>
          </cell>
        </row>
        <row r="218">
          <cell r="A218" t="str">
            <v>Detroit</v>
          </cell>
          <cell r="B218">
            <v>-0.17578405937188468</v>
          </cell>
          <cell r="C218">
            <v>0.50009141808746538</v>
          </cell>
          <cell r="D218">
            <v>233</v>
          </cell>
          <cell r="E218">
            <v>-0.34461875650836377</v>
          </cell>
          <cell r="F218">
            <v>216</v>
          </cell>
          <cell r="G218">
            <v>-0.36360955880029971</v>
          </cell>
        </row>
        <row r="219">
          <cell r="A219" t="str">
            <v>Houston Christian</v>
          </cell>
          <cell r="B219">
            <v>-0.72826409605345066</v>
          </cell>
          <cell r="C219">
            <v>0.54435434160319418</v>
          </cell>
          <cell r="D219">
            <v>194</v>
          </cell>
          <cell r="E219">
            <v>-0.35182944966859808</v>
          </cell>
          <cell r="F219">
            <v>217</v>
          </cell>
          <cell r="G219">
            <v>-0.37122654373574687</v>
          </cell>
        </row>
        <row r="220">
          <cell r="A220" t="str">
            <v>Fairfield</v>
          </cell>
          <cell r="B220">
            <v>-1.2090244399959735</v>
          </cell>
          <cell r="C220">
            <v>0.5840847582587223</v>
          </cell>
          <cell r="D220">
            <v>158</v>
          </cell>
          <cell r="E220">
            <v>-0.35375798762953797</v>
          </cell>
          <cell r="F220">
            <v>218</v>
          </cell>
          <cell r="G220">
            <v>-0.3732637465773444</v>
          </cell>
        </row>
        <row r="221">
          <cell r="A221" t="str">
            <v>Stony Brook</v>
          </cell>
          <cell r="B221">
            <v>-0.47394175936490213</v>
          </cell>
          <cell r="C221">
            <v>0.52233191154652303</v>
          </cell>
          <cell r="D221">
            <v>214</v>
          </cell>
          <cell r="E221">
            <v>-0.3544088966109159</v>
          </cell>
          <cell r="F221">
            <v>219</v>
          </cell>
          <cell r="G221">
            <v>-0.37395133150091947</v>
          </cell>
        </row>
        <row r="222">
          <cell r="A222" t="str">
            <v>Northern Arizona</v>
          </cell>
          <cell r="B222">
            <v>-0.26522904411852988</v>
          </cell>
          <cell r="C222">
            <v>0.5042399118425358</v>
          </cell>
          <cell r="D222">
            <v>229</v>
          </cell>
          <cell r="E222">
            <v>-0.35659389132692415</v>
          </cell>
          <cell r="F222">
            <v>220</v>
          </cell>
          <cell r="G222">
            <v>-0.37625944134085137</v>
          </cell>
        </row>
        <row r="223">
          <cell r="A223" t="str">
            <v>Long Island University</v>
          </cell>
          <cell r="B223">
            <v>-0.66821390026703498</v>
          </cell>
          <cell r="C223">
            <v>0.53524746104514442</v>
          </cell>
          <cell r="D223">
            <v>202</v>
          </cell>
          <cell r="E223">
            <v>-0.36643184760757552</v>
          </cell>
          <cell r="F223">
            <v>221</v>
          </cell>
          <cell r="G223">
            <v>-0.38665172445706625</v>
          </cell>
        </row>
        <row r="224">
          <cell r="A224" t="str">
            <v>Loyola (MD)</v>
          </cell>
          <cell r="B224">
            <v>-1.2949392373837925</v>
          </cell>
          <cell r="C224">
            <v>0.58237355933967383</v>
          </cell>
          <cell r="D224">
            <v>160</v>
          </cell>
          <cell r="E224">
            <v>-0.38566130448388741</v>
          </cell>
          <cell r="F224">
            <v>222</v>
          </cell>
          <cell r="G224">
            <v>-0.40696467913269402</v>
          </cell>
        </row>
        <row r="225">
          <cell r="A225" t="str">
            <v>Quinnipiac</v>
          </cell>
          <cell r="B225">
            <v>-1.1278332959159658</v>
          </cell>
          <cell r="C225">
            <v>0.56640590980624328</v>
          </cell>
          <cell r="D225">
            <v>175</v>
          </cell>
          <cell r="E225">
            <v>-0.39271969968305237</v>
          </cell>
          <cell r="F225">
            <v>223</v>
          </cell>
          <cell r="G225">
            <v>-0.41442078476716604</v>
          </cell>
        </row>
        <row r="226">
          <cell r="A226" t="str">
            <v>Temple</v>
          </cell>
          <cell r="B226">
            <v>7.0578008497332687E-2</v>
          </cell>
          <cell r="C226">
            <v>0.46272417641248115</v>
          </cell>
          <cell r="D226">
            <v>256</v>
          </cell>
          <cell r="E226">
            <v>-0.40454568813768715</v>
          </cell>
          <cell r="F226">
            <v>224</v>
          </cell>
          <cell r="G226">
            <v>-0.42691311718293035</v>
          </cell>
        </row>
        <row r="227">
          <cell r="A227" t="str">
            <v>Eastern Kentucky</v>
          </cell>
          <cell r="B227">
            <v>-0.59637149281778701</v>
          </cell>
          <cell r="C227">
            <v>0.51722606585891817</v>
          </cell>
          <cell r="D227">
            <v>219</v>
          </cell>
          <cell r="E227">
            <v>-0.40942505555835135</v>
          </cell>
          <cell r="F227">
            <v>225</v>
          </cell>
          <cell r="G227">
            <v>-0.43206741612643207</v>
          </cell>
        </row>
        <row r="228">
          <cell r="A228" t="str">
            <v>Southern Miss</v>
          </cell>
          <cell r="B228">
            <v>-0.53598235260125271</v>
          </cell>
          <cell r="C228">
            <v>0.5110985155158897</v>
          </cell>
          <cell r="D228">
            <v>222</v>
          </cell>
          <cell r="E228">
            <v>-0.41325491821308813</v>
          </cell>
          <cell r="F228">
            <v>226</v>
          </cell>
          <cell r="G228">
            <v>-0.43611307519106129</v>
          </cell>
        </row>
        <row r="229">
          <cell r="A229" t="str">
            <v>Indiana State</v>
          </cell>
          <cell r="B229">
            <v>-0.17765865914764806</v>
          </cell>
          <cell r="C229">
            <v>0.48094234341005693</v>
          </cell>
          <cell r="D229">
            <v>243</v>
          </cell>
          <cell r="E229">
            <v>-0.41376599485375132</v>
          </cell>
          <cell r="F229">
            <v>227</v>
          </cell>
          <cell r="G229">
            <v>-0.43665294881850375</v>
          </cell>
        </row>
        <row r="230">
          <cell r="A230" t="str">
            <v>Samford</v>
          </cell>
          <cell r="B230">
            <v>-0.22027293602827602</v>
          </cell>
          <cell r="C230">
            <v>0.48310837688974717</v>
          </cell>
          <cell r="D230">
            <v>241</v>
          </cell>
          <cell r="E230">
            <v>-0.41879235216830041</v>
          </cell>
          <cell r="F230">
            <v>228</v>
          </cell>
          <cell r="G230">
            <v>-0.44196251990887186</v>
          </cell>
        </row>
        <row r="231">
          <cell r="A231" t="str">
            <v>Hampton</v>
          </cell>
          <cell r="B231">
            <v>-0.60597089496803425</v>
          </cell>
          <cell r="C231">
            <v>0.5108439269546311</v>
          </cell>
          <cell r="D231">
            <v>223</v>
          </cell>
          <cell r="E231">
            <v>-0.4351633223943977</v>
          </cell>
          <cell r="F231">
            <v>229</v>
          </cell>
          <cell r="G231">
            <v>-0.45925592441518492</v>
          </cell>
        </row>
        <row r="232">
          <cell r="A232" t="str">
            <v>Tarleton</v>
          </cell>
          <cell r="B232">
            <v>0.22159427595714928</v>
          </cell>
          <cell r="C232">
            <v>0.4414639479237828</v>
          </cell>
          <cell r="D232">
            <v>281</v>
          </cell>
          <cell r="E232">
            <v>-0.43538703351545865</v>
          </cell>
          <cell r="F232">
            <v>230</v>
          </cell>
          <cell r="G232">
            <v>-0.45949224070283545</v>
          </cell>
        </row>
        <row r="233">
          <cell r="A233" t="str">
            <v>IU Indianapolis</v>
          </cell>
          <cell r="B233">
            <v>-0.60870842040017847</v>
          </cell>
          <cell r="C233">
            <v>0.5093331672466751</v>
          </cell>
          <cell r="D233">
            <v>225</v>
          </cell>
          <cell r="E233">
            <v>-0.44139555900925287</v>
          </cell>
          <cell r="F233">
            <v>231</v>
          </cell>
          <cell r="G233">
            <v>-0.465839320956212</v>
          </cell>
        </row>
        <row r="234">
          <cell r="A234" t="str">
            <v>Coastal Carolina</v>
          </cell>
          <cell r="B234">
            <v>-0.73861427645633759</v>
          </cell>
          <cell r="C234">
            <v>0.52016113136829534</v>
          </cell>
          <cell r="D234">
            <v>218</v>
          </cell>
          <cell r="E234">
            <v>-0.44158557839547641</v>
          </cell>
          <cell r="F234">
            <v>232</v>
          </cell>
          <cell r="G234">
            <v>-0.46604004712360597</v>
          </cell>
        </row>
        <row r="235">
          <cell r="A235" t="str">
            <v>Elon</v>
          </cell>
          <cell r="B235">
            <v>-0.26772283609125525</v>
          </cell>
          <cell r="C235">
            <v>0.48032789261818221</v>
          </cell>
          <cell r="D235">
            <v>245</v>
          </cell>
          <cell r="E235">
            <v>-0.44298598198128269</v>
          </cell>
          <cell r="F235">
            <v>233</v>
          </cell>
          <cell r="G235">
            <v>-0.46751935747277718</v>
          </cell>
        </row>
        <row r="236">
          <cell r="A236" t="str">
            <v>Army</v>
          </cell>
          <cell r="B236">
            <v>-1.4450141490054567</v>
          </cell>
          <cell r="C236">
            <v>0.57644219141657649</v>
          </cell>
          <cell r="D236">
            <v>168</v>
          </cell>
          <cell r="E236">
            <v>-0.45192773027889954</v>
          </cell>
          <cell r="F236">
            <v>234</v>
          </cell>
          <cell r="G236">
            <v>-0.47696493511226368</v>
          </cell>
        </row>
        <row r="237">
          <cell r="A237" t="str">
            <v>Tulane</v>
          </cell>
          <cell r="B237">
            <v>-0.4065261522975932</v>
          </cell>
          <cell r="C237">
            <v>0.48780326172655941</v>
          </cell>
          <cell r="D237">
            <v>239</v>
          </cell>
          <cell r="E237">
            <v>-0.4578529869498093</v>
          </cell>
          <cell r="F237">
            <v>235</v>
          </cell>
          <cell r="G237">
            <v>-0.48322405470008301</v>
          </cell>
        </row>
        <row r="238">
          <cell r="A238" t="str">
            <v>SE Louisiana</v>
          </cell>
          <cell r="B238">
            <v>-0.82284766374893981</v>
          </cell>
          <cell r="C238">
            <v>0.5220278738534051</v>
          </cell>
          <cell r="D238">
            <v>215</v>
          </cell>
          <cell r="E238">
            <v>-0.46016961778328175</v>
          </cell>
          <cell r="F238">
            <v>236</v>
          </cell>
          <cell r="G238">
            <v>-0.48567121779070865</v>
          </cell>
        </row>
        <row r="239">
          <cell r="A239" t="str">
            <v>Arkansas State</v>
          </cell>
          <cell r="B239">
            <v>-4.3097588579278194E-2</v>
          </cell>
          <cell r="C239">
            <v>0.45525041267700489</v>
          </cell>
          <cell r="D239">
            <v>264</v>
          </cell>
          <cell r="E239">
            <v>-0.46541660730581663</v>
          </cell>
          <cell r="F239">
            <v>237</v>
          </cell>
          <cell r="G239">
            <v>-0.49121385277204499</v>
          </cell>
        </row>
        <row r="240">
          <cell r="A240" t="str">
            <v>Bradley</v>
          </cell>
          <cell r="B240">
            <v>0.55230527993356471</v>
          </cell>
          <cell r="C240">
            <v>0.4034201896045041</v>
          </cell>
          <cell r="D240">
            <v>303</v>
          </cell>
          <cell r="E240">
            <v>-0.47243231514018946</v>
          </cell>
          <cell r="F240">
            <v>238</v>
          </cell>
          <cell r="G240">
            <v>-0.49862486579096255</v>
          </cell>
        </row>
        <row r="241">
          <cell r="A241" t="str">
            <v>Troy</v>
          </cell>
          <cell r="B241">
            <v>4.3545942352952879E-2</v>
          </cell>
          <cell r="C241">
            <v>0.44474560747960307</v>
          </cell>
          <cell r="D241">
            <v>272</v>
          </cell>
          <cell r="E241">
            <v>-0.47704785046653386</v>
          </cell>
          <cell r="F241">
            <v>239</v>
          </cell>
          <cell r="G241">
            <v>-0.50350046682799898</v>
          </cell>
        </row>
        <row r="242">
          <cell r="A242" t="str">
            <v>Youngstown State</v>
          </cell>
          <cell r="B242">
            <v>-0.11127230015118804</v>
          </cell>
          <cell r="C242">
            <v>0.45762194264922634</v>
          </cell>
          <cell r="D242">
            <v>260</v>
          </cell>
          <cell r="E242">
            <v>-0.47737508307511117</v>
          </cell>
          <cell r="F242">
            <v>240</v>
          </cell>
          <cell r="G242">
            <v>-0.50384613759702657</v>
          </cell>
        </row>
        <row r="243">
          <cell r="A243" t="str">
            <v>Monmouth</v>
          </cell>
          <cell r="B243">
            <v>-0.32666940840585101</v>
          </cell>
          <cell r="C243">
            <v>0.47367225672715157</v>
          </cell>
          <cell r="D243">
            <v>249</v>
          </cell>
          <cell r="E243">
            <v>-0.48450796428048104</v>
          </cell>
          <cell r="F243">
            <v>241</v>
          </cell>
          <cell r="G243">
            <v>-0.51138092620615261</v>
          </cell>
        </row>
        <row r="244">
          <cell r="A244" t="str">
            <v>Georgia State</v>
          </cell>
          <cell r="B244">
            <v>-1.0593228334729399</v>
          </cell>
          <cell r="C244">
            <v>0.53457079165567389</v>
          </cell>
          <cell r="D244">
            <v>204</v>
          </cell>
          <cell r="E244">
            <v>-0.4861881054732845</v>
          </cell>
          <cell r="F244">
            <v>242</v>
          </cell>
          <cell r="G244">
            <v>-0.51315573618220101</v>
          </cell>
        </row>
        <row r="245">
          <cell r="A245" t="str">
            <v>Tennessee State</v>
          </cell>
          <cell r="B245">
            <v>3.7196552468586344E-2</v>
          </cell>
          <cell r="C245">
            <v>0.44237443728921499</v>
          </cell>
          <cell r="D245">
            <v>276</v>
          </cell>
          <cell r="E245">
            <v>-0.48744531652950207</v>
          </cell>
          <cell r="F245">
            <v>243</v>
          </cell>
          <cell r="G245">
            <v>-0.51448378571406816</v>
          </cell>
        </row>
        <row r="246">
          <cell r="A246" t="str">
            <v>St. Bonaventure</v>
          </cell>
          <cell r="B246">
            <v>0.33129528281111209</v>
          </cell>
          <cell r="C246">
            <v>0.41754774646178028</v>
          </cell>
          <cell r="D246">
            <v>294</v>
          </cell>
          <cell r="E246">
            <v>-0.48813566374048484</v>
          </cell>
          <cell r="F246">
            <v>244</v>
          </cell>
          <cell r="G246">
            <v>-0.515213031043114</v>
          </cell>
        </row>
        <row r="247">
          <cell r="A247" t="str">
            <v>Utah Tech</v>
          </cell>
          <cell r="B247">
            <v>8.148106316355036E-2</v>
          </cell>
          <cell r="C247">
            <v>0.436027338337792</v>
          </cell>
          <cell r="D247">
            <v>285</v>
          </cell>
          <cell r="E247">
            <v>-0.49689290944232339</v>
          </cell>
          <cell r="F247">
            <v>245</v>
          </cell>
          <cell r="G247">
            <v>-0.52446371015324078</v>
          </cell>
        </row>
        <row r="248">
          <cell r="A248" t="str">
            <v>CSU Fullerton</v>
          </cell>
          <cell r="B248">
            <v>6.3086279155328606E-2</v>
          </cell>
          <cell r="C248">
            <v>0.4367117747803681</v>
          </cell>
          <cell r="D248">
            <v>284</v>
          </cell>
          <cell r="E248">
            <v>-0.49995994804744287</v>
          </cell>
          <cell r="F248">
            <v>246</v>
          </cell>
          <cell r="G248">
            <v>-0.52770356328975543</v>
          </cell>
        </row>
        <row r="249">
          <cell r="A249" t="str">
            <v>Austin Peay</v>
          </cell>
          <cell r="B249">
            <v>-5.8407405171534046E-2</v>
          </cell>
          <cell r="C249">
            <v>0.44659229764347336</v>
          </cell>
          <cell r="D249">
            <v>270</v>
          </cell>
          <cell r="E249">
            <v>-0.50101969787532386</v>
          </cell>
          <cell r="F249">
            <v>247</v>
          </cell>
          <cell r="G249">
            <v>-0.52882302549608373</v>
          </cell>
        </row>
        <row r="250">
          <cell r="A250" t="str">
            <v>Queens University</v>
          </cell>
          <cell r="B250">
            <v>-0.35843646421985764</v>
          </cell>
          <cell r="C250">
            <v>0.47131969031415921</v>
          </cell>
          <cell r="D250">
            <v>250</v>
          </cell>
          <cell r="E250">
            <v>-0.50246409831583771</v>
          </cell>
          <cell r="F250">
            <v>248</v>
          </cell>
          <cell r="G250">
            <v>-0.53034881173489101</v>
          </cell>
        </row>
        <row r="251">
          <cell r="A251" t="str">
            <v>Florida Gulf Coast</v>
          </cell>
          <cell r="B251">
            <v>-0.48392103773354533</v>
          </cell>
          <cell r="C251">
            <v>0.47879581637579893</v>
          </cell>
          <cell r="D251">
            <v>246</v>
          </cell>
          <cell r="E251">
            <v>-0.5133327693517129</v>
          </cell>
          <cell r="F251">
            <v>249</v>
          </cell>
          <cell r="G251">
            <v>-0.54182988598239124</v>
          </cell>
        </row>
        <row r="252">
          <cell r="A252" t="str">
            <v>Central Michigan</v>
          </cell>
          <cell r="B252">
            <v>-0.46860168992857687</v>
          </cell>
          <cell r="C252">
            <v>0.4774794998650449</v>
          </cell>
          <cell r="D252">
            <v>247</v>
          </cell>
          <cell r="E252">
            <v>-0.5134515208327457</v>
          </cell>
          <cell r="F252">
            <v>250</v>
          </cell>
          <cell r="G252">
            <v>-0.54195532860239859</v>
          </cell>
        </row>
        <row r="253">
          <cell r="A253" t="str">
            <v>Marist</v>
          </cell>
          <cell r="B253">
            <v>-1.031925993086914</v>
          </cell>
          <cell r="C253">
            <v>0.52404963592633624</v>
          </cell>
          <cell r="D253">
            <v>212</v>
          </cell>
          <cell r="E253">
            <v>-0.51565191731776339</v>
          </cell>
          <cell r="F253">
            <v>251</v>
          </cell>
          <cell r="G253">
            <v>-0.54427970803526937</v>
          </cell>
        </row>
        <row r="254">
          <cell r="A254" t="str">
            <v>Denver</v>
          </cell>
          <cell r="B254">
            <v>-0.27897291479286784</v>
          </cell>
          <cell r="C254">
            <v>0.45742490006698866</v>
          </cell>
          <cell r="D254">
            <v>261</v>
          </cell>
          <cell r="E254">
            <v>-0.5283910006600383</v>
          </cell>
          <cell r="F254">
            <v>252</v>
          </cell>
          <cell r="G254">
            <v>-0.55773658433734752</v>
          </cell>
        </row>
        <row r="255">
          <cell r="A255" t="str">
            <v>Kansas City</v>
          </cell>
          <cell r="B255">
            <v>-1.2123375278921862</v>
          </cell>
          <cell r="C255">
            <v>0.53168340605445152</v>
          </cell>
          <cell r="D255">
            <v>207</v>
          </cell>
          <cell r="E255">
            <v>-0.5424340543684425</v>
          </cell>
          <cell r="F255">
            <v>253</v>
          </cell>
          <cell r="G255">
            <v>-0.57257090416869005</v>
          </cell>
        </row>
        <row r="256">
          <cell r="A256" t="str">
            <v>Cleveland State</v>
          </cell>
          <cell r="B256">
            <v>-0.76323796105349218</v>
          </cell>
          <cell r="C256">
            <v>0.49140298643627389</v>
          </cell>
          <cell r="D256">
            <v>235</v>
          </cell>
          <cell r="E256">
            <v>-0.55197365544561205</v>
          </cell>
          <cell r="F256">
            <v>254</v>
          </cell>
          <cell r="G256">
            <v>-0.58264802103946467</v>
          </cell>
        </row>
        <row r="257">
          <cell r="A257" t="str">
            <v>Portland State</v>
          </cell>
          <cell r="B257">
            <v>0.29970626859125021</v>
          </cell>
          <cell r="C257">
            <v>0.40146235879122771</v>
          </cell>
          <cell r="D257">
            <v>305</v>
          </cell>
          <cell r="E257">
            <v>-0.55522423983224556</v>
          </cell>
          <cell r="F257">
            <v>255</v>
          </cell>
          <cell r="G257">
            <v>-0.5860817619786759</v>
          </cell>
        </row>
        <row r="258">
          <cell r="A258" t="str">
            <v>Old Dominion</v>
          </cell>
          <cell r="B258">
            <v>-0.65460564228929552</v>
          </cell>
          <cell r="C258">
            <v>0.48047875218878905</v>
          </cell>
          <cell r="D258">
            <v>244</v>
          </cell>
          <cell r="E258">
            <v>-0.55851050100710786</v>
          </cell>
          <cell r="F258">
            <v>256</v>
          </cell>
          <cell r="G258">
            <v>-0.58955318994081896</v>
          </cell>
        </row>
        <row r="259">
          <cell r="A259" t="str">
            <v>Marshall</v>
          </cell>
          <cell r="B259">
            <v>-0.20986316996108806</v>
          </cell>
          <cell r="C259">
            <v>0.44241268687243002</v>
          </cell>
          <cell r="D259">
            <v>275</v>
          </cell>
          <cell r="E259">
            <v>-0.56142623748741605</v>
          </cell>
          <cell r="F259">
            <v>257</v>
          </cell>
          <cell r="G259">
            <v>-0.59263321572373817</v>
          </cell>
        </row>
        <row r="260">
          <cell r="A260" t="str">
            <v>Portland</v>
          </cell>
          <cell r="B260">
            <v>-6.5049439993332338E-4</v>
          </cell>
          <cell r="C260">
            <v>0.42361493488074975</v>
          </cell>
          <cell r="D260">
            <v>291</v>
          </cell>
          <cell r="E260">
            <v>-0.56598898613001491</v>
          </cell>
          <cell r="F260">
            <v>258</v>
          </cell>
          <cell r="G260">
            <v>-0.59745305577276031</v>
          </cell>
        </row>
        <row r="261">
          <cell r="A261" t="str">
            <v>Missouri State</v>
          </cell>
          <cell r="B261">
            <v>0.30270906340303638</v>
          </cell>
          <cell r="C261">
            <v>0.39195066273330981</v>
          </cell>
          <cell r="D261">
            <v>310</v>
          </cell>
          <cell r="E261">
            <v>-0.5883907565161185</v>
          </cell>
          <cell r="F261">
            <v>259</v>
          </cell>
          <cell r="G261">
            <v>-0.62111707028100671</v>
          </cell>
        </row>
        <row r="262">
          <cell r="A262" t="str">
            <v>Mount St. Mary's</v>
          </cell>
          <cell r="B262">
            <v>-1.4118484457158085</v>
          </cell>
          <cell r="C262">
            <v>0.53493522686194073</v>
          </cell>
          <cell r="D262">
            <v>203</v>
          </cell>
          <cell r="E262">
            <v>-0.59064051787620286</v>
          </cell>
          <cell r="F262">
            <v>260</v>
          </cell>
          <cell r="G262">
            <v>-0.62349359608890231</v>
          </cell>
        </row>
        <row r="263">
          <cell r="A263" t="str">
            <v>East Texas A&amp;M</v>
          </cell>
          <cell r="B263">
            <v>-0.58644246649867371</v>
          </cell>
          <cell r="C263">
            <v>0.46293157344602909</v>
          </cell>
          <cell r="D263">
            <v>255</v>
          </cell>
          <cell r="E263">
            <v>-0.60090901165328925</v>
          </cell>
          <cell r="F263">
            <v>261</v>
          </cell>
          <cell r="G263">
            <v>-0.63434067565139729</v>
          </cell>
        </row>
        <row r="264">
          <cell r="A264" t="str">
            <v>Green Bay</v>
          </cell>
          <cell r="B264">
            <v>-0.37609124854190523</v>
          </cell>
          <cell r="C264">
            <v>0.4446363878083523</v>
          </cell>
          <cell r="D264">
            <v>273</v>
          </cell>
          <cell r="E264">
            <v>-0.60333019194701221</v>
          </cell>
          <cell r="F264">
            <v>262</v>
          </cell>
          <cell r="G264">
            <v>-0.63689827911800911</v>
          </cell>
        </row>
        <row r="265">
          <cell r="A265" t="str">
            <v>Omaha</v>
          </cell>
          <cell r="B265">
            <v>-0.38692843551576828</v>
          </cell>
          <cell r="C265">
            <v>0.44536711235314291</v>
          </cell>
          <cell r="D265">
            <v>271</v>
          </cell>
          <cell r="E265">
            <v>-0.60396416468763059</v>
          </cell>
          <cell r="F265">
            <v>263</v>
          </cell>
          <cell r="G265">
            <v>-0.63756797351596317</v>
          </cell>
        </row>
        <row r="266">
          <cell r="A266" t="str">
            <v>Southern Indiana</v>
          </cell>
          <cell r="B266">
            <v>-1.1565772372608749</v>
          </cell>
          <cell r="C266">
            <v>0.50182792787679809</v>
          </cell>
          <cell r="D266">
            <v>232</v>
          </cell>
          <cell r="E266">
            <v>-0.63263717812013542</v>
          </cell>
          <cell r="F266">
            <v>264</v>
          </cell>
          <cell r="G266">
            <v>-0.66785658884267141</v>
          </cell>
        </row>
        <row r="267">
          <cell r="A267" t="str">
            <v>Central Connecticut</v>
          </cell>
          <cell r="B267">
            <v>-1.2400084019103557</v>
          </cell>
          <cell r="C267">
            <v>0.50762152648280057</v>
          </cell>
          <cell r="D267">
            <v>226</v>
          </cell>
          <cell r="E267">
            <v>-0.63691601362402683</v>
          </cell>
          <cell r="F267">
            <v>265</v>
          </cell>
          <cell r="G267">
            <v>-0.67237651845972068</v>
          </cell>
        </row>
        <row r="268">
          <cell r="A268" t="str">
            <v>Charleston Southern</v>
          </cell>
          <cell r="B268">
            <v>-0.4925205749428157</v>
          </cell>
          <cell r="C268">
            <v>0.4425824947057927</v>
          </cell>
          <cell r="D268">
            <v>274</v>
          </cell>
          <cell r="E268">
            <v>-0.64561527052349788</v>
          </cell>
          <cell r="F268">
            <v>266</v>
          </cell>
          <cell r="G268">
            <v>-0.6815659413460361</v>
          </cell>
        </row>
        <row r="269">
          <cell r="A269" t="str">
            <v>Appalachian State</v>
          </cell>
          <cell r="B269">
            <v>-0.48409398306696466</v>
          </cell>
          <cell r="C269">
            <v>0.44183155701268473</v>
          </cell>
          <cell r="D269">
            <v>279</v>
          </cell>
          <cell r="E269">
            <v>-0.64577687228643699</v>
          </cell>
          <cell r="F269">
            <v>267</v>
          </cell>
          <cell r="G269">
            <v>-0.6817366486783959</v>
          </cell>
        </row>
        <row r="270">
          <cell r="A270" t="str">
            <v>UTSA</v>
          </cell>
          <cell r="B270">
            <v>-1.0378985434192385</v>
          </cell>
          <cell r="C270">
            <v>0.48543055000260471</v>
          </cell>
          <cell r="D270">
            <v>240</v>
          </cell>
          <cell r="E270">
            <v>-0.6557628745834545</v>
          </cell>
          <cell r="F270">
            <v>268</v>
          </cell>
          <cell r="G270">
            <v>-0.69228531957195139</v>
          </cell>
        </row>
        <row r="271">
          <cell r="A271" t="str">
            <v>Navy</v>
          </cell>
          <cell r="B271">
            <v>-0.7095878884483634</v>
          </cell>
          <cell r="C271">
            <v>0.45504301431912986</v>
          </cell>
          <cell r="D271">
            <v>266</v>
          </cell>
          <cell r="E271">
            <v>-0.66610652099298884</v>
          </cell>
          <cell r="F271">
            <v>269</v>
          </cell>
          <cell r="G271">
            <v>-0.70321178629688619</v>
          </cell>
        </row>
        <row r="272">
          <cell r="A272" t="str">
            <v>Southern Utah</v>
          </cell>
          <cell r="B272">
            <v>-0.10687192272743963</v>
          </cell>
          <cell r="C272">
            <v>0.40441396668376994</v>
          </cell>
          <cell r="D272">
            <v>302</v>
          </cell>
          <cell r="E272">
            <v>-0.66662613631381407</v>
          </cell>
          <cell r="F272">
            <v>270</v>
          </cell>
          <cell r="G272">
            <v>-0.70376067972266398</v>
          </cell>
        </row>
        <row r="273">
          <cell r="A273" t="str">
            <v>Nicholls</v>
          </cell>
          <cell r="B273">
            <v>-0.22615085685927205</v>
          </cell>
          <cell r="C273">
            <v>0.41345987757616187</v>
          </cell>
          <cell r="D273">
            <v>298</v>
          </cell>
          <cell r="E273">
            <v>-0.67001073052858739</v>
          </cell>
          <cell r="F273">
            <v>271</v>
          </cell>
          <cell r="G273">
            <v>-0.70733598137170717</v>
          </cell>
        </row>
        <row r="274">
          <cell r="A274" t="str">
            <v>Mercyhurst</v>
          </cell>
          <cell r="B274">
            <v>-1.0565034134603191</v>
          </cell>
          <cell r="C274">
            <v>0.48292108386239224</v>
          </cell>
          <cell r="D274">
            <v>242</v>
          </cell>
          <cell r="E274">
            <v>-0.67033230931342702</v>
          </cell>
          <cell r="F274">
            <v>272</v>
          </cell>
          <cell r="G274">
            <v>-0.70767567974816714</v>
          </cell>
        </row>
        <row r="275">
          <cell r="A275" t="str">
            <v>Delaware</v>
          </cell>
          <cell r="B275">
            <v>-0.74063314890632026</v>
          </cell>
          <cell r="C275">
            <v>0.45456236278711981</v>
          </cell>
          <cell r="D275">
            <v>267</v>
          </cell>
          <cell r="E275">
            <v>-0.67714161402465067</v>
          </cell>
          <cell r="F275">
            <v>273</v>
          </cell>
          <cell r="G275">
            <v>-0.71486865970913593</v>
          </cell>
        </row>
        <row r="276">
          <cell r="A276" t="str">
            <v>Evansville</v>
          </cell>
          <cell r="B276">
            <v>-0.35882162143131835</v>
          </cell>
          <cell r="C276">
            <v>0.42217634639687707</v>
          </cell>
          <cell r="D276">
            <v>293</v>
          </cell>
          <cell r="E276">
            <v>-0.67859281276133754</v>
          </cell>
          <cell r="F276">
            <v>274</v>
          </cell>
          <cell r="G276">
            <v>-0.71640162729908174</v>
          </cell>
        </row>
        <row r="277">
          <cell r="A277" t="str">
            <v>Mercer</v>
          </cell>
          <cell r="B277">
            <v>5.9907704329181424E-2</v>
          </cell>
          <cell r="C277">
            <v>0.38543024850325819</v>
          </cell>
          <cell r="D277">
            <v>313</v>
          </cell>
          <cell r="E277">
            <v>-0.68458486118153083</v>
          </cell>
          <cell r="F277">
            <v>275</v>
          </cell>
          <cell r="G277">
            <v>-0.72273130206610503</v>
          </cell>
        </row>
        <row r="278">
          <cell r="A278" t="str">
            <v>Bethune-Cookman</v>
          </cell>
          <cell r="B278">
            <v>-1.3905299536615858</v>
          </cell>
          <cell r="C278">
            <v>0.50553645687952853</v>
          </cell>
          <cell r="D278">
            <v>227</v>
          </cell>
          <cell r="E278">
            <v>-0.6895404224275985</v>
          </cell>
          <cell r="F278">
            <v>276</v>
          </cell>
          <cell r="G278">
            <v>-0.72796608803177998</v>
          </cell>
        </row>
        <row r="279">
          <cell r="A279" t="str">
            <v>Hofstra</v>
          </cell>
          <cell r="B279">
            <v>0.12966106826535534</v>
          </cell>
          <cell r="C279">
            <v>0.37620037936724704</v>
          </cell>
          <cell r="D279">
            <v>320</v>
          </cell>
          <cell r="E279">
            <v>-0.69671680798679858</v>
          </cell>
          <cell r="F279">
            <v>277</v>
          </cell>
          <cell r="G279">
            <v>-0.73554683227934292</v>
          </cell>
        </row>
        <row r="280">
          <cell r="A280" t="str">
            <v>New Orleans</v>
          </cell>
          <cell r="B280">
            <v>-0.24409708122164661</v>
          </cell>
          <cell r="C280">
            <v>0.40611795097040726</v>
          </cell>
          <cell r="D280">
            <v>300</v>
          </cell>
          <cell r="E280">
            <v>-0.70169064635215972</v>
          </cell>
          <cell r="F280">
            <v>278</v>
          </cell>
          <cell r="G280">
            <v>-0.74080092520195373</v>
          </cell>
        </row>
        <row r="281">
          <cell r="A281" t="str">
            <v>UMass Lowell</v>
          </cell>
          <cell r="B281">
            <v>-1.2592408314687409</v>
          </cell>
          <cell r="C281">
            <v>0.49075258924181187</v>
          </cell>
          <cell r="D281">
            <v>238</v>
          </cell>
          <cell r="E281">
            <v>-0.70310399724983508</v>
          </cell>
          <cell r="F281">
            <v>279</v>
          </cell>
          <cell r="G281">
            <v>-0.74229391238874232</v>
          </cell>
        </row>
        <row r="282">
          <cell r="A282" t="str">
            <v>Towson</v>
          </cell>
          <cell r="B282">
            <v>-0.26710012511177489</v>
          </cell>
          <cell r="C282">
            <v>0.40164606864535835</v>
          </cell>
          <cell r="D282">
            <v>304</v>
          </cell>
          <cell r="E282">
            <v>-0.72460817762051</v>
          </cell>
          <cell r="F282">
            <v>280</v>
          </cell>
          <cell r="G282">
            <v>-0.765009761516241</v>
          </cell>
        </row>
        <row r="283">
          <cell r="A283" t="str">
            <v>Jacksonville State</v>
          </cell>
          <cell r="B283">
            <v>0.37610014588371365</v>
          </cell>
          <cell r="C283">
            <v>0.34628751426325755</v>
          </cell>
          <cell r="D283">
            <v>327</v>
          </cell>
          <cell r="E283">
            <v>-0.72992183425371004</v>
          </cell>
          <cell r="F283">
            <v>281</v>
          </cell>
          <cell r="G283">
            <v>-0.7706228200153088</v>
          </cell>
        </row>
        <row r="284">
          <cell r="A284" t="str">
            <v>Le Moyne</v>
          </cell>
          <cell r="B284">
            <v>-1.0667210688070272</v>
          </cell>
          <cell r="C284">
            <v>0.46669501682954473</v>
          </cell>
          <cell r="D284">
            <v>252</v>
          </cell>
          <cell r="E284">
            <v>-0.73151333885962067</v>
          </cell>
          <cell r="F284">
            <v>282</v>
          </cell>
          <cell r="G284">
            <v>-0.77230399911120617</v>
          </cell>
        </row>
        <row r="285">
          <cell r="A285" t="str">
            <v>Vermont</v>
          </cell>
          <cell r="B285">
            <v>-0.99880753440112935</v>
          </cell>
          <cell r="C285">
            <v>0.46057340575694167</v>
          </cell>
          <cell r="D285">
            <v>258</v>
          </cell>
          <cell r="E285">
            <v>-0.73306461100141784</v>
          </cell>
          <cell r="F285">
            <v>283</v>
          </cell>
          <cell r="G285">
            <v>-0.77394267881540035</v>
          </cell>
        </row>
        <row r="286">
          <cell r="A286" t="str">
            <v>West Georgia</v>
          </cell>
          <cell r="B286">
            <v>-0.99029419966785215</v>
          </cell>
          <cell r="C286">
            <v>0.45961458483732209</v>
          </cell>
          <cell r="D286">
            <v>259</v>
          </cell>
          <cell r="E286">
            <v>-0.73394475025256911</v>
          </cell>
          <cell r="F286">
            <v>284</v>
          </cell>
          <cell r="G286">
            <v>-0.77487241015580555</v>
          </cell>
        </row>
        <row r="287">
          <cell r="A287" t="str">
            <v>Purdue Fort Wayne</v>
          </cell>
          <cell r="B287">
            <v>-0.23684363240805686</v>
          </cell>
          <cell r="C287">
            <v>0.39387569324600347</v>
          </cell>
          <cell r="D287">
            <v>306</v>
          </cell>
          <cell r="E287">
            <v>-0.74336182243884918</v>
          </cell>
          <cell r="F287">
            <v>285</v>
          </cell>
          <cell r="G287">
            <v>-0.78482009415579745</v>
          </cell>
        </row>
        <row r="288">
          <cell r="A288" t="str">
            <v>Merrimack</v>
          </cell>
          <cell r="B288">
            <v>-1.140342718181008</v>
          </cell>
          <cell r="C288">
            <v>0.46938764155255974</v>
          </cell>
          <cell r="D288">
            <v>251</v>
          </cell>
          <cell r="E288">
            <v>-0.74395585408024312</v>
          </cell>
          <cell r="F288">
            <v>286</v>
          </cell>
          <cell r="G288">
            <v>-0.78544759694410493</v>
          </cell>
        </row>
        <row r="289">
          <cell r="A289" t="str">
            <v>Southern Illinois</v>
          </cell>
          <cell r="B289">
            <v>0.43197783725393485</v>
          </cell>
          <cell r="C289">
            <v>0.33287181115548026</v>
          </cell>
          <cell r="D289">
            <v>335</v>
          </cell>
          <cell r="E289">
            <v>-0.76120858219276943</v>
          </cell>
          <cell r="F289">
            <v>287</v>
          </cell>
          <cell r="G289">
            <v>-0.80367244262928839</v>
          </cell>
        </row>
        <row r="290">
          <cell r="A290" t="str">
            <v>North Dakota</v>
          </cell>
          <cell r="B290">
            <v>-0.26579765400691208</v>
          </cell>
          <cell r="C290">
            <v>0.38926980532754507</v>
          </cell>
          <cell r="D290">
            <v>311</v>
          </cell>
          <cell r="E290">
            <v>-0.76854460517995438</v>
          </cell>
          <cell r="F290">
            <v>288</v>
          </cell>
          <cell r="G290">
            <v>-0.81142181919236855</v>
          </cell>
        </row>
        <row r="291">
          <cell r="A291" t="str">
            <v>Southeast Missouri State</v>
          </cell>
          <cell r="B291">
            <v>-0.1473958300394646</v>
          </cell>
          <cell r="C291">
            <v>0.37630831775090845</v>
          </cell>
          <cell r="D291">
            <v>319</v>
          </cell>
          <cell r="E291">
            <v>-0.7794472823614873</v>
          </cell>
          <cell r="F291">
            <v>289</v>
          </cell>
          <cell r="G291">
            <v>-0.82293881568665295</v>
          </cell>
        </row>
        <row r="292">
          <cell r="A292" t="str">
            <v>South Dakota</v>
          </cell>
          <cell r="B292">
            <v>-0.63505337753077429</v>
          </cell>
          <cell r="C292">
            <v>0.41554898306323307</v>
          </cell>
          <cell r="D292">
            <v>296</v>
          </cell>
          <cell r="E292">
            <v>-0.78519908841817987</v>
          </cell>
          <cell r="F292">
            <v>290</v>
          </cell>
          <cell r="G292">
            <v>-0.8290147114586508</v>
          </cell>
        </row>
        <row r="293">
          <cell r="A293" t="str">
            <v>Saint Peter's</v>
          </cell>
          <cell r="B293">
            <v>-1.126966484071918</v>
          </cell>
          <cell r="C293">
            <v>0.45538062394975631</v>
          </cell>
          <cell r="D293">
            <v>263</v>
          </cell>
          <cell r="E293">
            <v>-0.79011090763786318</v>
          </cell>
          <cell r="F293">
            <v>291</v>
          </cell>
          <cell r="G293">
            <v>-0.83420329072150101</v>
          </cell>
        </row>
        <row r="294">
          <cell r="A294" t="str">
            <v>New Hampshire</v>
          </cell>
          <cell r="B294">
            <v>-1.5727700768928783</v>
          </cell>
          <cell r="C294">
            <v>0.49229153340186615</v>
          </cell>
          <cell r="D294">
            <v>234</v>
          </cell>
          <cell r="E294">
            <v>-0.79165084567440136</v>
          </cell>
          <cell r="F294">
            <v>292</v>
          </cell>
          <cell r="G294">
            <v>-0.83582999769199318</v>
          </cell>
        </row>
        <row r="295">
          <cell r="A295" t="str">
            <v>UT Martin</v>
          </cell>
          <cell r="B295">
            <v>-0.24829606201909149</v>
          </cell>
          <cell r="C295">
            <v>0.37853564334030171</v>
          </cell>
          <cell r="D295">
            <v>317</v>
          </cell>
          <cell r="E295">
            <v>-0.80173990068105072</v>
          </cell>
          <cell r="F295">
            <v>293</v>
          </cell>
          <cell r="G295">
            <v>-0.84648752787540882</v>
          </cell>
        </row>
        <row r="296">
          <cell r="A296" t="str">
            <v>Bryant</v>
          </cell>
          <cell r="B296">
            <v>-1.7501361704785552</v>
          </cell>
          <cell r="C296">
            <v>0.50416153320809021</v>
          </cell>
          <cell r="D296">
            <v>230</v>
          </cell>
          <cell r="E296">
            <v>-0.8023467523318224</v>
          </cell>
          <cell r="F296">
            <v>294</v>
          </cell>
          <cell r="G296">
            <v>-0.8471285730258904</v>
          </cell>
        </row>
        <row r="297">
          <cell r="A297" t="str">
            <v>Radford</v>
          </cell>
          <cell r="B297">
            <v>-0.12553498969451032</v>
          </cell>
          <cell r="C297">
            <v>0.36307008063062568</v>
          </cell>
          <cell r="D297">
            <v>324</v>
          </cell>
          <cell r="E297">
            <v>-0.8203034684918733</v>
          </cell>
          <cell r="F297">
            <v>295</v>
          </cell>
          <cell r="G297">
            <v>-0.86609707347956433</v>
          </cell>
        </row>
        <row r="298">
          <cell r="A298" t="str">
            <v>Drexel</v>
          </cell>
          <cell r="B298">
            <v>-0.62249051246425324</v>
          </cell>
          <cell r="C298">
            <v>0.4046808393764964</v>
          </cell>
          <cell r="D298">
            <v>301</v>
          </cell>
          <cell r="E298">
            <v>-0.82035587457668835</v>
          </cell>
          <cell r="F298">
            <v>296</v>
          </cell>
          <cell r="G298">
            <v>-0.86615243242352324</v>
          </cell>
        </row>
        <row r="299">
          <cell r="A299" t="str">
            <v>NJIT</v>
          </cell>
          <cell r="B299">
            <v>-1.4722874066145455</v>
          </cell>
          <cell r="C299">
            <v>0.4743302983419031</v>
          </cell>
          <cell r="D299">
            <v>248</v>
          </cell>
          <cell r="E299">
            <v>-0.82583650359513583</v>
          </cell>
          <cell r="F299">
            <v>297</v>
          </cell>
          <cell r="G299">
            <v>-0.87194187148889768</v>
          </cell>
        </row>
        <row r="300">
          <cell r="A300" t="str">
            <v>Wofford</v>
          </cell>
          <cell r="B300">
            <v>-0.3694900213924564</v>
          </cell>
          <cell r="C300">
            <v>0.37656780832316628</v>
          </cell>
          <cell r="D300">
            <v>318</v>
          </cell>
          <cell r="E300">
            <v>-0.84514614111718689</v>
          </cell>
          <cell r="F300">
            <v>298</v>
          </cell>
          <cell r="G300">
            <v>-0.89233952464733945</v>
          </cell>
        </row>
        <row r="301">
          <cell r="A301" t="str">
            <v>Long Beach State</v>
          </cell>
          <cell r="B301">
            <v>-0.28331314826083864</v>
          </cell>
          <cell r="C301">
            <v>0.36856704780107508</v>
          </cell>
          <cell r="D301">
            <v>321</v>
          </cell>
          <cell r="E301">
            <v>-0.84794882556990658</v>
          </cell>
          <cell r="F301">
            <v>299</v>
          </cell>
          <cell r="G301">
            <v>-0.89530012840356477</v>
          </cell>
        </row>
        <row r="302">
          <cell r="A302" t="str">
            <v>New Haven</v>
          </cell>
          <cell r="B302">
            <v>-1.4178030121421465</v>
          </cell>
          <cell r="C302">
            <v>0.46333145469646664</v>
          </cell>
          <cell r="D302">
            <v>254</v>
          </cell>
          <cell r="E302">
            <v>-0.84888494953880989</v>
          </cell>
          <cell r="F302">
            <v>300</v>
          </cell>
          <cell r="G302">
            <v>-0.89628899896155367</v>
          </cell>
        </row>
        <row r="303">
          <cell r="A303" t="str">
            <v>Texas A&amp;M-CC</v>
          </cell>
          <cell r="B303">
            <v>0.17531977099697613</v>
          </cell>
          <cell r="C303">
            <v>0.32986712657880385</v>
          </cell>
          <cell r="D303">
            <v>336</v>
          </cell>
          <cell r="E303">
            <v>-0.84896766391188705</v>
          </cell>
          <cell r="F303">
            <v>301</v>
          </cell>
          <cell r="G303">
            <v>-0.89637637393642411</v>
          </cell>
        </row>
        <row r="304">
          <cell r="A304" t="str">
            <v>UC Riverside</v>
          </cell>
          <cell r="B304">
            <v>-0.46962637636214905</v>
          </cell>
          <cell r="C304">
            <v>0.38273646014277851</v>
          </cell>
          <cell r="D304">
            <v>314</v>
          </cell>
          <cell r="E304">
            <v>-0.8530932326968067</v>
          </cell>
          <cell r="F304">
            <v>302</v>
          </cell>
          <cell r="G304">
            <v>-0.90073440090922385</v>
          </cell>
        </row>
        <row r="305">
          <cell r="A305" t="str">
            <v>Albany</v>
          </cell>
          <cell r="B305">
            <v>-1.0305680667173598</v>
          </cell>
          <cell r="C305">
            <v>0.42440121885021109</v>
          </cell>
          <cell r="D305">
            <v>289</v>
          </cell>
          <cell r="E305">
            <v>-0.87214808129315846</v>
          </cell>
          <cell r="F305">
            <v>303</v>
          </cell>
          <cell r="G305">
            <v>-0.92086290887376487</v>
          </cell>
        </row>
        <row r="306">
          <cell r="A306" t="str">
            <v>The Citadel</v>
          </cell>
          <cell r="B306">
            <v>-0.90343434756623364</v>
          </cell>
          <cell r="C306">
            <v>0.4110772424067578</v>
          </cell>
          <cell r="D306">
            <v>299</v>
          </cell>
          <cell r="E306">
            <v>-0.88172949012602619</v>
          </cell>
          <cell r="F306">
            <v>304</v>
          </cell>
          <cell r="G306">
            <v>-0.93098418918878278</v>
          </cell>
        </row>
        <row r="307">
          <cell r="A307" t="str">
            <v>James Madison</v>
          </cell>
          <cell r="B307">
            <v>-0.5764993708876307</v>
          </cell>
          <cell r="C307">
            <v>0.38178480159539524</v>
          </cell>
          <cell r="D307">
            <v>315</v>
          </cell>
          <cell r="E307">
            <v>-0.88856361777399395</v>
          </cell>
          <cell r="F307">
            <v>305</v>
          </cell>
          <cell r="G307">
            <v>-0.93820339075300552</v>
          </cell>
        </row>
        <row r="308">
          <cell r="A308" t="str">
            <v>North Florida</v>
          </cell>
          <cell r="B308">
            <v>-1.1459715307717986</v>
          </cell>
          <cell r="C308">
            <v>0.42387547466591086</v>
          </cell>
          <cell r="D308">
            <v>290</v>
          </cell>
          <cell r="E308">
            <v>-0.90865214050126286</v>
          </cell>
          <cell r="F308">
            <v>306</v>
          </cell>
          <cell r="G308">
            <v>-0.95942381597271109</v>
          </cell>
        </row>
        <row r="309">
          <cell r="A309" t="str">
            <v>Boston University</v>
          </cell>
          <cell r="B309">
            <v>-1.1472115655984927</v>
          </cell>
          <cell r="C309">
            <v>0.42349935147612905</v>
          </cell>
          <cell r="D309">
            <v>292</v>
          </cell>
          <cell r="E309">
            <v>-0.91037128422602076</v>
          </cell>
          <cell r="F309">
            <v>307</v>
          </cell>
          <cell r="G309">
            <v>-0.96123982610687742</v>
          </cell>
        </row>
        <row r="310">
          <cell r="A310" t="str">
            <v>Fairleigh Dickinson</v>
          </cell>
          <cell r="B310">
            <v>-1.3652659374248222</v>
          </cell>
          <cell r="C310">
            <v>0.4417410500222182</v>
          </cell>
          <cell r="D310">
            <v>280</v>
          </cell>
          <cell r="E310">
            <v>-0.91045262094790669</v>
          </cell>
          <cell r="F310">
            <v>308</v>
          </cell>
          <cell r="G310">
            <v>-0.96132574580579355</v>
          </cell>
        </row>
        <row r="311">
          <cell r="A311" t="str">
            <v>Weber State</v>
          </cell>
          <cell r="B311">
            <v>0.1455418662382463</v>
          </cell>
          <cell r="C311">
            <v>0.31453714749764344</v>
          </cell>
          <cell r="D311">
            <v>342</v>
          </cell>
          <cell r="E311">
            <v>-0.91280731475314381</v>
          </cell>
          <cell r="F311">
            <v>309</v>
          </cell>
          <cell r="G311">
            <v>-0.96381311655414181</v>
          </cell>
        </row>
        <row r="312">
          <cell r="A312" t="str">
            <v>UT Arlington</v>
          </cell>
          <cell r="B312">
            <v>0.27200487803287005</v>
          </cell>
          <cell r="C312">
            <v>0.30194765035095861</v>
          </cell>
          <cell r="D312">
            <v>346</v>
          </cell>
          <cell r="E312">
            <v>-0.91995930431731598</v>
          </cell>
          <cell r="F312">
            <v>310</v>
          </cell>
          <cell r="G312">
            <v>-0.97136809019651005</v>
          </cell>
        </row>
        <row r="313">
          <cell r="A313" t="str">
            <v>North Alabama</v>
          </cell>
          <cell r="B313">
            <v>-1.3395981580590053</v>
          </cell>
          <cell r="C313">
            <v>0.43157082821618931</v>
          </cell>
          <cell r="D313">
            <v>286</v>
          </cell>
          <cell r="E313">
            <v>-0.9391782363990282</v>
          </cell>
          <cell r="F313">
            <v>311</v>
          </cell>
          <cell r="G313">
            <v>-0.99166992705029555</v>
          </cell>
        </row>
        <row r="314">
          <cell r="A314" t="str">
            <v>Bucknell</v>
          </cell>
          <cell r="B314">
            <v>-1.4900716546612731</v>
          </cell>
          <cell r="C314">
            <v>0.44220180316840668</v>
          </cell>
          <cell r="D314">
            <v>277</v>
          </cell>
          <cell r="E314">
            <v>-0.94624408983661268</v>
          </cell>
          <cell r="F314">
            <v>312</v>
          </cell>
          <cell r="G314">
            <v>-0.99913391116308081</v>
          </cell>
        </row>
        <row r="315">
          <cell r="A315" t="str">
            <v>Binghamton</v>
          </cell>
          <cell r="B315">
            <v>-2.24964937721492</v>
          </cell>
          <cell r="C315">
            <v>0.50278628685981974</v>
          </cell>
          <cell r="D315">
            <v>231</v>
          </cell>
          <cell r="E315">
            <v>-0.95712633492018051</v>
          </cell>
          <cell r="F315">
            <v>313</v>
          </cell>
          <cell r="G315">
            <v>-1.0106293242979099</v>
          </cell>
        </row>
        <row r="316">
          <cell r="A316" t="str">
            <v>Georgia Southern</v>
          </cell>
          <cell r="B316">
            <v>-0.44565001027987872</v>
          </cell>
          <cell r="C316">
            <v>0.35084245529783309</v>
          </cell>
          <cell r="D316">
            <v>326</v>
          </cell>
          <cell r="E316">
            <v>-0.96013277761751947</v>
          </cell>
          <cell r="F316">
            <v>314</v>
          </cell>
          <cell r="G316">
            <v>-1.0138051672059407</v>
          </cell>
        </row>
        <row r="317">
          <cell r="A317" t="str">
            <v>South Carolina State</v>
          </cell>
          <cell r="B317">
            <v>-1.6759691726548958</v>
          </cell>
          <cell r="C317">
            <v>0.45237706995380822</v>
          </cell>
          <cell r="D317">
            <v>268</v>
          </cell>
          <cell r="E317">
            <v>-0.96556932673540785</v>
          </cell>
          <cell r="F317">
            <v>315</v>
          </cell>
          <cell r="G317">
            <v>-1.0195480426565484</v>
          </cell>
        </row>
        <row r="318">
          <cell r="A318" t="str">
            <v>Iona</v>
          </cell>
          <cell r="B318">
            <v>-1.2517180289562946</v>
          </cell>
          <cell r="C318">
            <v>0.41658580053262051</v>
          </cell>
          <cell r="D318">
            <v>295</v>
          </cell>
          <cell r="E318">
            <v>-0.96648498956291884</v>
          </cell>
          <cell r="F318">
            <v>316</v>
          </cell>
          <cell r="G318">
            <v>-1.0205152991751816</v>
          </cell>
        </row>
        <row r="319">
          <cell r="A319" t="str">
            <v>Lindenwood</v>
          </cell>
          <cell r="B319">
            <v>-0.38829224766505849</v>
          </cell>
          <cell r="C319">
            <v>0.34089511479589629</v>
          </cell>
          <cell r="D319">
            <v>330</v>
          </cell>
          <cell r="E319">
            <v>-0.97855312021673146</v>
          </cell>
          <cell r="F319">
            <v>317</v>
          </cell>
          <cell r="G319">
            <v>-1.0332634174692779</v>
          </cell>
        </row>
        <row r="320">
          <cell r="A320" t="str">
            <v>Incarnate Word</v>
          </cell>
          <cell r="B320">
            <v>-0.14573729731536511</v>
          </cell>
          <cell r="C320">
            <v>0.31278694295089471</v>
          </cell>
          <cell r="D320">
            <v>343</v>
          </cell>
          <cell r="E320">
            <v>-1.0064596450981738</v>
          </cell>
          <cell r="F320">
            <v>318</v>
          </cell>
          <cell r="G320">
            <v>-1.0627423558874147</v>
          </cell>
        </row>
        <row r="321">
          <cell r="A321" t="str">
            <v>Sacred Heart</v>
          </cell>
          <cell r="B321">
            <v>-1.6514720951343829</v>
          </cell>
          <cell r="C321">
            <v>0.43835258307825753</v>
          </cell>
          <cell r="D321">
            <v>283</v>
          </cell>
          <cell r="E321">
            <v>-1.0084506957027042</v>
          </cell>
          <cell r="F321">
            <v>319</v>
          </cell>
          <cell r="G321">
            <v>-1.0648455936931862</v>
          </cell>
        </row>
        <row r="322">
          <cell r="A322" t="str">
            <v>South Alabama</v>
          </cell>
          <cell r="B322">
            <v>-0.47485221163883629</v>
          </cell>
          <cell r="C322">
            <v>0.33403750669963173</v>
          </cell>
          <cell r="D322">
            <v>334</v>
          </cell>
          <cell r="E322">
            <v>-1.029082509280927</v>
          </cell>
          <cell r="F322">
            <v>320</v>
          </cell>
          <cell r="G322">
            <v>-1.0866399218838438</v>
          </cell>
        </row>
        <row r="323">
          <cell r="A323" t="str">
            <v>Chicago State</v>
          </cell>
          <cell r="B323">
            <v>-1.4431257090593632</v>
          </cell>
          <cell r="C323">
            <v>0.41509976957576222</v>
          </cell>
          <cell r="D323">
            <v>297</v>
          </cell>
          <cell r="E323">
            <v>-1.0292297033963975</v>
          </cell>
          <cell r="F323">
            <v>321</v>
          </cell>
          <cell r="G323">
            <v>-1.0867954097593102</v>
          </cell>
        </row>
        <row r="324">
          <cell r="A324" t="str">
            <v>Stonehill</v>
          </cell>
          <cell r="B324">
            <v>-1.6417481117771751</v>
          </cell>
          <cell r="C324">
            <v>0.42905059643008459</v>
          </cell>
          <cell r="D324">
            <v>287</v>
          </cell>
          <cell r="E324">
            <v>-1.0388497547688547</v>
          </cell>
          <cell r="F324">
            <v>322</v>
          </cell>
          <cell r="G324">
            <v>-1.0969575099560482</v>
          </cell>
        </row>
        <row r="325">
          <cell r="A325" t="str">
            <v>Northwestern State</v>
          </cell>
          <cell r="B325">
            <v>-0.62504247947811853</v>
          </cell>
          <cell r="C325">
            <v>0.33715081862005158</v>
          </cell>
          <cell r="D325">
            <v>331</v>
          </cell>
          <cell r="E325">
            <v>-1.0629888650753339</v>
          </cell>
          <cell r="F325">
            <v>323</v>
          </cell>
          <cell r="G325">
            <v>-1.1224567560720171</v>
          </cell>
        </row>
        <row r="326">
          <cell r="A326" t="str">
            <v>Northern Illinois</v>
          </cell>
          <cell r="B326">
            <v>-0.72070934513373974</v>
          </cell>
          <cell r="C326">
            <v>0.34343766092175637</v>
          </cell>
          <cell r="D326">
            <v>329</v>
          </cell>
          <cell r="E326">
            <v>-1.0691717955431166</v>
          </cell>
          <cell r="F326">
            <v>324</v>
          </cell>
          <cell r="G326">
            <v>-1.1289880682750852</v>
          </cell>
        </row>
        <row r="327">
          <cell r="A327" t="str">
            <v>Niagara</v>
          </cell>
          <cell r="B327">
            <v>-1.9001118454363595</v>
          </cell>
          <cell r="C327">
            <v>0.44196723213517719</v>
          </cell>
          <cell r="D327">
            <v>278</v>
          </cell>
          <cell r="E327">
            <v>-1.0700962932053244</v>
          </cell>
          <cell r="F327">
            <v>325</v>
          </cell>
          <cell r="G327">
            <v>-1.1299646574336322</v>
          </cell>
        </row>
        <row r="328">
          <cell r="A328" t="str">
            <v>Eastern Illinois</v>
          </cell>
          <cell r="B328">
            <v>-0.66314225461960952</v>
          </cell>
          <cell r="C328">
            <v>0.33440149379883727</v>
          </cell>
          <cell r="D328">
            <v>333</v>
          </cell>
          <cell r="E328">
            <v>-1.0842658558579297</v>
          </cell>
          <cell r="F328">
            <v>326</v>
          </cell>
          <cell r="G328">
            <v>-1.1449326144480814</v>
          </cell>
        </row>
        <row r="329">
          <cell r="A329" t="str">
            <v>Manhatten</v>
          </cell>
          <cell r="B329">
            <v>-1.7833149783795097</v>
          </cell>
          <cell r="C329">
            <v>0.42496773798127846</v>
          </cell>
          <cell r="D329">
            <v>288</v>
          </cell>
          <cell r="E329">
            <v>-1.0959430941167119</v>
          </cell>
          <cell r="F329">
            <v>327</v>
          </cell>
          <cell r="G329">
            <v>-1.1572678152295108</v>
          </cell>
        </row>
        <row r="330">
          <cell r="A330" t="str">
            <v>Southern</v>
          </cell>
          <cell r="B330">
            <v>-0.87494169935297028</v>
          </cell>
          <cell r="C330">
            <v>0.34391760881775957</v>
          </cell>
          <cell r="D330">
            <v>328</v>
          </cell>
          <cell r="E330">
            <v>-1.1137225070769017</v>
          </cell>
          <cell r="F330">
            <v>328</v>
          </cell>
          <cell r="G330">
            <v>-1.176049022204966</v>
          </cell>
        </row>
        <row r="331">
          <cell r="A331" t="str">
            <v>Coppin State</v>
          </cell>
          <cell r="B331">
            <v>-2.2430180179076911</v>
          </cell>
          <cell r="C331">
            <v>0.45507647764602555</v>
          </cell>
          <cell r="D331">
            <v>265</v>
          </cell>
          <cell r="E331">
            <v>-1.126015706648541</v>
          </cell>
          <cell r="F331">
            <v>329</v>
          </cell>
          <cell r="G331">
            <v>-1.1890348910895296</v>
          </cell>
        </row>
        <row r="332">
          <cell r="A332" t="str">
            <v>Lafayette</v>
          </cell>
          <cell r="B332">
            <v>-1.490092848033352</v>
          </cell>
          <cell r="C332">
            <v>0.39195182396758066</v>
          </cell>
          <cell r="D332">
            <v>309</v>
          </cell>
          <cell r="E332">
            <v>-1.1262271708380758</v>
          </cell>
          <cell r="F332">
            <v>330</v>
          </cell>
          <cell r="G332">
            <v>-1.1892582703833479</v>
          </cell>
        </row>
        <row r="333">
          <cell r="A333" t="str">
            <v>Alabama A&amp;M</v>
          </cell>
          <cell r="B333">
            <v>-1.5713405438288117</v>
          </cell>
          <cell r="C333">
            <v>0.39305863272109653</v>
          </cell>
          <cell r="D333">
            <v>307</v>
          </cell>
          <cell r="E333">
            <v>-1.1466373025640597</v>
          </cell>
          <cell r="F333">
            <v>331</v>
          </cell>
          <cell r="G333">
            <v>-1.2108184258958117</v>
          </cell>
        </row>
        <row r="334">
          <cell r="A334" t="str">
            <v>Holy Cross</v>
          </cell>
          <cell r="B334">
            <v>-1.573014525524649</v>
          </cell>
          <cell r="C334">
            <v>0.39236400789760645</v>
          </cell>
          <cell r="D334">
            <v>308</v>
          </cell>
          <cell r="E334">
            <v>-1.1496273846585852</v>
          </cell>
          <cell r="F334">
            <v>332</v>
          </cell>
          <cell r="G334">
            <v>-1.2139769863509082</v>
          </cell>
        </row>
        <row r="335">
          <cell r="A335" t="str">
            <v>North Carolina A&amp;T</v>
          </cell>
          <cell r="B335">
            <v>-0.74221457468035101</v>
          </cell>
          <cell r="C335">
            <v>0.31978123746076814</v>
          </cell>
          <cell r="D335">
            <v>341</v>
          </cell>
          <cell r="E335">
            <v>-1.1603518685752892</v>
          </cell>
          <cell r="F335">
            <v>333</v>
          </cell>
          <cell r="G335">
            <v>-1.2253057491506452</v>
          </cell>
        </row>
        <row r="336">
          <cell r="A336" t="str">
            <v>CSU Northridge</v>
          </cell>
          <cell r="B336">
            <v>-5.9439997994469945E-2</v>
          </cell>
          <cell r="C336">
            <v>0.26001639945910238</v>
          </cell>
          <cell r="D336">
            <v>356</v>
          </cell>
          <cell r="E336">
            <v>-1.1695749014547798</v>
          </cell>
          <cell r="F336">
            <v>334</v>
          </cell>
          <cell r="G336">
            <v>-1.2350484605573153</v>
          </cell>
        </row>
        <row r="337">
          <cell r="A337" t="str">
            <v>Alcorn State</v>
          </cell>
          <cell r="B337">
            <v>-2.2286694300083734</v>
          </cell>
          <cell r="C337">
            <v>0.44058236754348068</v>
          </cell>
          <cell r="D337">
            <v>282</v>
          </cell>
          <cell r="E337">
            <v>-1.1736236381125216</v>
          </cell>
          <cell r="F337">
            <v>335</v>
          </cell>
          <cell r="G337">
            <v>-1.2393253262405877</v>
          </cell>
        </row>
        <row r="338">
          <cell r="A338" t="str">
            <v>Prairie View A&amp;M</v>
          </cell>
          <cell r="B338">
            <v>-1.3256940651147915</v>
          </cell>
          <cell r="C338">
            <v>0.36405379169181157</v>
          </cell>
          <cell r="D338">
            <v>323</v>
          </cell>
          <cell r="E338">
            <v>-1.1768279042235787</v>
          </cell>
          <cell r="F338">
            <v>336</v>
          </cell>
          <cell r="G338">
            <v>-1.2427101390671389</v>
          </cell>
        </row>
        <row r="339">
          <cell r="A339" t="str">
            <v>CSU Bakersfield</v>
          </cell>
          <cell r="B339">
            <v>-0.88012939321061623</v>
          </cell>
          <cell r="C339">
            <v>0.32512895524184926</v>
          </cell>
          <cell r="D339">
            <v>340</v>
          </cell>
          <cell r="E339">
            <v>-1.1825727794061862</v>
          </cell>
          <cell r="F339">
            <v>337</v>
          </cell>
          <cell r="G339">
            <v>-1.2487787134398867</v>
          </cell>
        </row>
        <row r="340">
          <cell r="A340" t="str">
            <v>South Carolina Upstate</v>
          </cell>
          <cell r="B340">
            <v>-0.48164443855409089</v>
          </cell>
          <cell r="C340">
            <v>0.28625137628574759</v>
          </cell>
          <cell r="D340">
            <v>348</v>
          </cell>
          <cell r="E340">
            <v>-1.2022723110088163</v>
          </cell>
          <cell r="F340">
            <v>338</v>
          </cell>
          <cell r="G340">
            <v>-1.2695882295457865</v>
          </cell>
        </row>
        <row r="341">
          <cell r="A341" t="str">
            <v>Campbell</v>
          </cell>
          <cell r="B341">
            <v>-9.0323665391210273E-3</v>
          </cell>
          <cell r="C341">
            <v>0.24075000000000002</v>
          </cell>
          <cell r="D341">
            <v>357</v>
          </cell>
          <cell r="E341">
            <v>-1.2234576841318261</v>
          </cell>
          <cell r="F341">
            <v>339</v>
          </cell>
          <cell r="G341">
            <v>-1.291967307998287</v>
          </cell>
        </row>
        <row r="342">
          <cell r="A342" t="str">
            <v>Gardner-Webb</v>
          </cell>
          <cell r="B342">
            <v>-1.3657415817689351</v>
          </cell>
          <cell r="C342">
            <v>0.35406968035899966</v>
          </cell>
          <cell r="D342">
            <v>325</v>
          </cell>
          <cell r="E342">
            <v>-1.2246015300339628</v>
          </cell>
          <cell r="F342">
            <v>340</v>
          </cell>
          <cell r="G342">
            <v>-1.2931756047336269</v>
          </cell>
        </row>
        <row r="343">
          <cell r="A343" t="str">
            <v>UMBC</v>
          </cell>
          <cell r="B343">
            <v>-0.93454431757345724</v>
          </cell>
          <cell r="C343">
            <v>0.31085902822050876</v>
          </cell>
          <cell r="D343">
            <v>344</v>
          </cell>
          <cell r="E343">
            <v>-1.2500068241904974</v>
          </cell>
          <cell r="F343">
            <v>341</v>
          </cell>
          <cell r="G343">
            <v>-1.3200123787539264</v>
          </cell>
        </row>
        <row r="344">
          <cell r="A344" t="str">
            <v>Wagner</v>
          </cell>
          <cell r="B344">
            <v>-1.2786418147062397</v>
          </cell>
          <cell r="C344">
            <v>0.33544493921111901</v>
          </cell>
          <cell r="D344">
            <v>332</v>
          </cell>
          <cell r="E344">
            <v>-1.2651784907764039</v>
          </cell>
          <cell r="F344">
            <v>342</v>
          </cell>
          <cell r="G344">
            <v>-1.33603890398007</v>
          </cell>
        </row>
        <row r="345">
          <cell r="A345" t="str">
            <v>Air Force</v>
          </cell>
          <cell r="B345">
            <v>-0.98858764036486735</v>
          </cell>
          <cell r="C345">
            <v>0.30000000000000004</v>
          </cell>
          <cell r="D345">
            <v>347</v>
          </cell>
          <cell r="E345">
            <v>-1.3051128184990364</v>
          </cell>
          <cell r="F345">
            <v>343</v>
          </cell>
          <cell r="G345">
            <v>-1.3782233605796097</v>
          </cell>
        </row>
        <row r="346">
          <cell r="A346" t="str">
            <v>Jackson State</v>
          </cell>
          <cell r="B346">
            <v>-2.0139477078642383</v>
          </cell>
          <cell r="C346">
            <v>0.38549519826171508</v>
          </cell>
          <cell r="D346">
            <v>312</v>
          </cell>
          <cell r="E346">
            <v>-1.3065088589783733</v>
          </cell>
          <cell r="F346">
            <v>344</v>
          </cell>
          <cell r="G346">
            <v>-1.3796980619798893</v>
          </cell>
        </row>
        <row r="347">
          <cell r="A347" t="str">
            <v>Louisiana Tech</v>
          </cell>
          <cell r="B347">
            <v>0.24426621829907844</v>
          </cell>
          <cell r="C347">
            <v>0.18442512026480934</v>
          </cell>
          <cell r="D347">
            <v>361</v>
          </cell>
          <cell r="E347">
            <v>-1.3492028643709675</v>
          </cell>
          <cell r="F347">
            <v>345</v>
          </cell>
          <cell r="G347">
            <v>-1.4247976923042951</v>
          </cell>
        </row>
        <row r="348">
          <cell r="A348" t="str">
            <v>Grambling</v>
          </cell>
          <cell r="B348">
            <v>-1.4944117977791533</v>
          </cell>
          <cell r="C348">
            <v>0.32653543358451775</v>
          </cell>
          <cell r="D348">
            <v>337</v>
          </cell>
          <cell r="E348">
            <v>-1.3618200188295808</v>
          </cell>
          <cell r="F348">
            <v>346</v>
          </cell>
          <cell r="G348">
            <v>-1.4381257695506642</v>
          </cell>
        </row>
        <row r="349">
          <cell r="A349" t="str">
            <v>Rider</v>
          </cell>
          <cell r="B349">
            <v>-1.9873846775500879</v>
          </cell>
          <cell r="C349">
            <v>0.36736330360105762</v>
          </cell>
          <cell r="D349">
            <v>322</v>
          </cell>
          <cell r="E349">
            <v>-1.3634816480603624</v>
          </cell>
          <cell r="F349">
            <v>347</v>
          </cell>
          <cell r="G349">
            <v>-1.4398810244946634</v>
          </cell>
        </row>
        <row r="350">
          <cell r="A350" t="str">
            <v>Delaware State</v>
          </cell>
          <cell r="B350">
            <v>-2.2058346108390943</v>
          </cell>
          <cell r="C350">
            <v>0.37992733558385211</v>
          </cell>
          <cell r="D350">
            <v>316</v>
          </cell>
          <cell r="E350">
            <v>-1.3840169416836976</v>
          </cell>
          <cell r="F350">
            <v>348</v>
          </cell>
          <cell r="G350">
            <v>-1.4615733942430449</v>
          </cell>
        </row>
        <row r="351">
          <cell r="A351" t="str">
            <v>Florida A&amp;M</v>
          </cell>
          <cell r="B351">
            <v>-1.6561328282356698</v>
          </cell>
          <cell r="C351">
            <v>0.326062785222555</v>
          </cell>
          <cell r="D351">
            <v>338</v>
          </cell>
          <cell r="E351">
            <v>-1.4120291784843957</v>
          </cell>
          <cell r="F351">
            <v>349</v>
          </cell>
          <cell r="G351">
            <v>-1.4911640009957752</v>
          </cell>
        </row>
        <row r="352">
          <cell r="A352" t="str">
            <v>Norfolk State</v>
          </cell>
          <cell r="B352">
            <v>-1.1022507404901996</v>
          </cell>
          <cell r="C352">
            <v>0.27032372686205264</v>
          </cell>
          <cell r="D352">
            <v>353</v>
          </cell>
          <cell r="E352">
            <v>-1.4455011137237042</v>
          </cell>
          <cell r="F352">
            <v>350</v>
          </cell>
          <cell r="G352">
            <v>-1.5265219368852272</v>
          </cell>
        </row>
        <row r="353">
          <cell r="A353" t="str">
            <v>Western Illinois</v>
          </cell>
          <cell r="B353">
            <v>-1.3842170985485931</v>
          </cell>
          <cell r="C353">
            <v>0.28454074021850823</v>
          </cell>
          <cell r="D353">
            <v>349</v>
          </cell>
          <cell r="E353">
            <v>-1.4791709707194778</v>
          </cell>
          <cell r="F353">
            <v>351</v>
          </cell>
          <cell r="G353">
            <v>-1.5620889465771406</v>
          </cell>
        </row>
        <row r="354">
          <cell r="A354" t="str">
            <v>Canisius</v>
          </cell>
          <cell r="B354">
            <v>-1.8857605535334339</v>
          </cell>
          <cell r="C354">
            <v>0.32550031422326581</v>
          </cell>
          <cell r="D354">
            <v>339</v>
          </cell>
          <cell r="E354">
            <v>-1.4829320578474585</v>
          </cell>
          <cell r="F354">
            <v>352</v>
          </cell>
          <cell r="G354">
            <v>-1.5660619549077022</v>
          </cell>
        </row>
        <row r="355">
          <cell r="A355" t="str">
            <v>North Carolina Central</v>
          </cell>
          <cell r="B355">
            <v>-1.4221941204026345</v>
          </cell>
          <cell r="C355">
            <v>0.28150948581914698</v>
          </cell>
          <cell r="D355">
            <v>351</v>
          </cell>
          <cell r="E355">
            <v>-1.5014209023335723</v>
          </cell>
          <cell r="F355">
            <v>353</v>
          </cell>
          <cell r="G355">
            <v>-1.5855925668468152</v>
          </cell>
        </row>
        <row r="356">
          <cell r="A356" t="str">
            <v>Morehead State</v>
          </cell>
          <cell r="B356">
            <v>-0.52169089491445952</v>
          </cell>
          <cell r="C356">
            <v>0.18931952231515442</v>
          </cell>
          <cell r="D356">
            <v>360</v>
          </cell>
          <cell r="E356">
            <v>-1.5614600718350518</v>
          </cell>
          <cell r="F356">
            <v>354</v>
          </cell>
          <cell r="G356">
            <v>-1.6490146872265246</v>
          </cell>
        </row>
        <row r="357">
          <cell r="A357" t="str">
            <v>Texas Southern</v>
          </cell>
          <cell r="B357">
            <v>-1.5368030299402002</v>
          </cell>
          <cell r="C357">
            <v>0.26806377005725968</v>
          </cell>
          <cell r="D357">
            <v>355</v>
          </cell>
          <cell r="E357">
            <v>-1.5839611247015994</v>
          </cell>
          <cell r="F357">
            <v>355</v>
          </cell>
          <cell r="G357">
            <v>-1.6727835783591247</v>
          </cell>
        </row>
        <row r="358">
          <cell r="A358" t="str">
            <v>Morgan State</v>
          </cell>
          <cell r="B358">
            <v>-1.5499860443827158</v>
          </cell>
          <cell r="C358">
            <v>0.26835824842258382</v>
          </cell>
          <cell r="D358">
            <v>354</v>
          </cell>
          <cell r="E358">
            <v>-1.5868613171314769</v>
          </cell>
          <cell r="F358">
            <v>356</v>
          </cell>
          <cell r="G358">
            <v>-1.6758471842507332</v>
          </cell>
        </row>
        <row r="359">
          <cell r="A359" t="str">
            <v>Maine</v>
          </cell>
          <cell r="B359">
            <v>-1.7795955220596993</v>
          </cell>
          <cell r="C359">
            <v>0.28276125084484516</v>
          </cell>
          <cell r="D359">
            <v>350</v>
          </cell>
          <cell r="E359">
            <v>-1.6041579664022627</v>
          </cell>
          <cell r="F359">
            <v>357</v>
          </cell>
          <cell r="G359">
            <v>-1.694118425863933</v>
          </cell>
        </row>
        <row r="360">
          <cell r="A360" t="str">
            <v>Siena</v>
          </cell>
          <cell r="B360">
            <v>-1.1179461888751572</v>
          </cell>
          <cell r="C360">
            <v>0.21791478532754169</v>
          </cell>
          <cell r="D360">
            <v>359</v>
          </cell>
          <cell r="E360">
            <v>-1.6379190707654843</v>
          </cell>
          <cell r="F360">
            <v>358</v>
          </cell>
          <cell r="G360">
            <v>-1.7297818243228908</v>
          </cell>
        </row>
        <row r="361">
          <cell r="A361" t="str">
            <v>Idaho State</v>
          </cell>
          <cell r="B361">
            <v>-8.4668349205564222E-3</v>
          </cell>
          <cell r="C361">
            <v>0.12371242220963394</v>
          </cell>
          <cell r="D361">
            <v>364</v>
          </cell>
          <cell r="E361">
            <v>-1.6424730681503592</v>
          </cell>
          <cell r="F361">
            <v>359</v>
          </cell>
          <cell r="G361">
            <v>-1.7345924200181777</v>
          </cell>
        </row>
        <row r="362">
          <cell r="A362" t="str">
            <v>UL Monroe</v>
          </cell>
          <cell r="B362">
            <v>-1.8022105555974404</v>
          </cell>
          <cell r="C362">
            <v>0.27316499114133796</v>
          </cell>
          <cell r="D362">
            <v>352</v>
          </cell>
          <cell r="E362">
            <v>-1.6453127070958056</v>
          </cell>
          <cell r="F362">
            <v>360</v>
          </cell>
          <cell r="G362">
            <v>-1.7375920604950263</v>
          </cell>
        </row>
        <row r="363">
          <cell r="A363" t="str">
            <v>Alabama State</v>
          </cell>
          <cell r="B363">
            <v>-1.5350445929420353</v>
          </cell>
          <cell r="C363">
            <v>0.21885929168790808</v>
          </cell>
          <cell r="D363">
            <v>358</v>
          </cell>
          <cell r="E363">
            <v>-1.7596657217379319</v>
          </cell>
          <cell r="F363">
            <v>361</v>
          </cell>
          <cell r="G363">
            <v>-1.8583883793088116</v>
          </cell>
        </row>
        <row r="364">
          <cell r="A364" t="str">
            <v>Mississippi Valley State</v>
          </cell>
          <cell r="B364">
            <v>-2.6235220396516876</v>
          </cell>
          <cell r="C364">
            <v>0.30387860735183858</v>
          </cell>
          <cell r="D364">
            <v>345</v>
          </cell>
          <cell r="E364">
            <v>-1.7817014103271784</v>
          </cell>
          <cell r="F364">
            <v>362</v>
          </cell>
          <cell r="G364">
            <v>-1.8816656848738484</v>
          </cell>
        </row>
        <row r="365">
          <cell r="A365" t="str">
            <v>Arkansas-Pine Bluff</v>
          </cell>
          <cell r="B365">
            <v>-1.4699679456231247</v>
          </cell>
          <cell r="C365">
            <v>0.17174935596456384</v>
          </cell>
          <cell r="D365">
            <v>363</v>
          </cell>
          <cell r="E365">
            <v>-1.9088729834865255</v>
          </cell>
          <cell r="F365">
            <v>363</v>
          </cell>
          <cell r="G365">
            <v>-2.016002833251465</v>
          </cell>
        </row>
        <row r="366">
          <cell r="A366" t="str">
            <v>Maryland-Eastern Shore</v>
          </cell>
          <cell r="B366">
            <v>-1.7325136948454389</v>
          </cell>
          <cell r="C366">
            <v>0.17614585982227465</v>
          </cell>
          <cell r="D366">
            <v>362</v>
          </cell>
          <cell r="E366">
            <v>-1.9718900677668496</v>
          </cell>
          <cell r="F366">
            <v>364</v>
          </cell>
          <cell r="G366">
            <v>-2.0825706611942971</v>
          </cell>
        </row>
        <row r="367">
          <cell r="A367" t="str">
            <v>West Florida</v>
          </cell>
          <cell r="B367">
            <v>-2</v>
          </cell>
          <cell r="C367">
            <v>0.1</v>
          </cell>
          <cell r="D367">
            <v>365</v>
          </cell>
          <cell r="E367">
            <v>-2.3248620885178921</v>
          </cell>
          <cell r="F367">
            <v>365</v>
          </cell>
          <cell r="G367">
            <v>-2.4554311483832523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TeamRtg"/>
    </sheetNames>
    <sheetDataSet>
      <sheetData sheetId="0"/>
      <sheetData sheetId="1">
        <row r="2">
          <cell r="A2" t="str">
            <v>Florida</v>
          </cell>
          <cell r="B2">
            <v>2.7072115318255499</v>
          </cell>
          <cell r="C2" t="str">
            <v>Veteran, returning starters, big man edge, elite coach, poor shooting, elite rebounding</v>
          </cell>
          <cell r="D2">
            <v>2.5</v>
          </cell>
          <cell r="E2">
            <v>3.9</v>
          </cell>
        </row>
        <row r="3">
          <cell r="A3" t="str">
            <v>Duke</v>
          </cell>
          <cell r="B3">
            <v>2.5534949585769553</v>
          </cell>
          <cell r="C3" t="str">
            <v>Defensive edge, big man edge, freshmen, roster fit, elite rebounding, no PG</v>
          </cell>
          <cell r="D3">
            <v>1.0029999999999999</v>
          </cell>
          <cell r="E3">
            <v>3.9</v>
          </cell>
        </row>
        <row r="4">
          <cell r="A4" t="str">
            <v>Illinois</v>
          </cell>
          <cell r="B4">
            <v>2.4385769242182698</v>
          </cell>
          <cell r="C4" t="str">
            <v>Big man edge, veteran, elite guard play, elite shooting</v>
          </cell>
          <cell r="D4">
            <v>2.3889999999999998</v>
          </cell>
          <cell r="E4">
            <v>3.9</v>
          </cell>
        </row>
        <row r="5">
          <cell r="A5" t="str">
            <v>Houston</v>
          </cell>
          <cell r="B5">
            <v>2.3715788616021056</v>
          </cell>
          <cell r="C5" t="str">
            <v>Defensive edge, elite defence, elite rebounding, elite coach, poor shooting, battle tested, deep roster, transfer heavy</v>
          </cell>
          <cell r="D5">
            <v>2.1720000000000002</v>
          </cell>
          <cell r="E5">
            <v>3.7719999999999998</v>
          </cell>
        </row>
        <row r="6">
          <cell r="A6" t="str">
            <v>Gonzaga</v>
          </cell>
          <cell r="B6">
            <v>2.3681732486219933</v>
          </cell>
          <cell r="C6" t="str">
            <v>Athletes, roster fit, elite rebounding, elite coach, roster fit, big man edge, eligibility risk</v>
          </cell>
          <cell r="D6">
            <v>1.1180000000000001</v>
          </cell>
          <cell r="E6">
            <v>3.9</v>
          </cell>
        </row>
        <row r="7">
          <cell r="A7" t="str">
            <v>UConn</v>
          </cell>
          <cell r="B7">
            <v>2.2701806292898912</v>
          </cell>
          <cell r="C7" t="str">
            <v>Elite coach, roster fit, big man edge, defensive edge</v>
          </cell>
          <cell r="D7">
            <v>1.57</v>
          </cell>
          <cell r="E7">
            <v>3.9</v>
          </cell>
        </row>
        <row r="8">
          <cell r="A8" t="str">
            <v>Arizona</v>
          </cell>
          <cell r="B8">
            <v>2.257510504308081</v>
          </cell>
          <cell r="C8" t="str">
            <v>Big man edge, elite coach</v>
          </cell>
          <cell r="D8">
            <v>1.958</v>
          </cell>
          <cell r="E8">
            <v>3.6080000000000001</v>
          </cell>
        </row>
        <row r="9">
          <cell r="A9" t="str">
            <v>Texas</v>
          </cell>
          <cell r="B9">
            <v>2.1752504414944926</v>
          </cell>
          <cell r="C9" t="str">
            <v>Transfer heavy, big man edge, defensive edge, elite rebounding, untested</v>
          </cell>
          <cell r="D9">
            <v>1.125</v>
          </cell>
          <cell r="E9">
            <v>3.9</v>
          </cell>
        </row>
        <row r="10">
          <cell r="A10" t="str">
            <v>Michigan State</v>
          </cell>
          <cell r="B10">
            <v>2.1153940882886539</v>
          </cell>
          <cell r="C10" t="str">
            <v>Elite coach, veteran, poor shooting</v>
          </cell>
          <cell r="D10">
            <v>2.0649999999999999</v>
          </cell>
          <cell r="E10">
            <v>2.665</v>
          </cell>
        </row>
        <row r="11">
          <cell r="A11" t="str">
            <v>Alabama</v>
          </cell>
          <cell r="B11">
            <v>2.108959144091954</v>
          </cell>
          <cell r="C11" t="str">
            <v>elite shooting, elite guard play, elite coach, freshmen, thin bench, athletes, no rim protection</v>
          </cell>
          <cell r="D11">
            <v>1.159</v>
          </cell>
          <cell r="E11">
            <v>3.9</v>
          </cell>
        </row>
        <row r="12">
          <cell r="A12" t="str">
            <v>Vanderbilt</v>
          </cell>
          <cell r="B12">
            <v>1.9337632816406789</v>
          </cell>
          <cell r="C12" t="str">
            <v>elite coach, elite guard play, thin bench</v>
          </cell>
          <cell r="D12">
            <v>1.784</v>
          </cell>
          <cell r="E12">
            <v>2.9340000000000002</v>
          </cell>
        </row>
        <row r="13">
          <cell r="A13" t="str">
            <v>Michigan</v>
          </cell>
          <cell r="B13">
            <v>1.9288572415796723</v>
          </cell>
          <cell r="C13" t="str">
            <v>new coach, chemistry questions</v>
          </cell>
          <cell r="D13">
            <v>0.97899999999999998</v>
          </cell>
          <cell r="E13">
            <v>2.4790000000000001</v>
          </cell>
        </row>
        <row r="14">
          <cell r="A14" t="str">
            <v>Kansas</v>
          </cell>
          <cell r="B14">
            <v>1.9136027354561493</v>
          </cell>
          <cell r="C14" t="str">
            <v>High risk, roster fit, elite guard play</v>
          </cell>
          <cell r="D14">
            <v>1.1140000000000001</v>
          </cell>
          <cell r="E14">
            <v>3.3639999999999999</v>
          </cell>
        </row>
        <row r="15">
          <cell r="A15" t="str">
            <v>Virginia</v>
          </cell>
          <cell r="B15">
            <v>1.9106419724457366</v>
          </cell>
          <cell r="C15" t="str">
            <v>Thin bench, returning starters</v>
          </cell>
          <cell r="D15">
            <v>1.4610000000000001</v>
          </cell>
          <cell r="E15">
            <v>2.2610000000000001</v>
          </cell>
        </row>
        <row r="16">
          <cell r="A16" t="str">
            <v>Texas Tech</v>
          </cell>
          <cell r="B16">
            <v>1.8907836320222451</v>
          </cell>
          <cell r="C16" t="str">
            <v>Thin bench, high risk, injury concern, elite coach, no shooting</v>
          </cell>
          <cell r="D16">
            <v>9.0999999999999998E-2</v>
          </cell>
          <cell r="E16">
            <v>2.9910000000000001</v>
          </cell>
        </row>
        <row r="17">
          <cell r="A17" t="str">
            <v>Arkansas</v>
          </cell>
          <cell r="B17">
            <v>1.8901599040877128</v>
          </cell>
          <cell r="C17" t="str">
            <v>athletes, freshmen, chemistry questions</v>
          </cell>
          <cell r="D17">
            <v>0.74</v>
          </cell>
          <cell r="E17">
            <v>3.04</v>
          </cell>
        </row>
        <row r="18">
          <cell r="A18" t="str">
            <v>Nebraska</v>
          </cell>
          <cell r="B18">
            <v>1.8824751662496515</v>
          </cell>
          <cell r="C18" t="str">
            <v>roster fit, elite shooting, returning starters</v>
          </cell>
          <cell r="D18">
            <v>1.6819999999999999</v>
          </cell>
          <cell r="E18">
            <v>3.1320000000000001</v>
          </cell>
        </row>
        <row r="19">
          <cell r="A19" t="str">
            <v>Georgia</v>
          </cell>
          <cell r="B19">
            <v>1.8615184677396033</v>
          </cell>
          <cell r="C19" t="str">
            <v>athletes, roster fit</v>
          </cell>
          <cell r="D19">
            <v>1.1120000000000001</v>
          </cell>
          <cell r="E19">
            <v>3.1120000000000001</v>
          </cell>
        </row>
        <row r="20">
          <cell r="A20" t="str">
            <v>Kentucky</v>
          </cell>
          <cell r="B20">
            <v>1.8588872507032237</v>
          </cell>
          <cell r="C20" t="str">
            <v>elite shooting, roster fit, chemistry questions</v>
          </cell>
          <cell r="D20">
            <v>1.159</v>
          </cell>
          <cell r="E20">
            <v>3.1589999999999998</v>
          </cell>
        </row>
        <row r="21">
          <cell r="A21" t="str">
            <v>Iowa State</v>
          </cell>
          <cell r="B21">
            <v>1.8100684914515035</v>
          </cell>
          <cell r="C21" t="str">
            <v>elite defence</v>
          </cell>
          <cell r="D21">
            <v>1.51</v>
          </cell>
          <cell r="E21">
            <v>2.2599999999999998</v>
          </cell>
        </row>
        <row r="22">
          <cell r="A22" t="str">
            <v>Tennessee</v>
          </cell>
          <cell r="B22">
            <v>1.7976451934539073</v>
          </cell>
          <cell r="C22" t="str">
            <v>transfer heavy, chemistry questions, no rim protection</v>
          </cell>
          <cell r="D22">
            <v>0.64800000000000002</v>
          </cell>
          <cell r="E22">
            <v>2.4980000000000002</v>
          </cell>
        </row>
        <row r="23">
          <cell r="A23" t="str">
            <v>Louisville</v>
          </cell>
          <cell r="B23">
            <v>1.7970545793877815</v>
          </cell>
          <cell r="C23" t="str">
            <v>transfer heavy, bad coach, high risk</v>
          </cell>
          <cell r="D23">
            <v>0.247</v>
          </cell>
          <cell r="E23">
            <v>2.4969999999999999</v>
          </cell>
        </row>
        <row r="24">
          <cell r="A24" t="str">
            <v>Villanova</v>
          </cell>
          <cell r="B24">
            <v>1.7647567283128143</v>
          </cell>
          <cell r="C24" t="str">
            <v>roster fit, elite rebounding</v>
          </cell>
          <cell r="D24">
            <v>1.415</v>
          </cell>
          <cell r="E24">
            <v>2.8149999999999999</v>
          </cell>
        </row>
        <row r="25">
          <cell r="A25" t="str">
            <v>BYU</v>
          </cell>
          <cell r="B25">
            <v>1.7395282860626655</v>
          </cell>
          <cell r="C25" t="str">
            <v>elite shooting, roster fit</v>
          </cell>
          <cell r="D25">
            <v>1.34</v>
          </cell>
          <cell r="E25">
            <v>3.04</v>
          </cell>
        </row>
        <row r="26">
          <cell r="A26" t="str">
            <v>St. John's</v>
          </cell>
          <cell r="B26">
            <v>1.7140972169328756</v>
          </cell>
          <cell r="C26" t="str">
            <v>high risk, elite coach, elite defence</v>
          </cell>
          <cell r="D26">
            <v>1.214</v>
          </cell>
          <cell r="E26">
            <v>2.6640000000000001</v>
          </cell>
        </row>
        <row r="27">
          <cell r="A27" t="str">
            <v>Southern California</v>
          </cell>
          <cell r="B27">
            <v>1.6891132498804788</v>
          </cell>
          <cell r="C27" t="str">
            <v>transfer heavy, high risk, untested, chemistry questions, defensive edge, athletes</v>
          </cell>
          <cell r="D27">
            <v>-0.26100000000000001</v>
          </cell>
          <cell r="E27">
            <v>3.339</v>
          </cell>
        </row>
        <row r="28">
          <cell r="A28" t="str">
            <v>Miami</v>
          </cell>
          <cell r="B28">
            <v>1.6627120101940653</v>
          </cell>
          <cell r="C28" t="str">
            <v>no shooting, elite guard play</v>
          </cell>
          <cell r="D28">
            <v>1.113</v>
          </cell>
          <cell r="E28">
            <v>2.7130000000000001</v>
          </cell>
        </row>
        <row r="29">
          <cell r="A29" t="str">
            <v>UCLA</v>
          </cell>
          <cell r="B29">
            <v>1.6471853557046638</v>
          </cell>
          <cell r="C29" t="str">
            <v>defensive edge, international transfers</v>
          </cell>
          <cell r="D29">
            <v>0.89700000000000002</v>
          </cell>
          <cell r="E29">
            <v>2.6469999999999998</v>
          </cell>
        </row>
        <row r="30">
          <cell r="A30" t="str">
            <v>Baylor</v>
          </cell>
          <cell r="B30">
            <v>1.6423570532625884</v>
          </cell>
          <cell r="C30" t="str">
            <v>athletes, chemistry questions</v>
          </cell>
          <cell r="D30">
            <v>0.79200000000000004</v>
          </cell>
          <cell r="E30">
            <v>2.3919999999999999</v>
          </cell>
        </row>
        <row r="31">
          <cell r="A31" t="str">
            <v>Purdue</v>
          </cell>
          <cell r="B31">
            <v>1.6256873623051904</v>
          </cell>
          <cell r="C31" t="str">
            <v>elite coach</v>
          </cell>
          <cell r="D31">
            <v>1.6259999999999999</v>
          </cell>
          <cell r="E31">
            <v>2.3759999999999999</v>
          </cell>
        </row>
        <row r="32">
          <cell r="A32" t="str">
            <v>Ohio State</v>
          </cell>
          <cell r="B32">
            <v>1.6234522869088932</v>
          </cell>
          <cell r="C32" t="str">
            <v>elite shooting</v>
          </cell>
          <cell r="D32">
            <v>1.423</v>
          </cell>
          <cell r="E32">
            <v>2.423</v>
          </cell>
        </row>
        <row r="33">
          <cell r="A33" t="str">
            <v>Wisconsin</v>
          </cell>
          <cell r="B33">
            <v>1.6148597705904719</v>
          </cell>
          <cell r="C33" t="str">
            <v>roster fit, elite coach</v>
          </cell>
          <cell r="D33">
            <v>1.415</v>
          </cell>
          <cell r="E33">
            <v>2.8650000000000002</v>
          </cell>
        </row>
        <row r="34">
          <cell r="A34" t="str">
            <v>LSU</v>
          </cell>
          <cell r="B34">
            <v>1.6041769651497806</v>
          </cell>
          <cell r="C34" t="str">
            <v>high risk, eligibility risk</v>
          </cell>
          <cell r="D34">
            <v>0.35399999999999998</v>
          </cell>
          <cell r="E34">
            <v>2.2040000000000002</v>
          </cell>
        </row>
        <row r="35">
          <cell r="A35" t="str">
            <v>Maryland</v>
          </cell>
          <cell r="B35">
            <v>1.5931153967325526</v>
          </cell>
          <cell r="C35" t="str">
            <v>elite rebounding</v>
          </cell>
          <cell r="D35">
            <v>1.4430000000000001</v>
          </cell>
          <cell r="E35">
            <v>2.1429999999999998</v>
          </cell>
        </row>
        <row r="36">
          <cell r="A36" t="str">
            <v>NC State</v>
          </cell>
          <cell r="B36">
            <v>1.5790962710231715</v>
          </cell>
          <cell r="C36" t="str">
            <v>new coach, transfer heavy</v>
          </cell>
          <cell r="D36">
            <v>0.72899999999999998</v>
          </cell>
          <cell r="E36">
            <v>2.4289999999999998</v>
          </cell>
        </row>
        <row r="37">
          <cell r="A37" t="str">
            <v>TCU</v>
          </cell>
          <cell r="B37">
            <v>1.5676898992201169</v>
          </cell>
          <cell r="C37" t="str">
            <v>elite defence, roster fit</v>
          </cell>
          <cell r="D37">
            <v>1.0680000000000001</v>
          </cell>
          <cell r="E37">
            <v>2.5179999999999998</v>
          </cell>
        </row>
        <row r="38">
          <cell r="A38" t="str">
            <v>VCU</v>
          </cell>
          <cell r="B38">
            <v>1.5481933095598852</v>
          </cell>
          <cell r="C38" t="str">
            <v>battle tested</v>
          </cell>
          <cell r="D38">
            <v>1.3979999999999999</v>
          </cell>
          <cell r="E38">
            <v>2.048</v>
          </cell>
        </row>
        <row r="39">
          <cell r="A39" t="str">
            <v>Auburn</v>
          </cell>
          <cell r="B39">
            <v>1.5454340849646031</v>
          </cell>
          <cell r="C39" t="str">
            <v>chemistry questions, international transfers</v>
          </cell>
          <cell r="D39">
            <v>0.69499999999999995</v>
          </cell>
          <cell r="E39">
            <v>2.3450000000000002</v>
          </cell>
        </row>
        <row r="40">
          <cell r="A40" t="str">
            <v>North Carolina</v>
          </cell>
          <cell r="B40">
            <v>1.5289081422407498</v>
          </cell>
          <cell r="C40" t="str">
            <v>new coach, chemistry questions</v>
          </cell>
          <cell r="D40">
            <v>0.57899999999999996</v>
          </cell>
          <cell r="E40">
            <v>2.0790000000000002</v>
          </cell>
        </row>
        <row r="41">
          <cell r="A41" t="str">
            <v>West Virginia</v>
          </cell>
          <cell r="B41">
            <v>1.5190669668424432</v>
          </cell>
          <cell r="C41" t="str">
            <v>roster fit</v>
          </cell>
          <cell r="D41">
            <v>1.0189999999999999</v>
          </cell>
          <cell r="E41">
            <v>2.4689999999999999</v>
          </cell>
        </row>
        <row r="42">
          <cell r="A42" t="str">
            <v>Marquette</v>
          </cell>
          <cell r="B42">
            <v>1.5136223503509743</v>
          </cell>
          <cell r="D42">
            <v>1.214</v>
          </cell>
          <cell r="E42">
            <v>1.964</v>
          </cell>
        </row>
        <row r="43">
          <cell r="A43" t="str">
            <v>Colorado State</v>
          </cell>
          <cell r="B43">
            <v>1.4943097428269185</v>
          </cell>
          <cell r="C43" t="str">
            <v>elite shooting, returning starters</v>
          </cell>
          <cell r="D43">
            <v>1.494</v>
          </cell>
          <cell r="E43">
            <v>2.2440000000000002</v>
          </cell>
        </row>
        <row r="44">
          <cell r="A44" t="str">
            <v>Providence</v>
          </cell>
          <cell r="B44">
            <v>1.4800629187270713</v>
          </cell>
          <cell r="D44">
            <v>1.18</v>
          </cell>
          <cell r="E44">
            <v>1.93</v>
          </cell>
        </row>
        <row r="45">
          <cell r="A45" t="str">
            <v>New Mexico</v>
          </cell>
          <cell r="B45">
            <v>1.4620304214185744</v>
          </cell>
          <cell r="D45">
            <v>1.1619999999999999</v>
          </cell>
          <cell r="E45">
            <v>1.9119999999999999</v>
          </cell>
        </row>
        <row r="46">
          <cell r="A46" t="str">
            <v>Oklahoma</v>
          </cell>
          <cell r="B46">
            <v>1.4553809441536736</v>
          </cell>
          <cell r="D46">
            <v>1.155</v>
          </cell>
          <cell r="E46">
            <v>1.905</v>
          </cell>
        </row>
        <row r="47">
          <cell r="A47" t="str">
            <v>Cincinnati</v>
          </cell>
          <cell r="B47">
            <v>1.4468133226710682</v>
          </cell>
          <cell r="C47" t="str">
            <v>elite coach, transfer heavy</v>
          </cell>
          <cell r="D47">
            <v>1.2470000000000001</v>
          </cell>
          <cell r="E47">
            <v>2.4969999999999999</v>
          </cell>
        </row>
        <row r="48">
          <cell r="A48" t="str">
            <v>Iowa</v>
          </cell>
          <cell r="B48">
            <v>1.4281553127584199</v>
          </cell>
          <cell r="C48" t="str">
            <v>elite coach</v>
          </cell>
          <cell r="D48">
            <v>1.4279999999999999</v>
          </cell>
          <cell r="E48">
            <v>2.1779999999999999</v>
          </cell>
        </row>
        <row r="49">
          <cell r="A49" t="str">
            <v>Indiana</v>
          </cell>
          <cell r="B49">
            <v>1.4227566901966584</v>
          </cell>
          <cell r="C49" t="str">
            <v>transfer heavy, chemistry questions</v>
          </cell>
          <cell r="D49">
            <v>0.623</v>
          </cell>
          <cell r="E49">
            <v>2.173</v>
          </cell>
        </row>
        <row r="50">
          <cell r="A50" t="str">
            <v>Clemson</v>
          </cell>
          <cell r="B50">
            <v>1.4101211723321863</v>
          </cell>
          <cell r="D50">
            <v>1.1100000000000001</v>
          </cell>
          <cell r="E50">
            <v>1.86</v>
          </cell>
        </row>
        <row r="51">
          <cell r="A51" t="str">
            <v>Missouri</v>
          </cell>
          <cell r="B51">
            <v>1.3843853009357632</v>
          </cell>
          <cell r="D51">
            <v>1.0840000000000001</v>
          </cell>
          <cell r="E51">
            <v>1.8340000000000001</v>
          </cell>
        </row>
        <row r="52">
          <cell r="A52" t="str">
            <v>Texas A&amp;M</v>
          </cell>
          <cell r="B52">
            <v>1.3308740887019646</v>
          </cell>
          <cell r="D52">
            <v>1.0309999999999999</v>
          </cell>
          <cell r="E52">
            <v>1.7809999999999999</v>
          </cell>
        </row>
        <row r="53">
          <cell r="A53" t="str">
            <v>Saint Louis</v>
          </cell>
          <cell r="B53">
            <v>1.2961952799207701</v>
          </cell>
          <cell r="D53">
            <v>0.996</v>
          </cell>
          <cell r="E53">
            <v>1.746</v>
          </cell>
        </row>
        <row r="54">
          <cell r="A54" t="str">
            <v>Utah State</v>
          </cell>
          <cell r="B54">
            <v>1.28566670604472</v>
          </cell>
          <cell r="D54">
            <v>0.98599999999999999</v>
          </cell>
          <cell r="E54">
            <v>1.736</v>
          </cell>
        </row>
        <row r="55">
          <cell r="A55" t="str">
            <v>Florida State</v>
          </cell>
          <cell r="B55">
            <v>1.2593887827673822</v>
          </cell>
          <cell r="D55">
            <v>0.95899999999999996</v>
          </cell>
          <cell r="E55">
            <v>1.7090000000000001</v>
          </cell>
        </row>
        <row r="56">
          <cell r="A56" t="str">
            <v>Creighton</v>
          </cell>
          <cell r="B56">
            <v>1.2506631628916818</v>
          </cell>
          <cell r="D56">
            <v>0.95099999999999996</v>
          </cell>
          <cell r="E56">
            <v>1.7010000000000001</v>
          </cell>
        </row>
        <row r="57">
          <cell r="A57" t="str">
            <v>Grand Canyon</v>
          </cell>
          <cell r="B57">
            <v>1.2003751745414064</v>
          </cell>
          <cell r="C57" t="str">
            <v>elite defence</v>
          </cell>
          <cell r="D57">
            <v>0.9</v>
          </cell>
          <cell r="E57">
            <v>1.65</v>
          </cell>
        </row>
        <row r="58">
          <cell r="A58" t="str">
            <v>Oklahoma State</v>
          </cell>
          <cell r="B58">
            <v>1.1934560577426656</v>
          </cell>
          <cell r="D58">
            <v>0.89300000000000002</v>
          </cell>
          <cell r="E58">
            <v>1.643</v>
          </cell>
        </row>
        <row r="59">
          <cell r="A59" t="str">
            <v>Xavier</v>
          </cell>
          <cell r="B59">
            <v>1.1691089666233196</v>
          </cell>
          <cell r="D59">
            <v>0.86899999999999999</v>
          </cell>
          <cell r="E59">
            <v>1.619</v>
          </cell>
        </row>
        <row r="60">
          <cell r="A60" t="str">
            <v>Stanford</v>
          </cell>
          <cell r="B60">
            <v>1.1410884244457067</v>
          </cell>
          <cell r="D60">
            <v>0.84099999999999997</v>
          </cell>
          <cell r="E60">
            <v>1.591</v>
          </cell>
        </row>
        <row r="61">
          <cell r="A61" t="str">
            <v>Utah</v>
          </cell>
          <cell r="B61">
            <v>1.0878175628526836</v>
          </cell>
          <cell r="D61">
            <v>0.78800000000000003</v>
          </cell>
          <cell r="E61">
            <v>1.538</v>
          </cell>
        </row>
        <row r="62">
          <cell r="A62" t="str">
            <v>Pittsburgh</v>
          </cell>
          <cell r="B62">
            <v>1.0725702295181265</v>
          </cell>
          <cell r="D62">
            <v>0.77300000000000002</v>
          </cell>
          <cell r="E62">
            <v>1.5229999999999999</v>
          </cell>
        </row>
        <row r="63">
          <cell r="A63" t="str">
            <v>SMU</v>
          </cell>
          <cell r="B63">
            <v>1.0236111762953817</v>
          </cell>
          <cell r="D63">
            <v>0.72399999999999998</v>
          </cell>
          <cell r="E63">
            <v>1.474</v>
          </cell>
        </row>
        <row r="64">
          <cell r="A64" t="str">
            <v>UCF</v>
          </cell>
          <cell r="B64">
            <v>1.0222346576135168</v>
          </cell>
          <cell r="D64">
            <v>0.72199999999999998</v>
          </cell>
          <cell r="E64">
            <v>1.472</v>
          </cell>
        </row>
        <row r="65">
          <cell r="A65" t="str">
            <v>Syracuse</v>
          </cell>
          <cell r="B65">
            <v>1.009156894369591</v>
          </cell>
          <cell r="D65">
            <v>0.70899999999999996</v>
          </cell>
          <cell r="E65">
            <v>1.4590000000000001</v>
          </cell>
        </row>
        <row r="66">
          <cell r="A66" t="str">
            <v>Minnesota</v>
          </cell>
          <cell r="B66">
            <v>0.97452707157449325</v>
          </cell>
          <cell r="D66">
            <v>0.67500000000000004</v>
          </cell>
          <cell r="E66">
            <v>1.425</v>
          </cell>
        </row>
        <row r="67">
          <cell r="A67" t="str">
            <v>Mississippi State</v>
          </cell>
          <cell r="B67">
            <v>0.97379180508159502</v>
          </cell>
          <cell r="D67">
            <v>0.67400000000000004</v>
          </cell>
          <cell r="E67">
            <v>1.4239999999999999</v>
          </cell>
        </row>
        <row r="68">
          <cell r="A68" t="str">
            <v>Arizona State</v>
          </cell>
          <cell r="B68">
            <v>0.95046341663984046</v>
          </cell>
          <cell r="D68">
            <v>0.65</v>
          </cell>
          <cell r="E68">
            <v>1.4</v>
          </cell>
        </row>
        <row r="69">
          <cell r="A69" t="str">
            <v>Oregon</v>
          </cell>
          <cell r="B69">
            <v>0.94186871422330121</v>
          </cell>
          <cell r="D69">
            <v>0.64200000000000002</v>
          </cell>
          <cell r="E69">
            <v>1.3919999999999999</v>
          </cell>
        </row>
        <row r="70">
          <cell r="A70" t="str">
            <v>Dayton</v>
          </cell>
          <cell r="B70">
            <v>0.93871274497332458</v>
          </cell>
          <cell r="D70">
            <v>0.63900000000000001</v>
          </cell>
          <cell r="E70">
            <v>1.389</v>
          </cell>
        </row>
        <row r="71">
          <cell r="A71" t="str">
            <v>Saint Mary's</v>
          </cell>
          <cell r="B71">
            <v>0.93030222636099824</v>
          </cell>
          <cell r="D71">
            <v>0.63</v>
          </cell>
          <cell r="E71">
            <v>1.38</v>
          </cell>
        </row>
        <row r="72">
          <cell r="A72" t="str">
            <v>Wichita State</v>
          </cell>
          <cell r="B72">
            <v>0.92514179551449072</v>
          </cell>
          <cell r="D72">
            <v>0.625</v>
          </cell>
          <cell r="E72">
            <v>1.375</v>
          </cell>
        </row>
        <row r="73">
          <cell r="A73" t="str">
            <v>California</v>
          </cell>
          <cell r="B73">
            <v>0.92467667046056701</v>
          </cell>
          <cell r="D73">
            <v>0.625</v>
          </cell>
          <cell r="E73">
            <v>1.375</v>
          </cell>
        </row>
        <row r="74">
          <cell r="A74" t="str">
            <v>High Point</v>
          </cell>
          <cell r="B74">
            <v>0.91748286562210724</v>
          </cell>
          <cell r="D74">
            <v>0.61699999999999999</v>
          </cell>
          <cell r="E74">
            <v>1.367</v>
          </cell>
        </row>
        <row r="75">
          <cell r="A75" t="str">
            <v>Santa Clara</v>
          </cell>
          <cell r="B75">
            <v>0.90026179551813368</v>
          </cell>
          <cell r="D75">
            <v>0.6</v>
          </cell>
          <cell r="E75">
            <v>1.35</v>
          </cell>
        </row>
        <row r="76">
          <cell r="A76" t="str">
            <v>Kansas State</v>
          </cell>
          <cell r="B76">
            <v>0.87856043712369181</v>
          </cell>
          <cell r="D76">
            <v>0.57899999999999996</v>
          </cell>
          <cell r="E76">
            <v>1.329</v>
          </cell>
        </row>
        <row r="77">
          <cell r="A77" t="str">
            <v>Liberty</v>
          </cell>
          <cell r="B77">
            <v>0.87562200000709278</v>
          </cell>
          <cell r="D77">
            <v>0.57599999999999996</v>
          </cell>
          <cell r="E77">
            <v>1.3260000000000001</v>
          </cell>
        </row>
        <row r="78">
          <cell r="A78" t="str">
            <v>Pennsylvania</v>
          </cell>
          <cell r="B78">
            <v>0.86566107012481819</v>
          </cell>
          <cell r="D78">
            <v>0.56599999999999995</v>
          </cell>
          <cell r="E78">
            <v>1.3160000000000001</v>
          </cell>
        </row>
        <row r="79">
          <cell r="A79" t="str">
            <v>Fresno State</v>
          </cell>
          <cell r="B79">
            <v>0.85202455551180079</v>
          </cell>
          <cell r="D79">
            <v>0.55200000000000005</v>
          </cell>
          <cell r="E79">
            <v>1.302</v>
          </cell>
        </row>
        <row r="80">
          <cell r="A80" t="str">
            <v>DePaul</v>
          </cell>
          <cell r="B80">
            <v>0.8419604227544133</v>
          </cell>
          <cell r="D80">
            <v>0.54200000000000004</v>
          </cell>
          <cell r="E80">
            <v>1.292</v>
          </cell>
        </row>
        <row r="81">
          <cell r="A81" t="str">
            <v>Virginia Tech</v>
          </cell>
          <cell r="B81">
            <v>0.82050273632137383</v>
          </cell>
          <cell r="D81">
            <v>0.52100000000000002</v>
          </cell>
          <cell r="E81">
            <v>1.2709999999999999</v>
          </cell>
        </row>
        <row r="82">
          <cell r="A82" t="str">
            <v>Davidson</v>
          </cell>
          <cell r="B82">
            <v>0.78708204922350478</v>
          </cell>
          <cell r="D82">
            <v>0.48699999999999999</v>
          </cell>
          <cell r="E82">
            <v>1.2370000000000001</v>
          </cell>
        </row>
        <row r="83">
          <cell r="A83" t="str">
            <v>San Francisco</v>
          </cell>
          <cell r="B83">
            <v>0.77442121252581775</v>
          </cell>
          <cell r="D83">
            <v>0.47399999999999998</v>
          </cell>
          <cell r="E83">
            <v>1.224</v>
          </cell>
        </row>
        <row r="84">
          <cell r="A84" t="str">
            <v>Murray State</v>
          </cell>
          <cell r="B84">
            <v>0.72705720331196833</v>
          </cell>
          <cell r="D84">
            <v>0.42699999999999999</v>
          </cell>
          <cell r="E84">
            <v>1.177</v>
          </cell>
        </row>
        <row r="85">
          <cell r="A85" t="str">
            <v>Ole Miss</v>
          </cell>
          <cell r="B85">
            <v>0.72584295662380927</v>
          </cell>
          <cell r="D85">
            <v>0.42599999999999999</v>
          </cell>
          <cell r="E85">
            <v>1.1759999999999999</v>
          </cell>
        </row>
        <row r="86">
          <cell r="A86" t="str">
            <v>South Florida</v>
          </cell>
          <cell r="B86">
            <v>0.68071110536748003</v>
          </cell>
          <cell r="D86">
            <v>0.38100000000000001</v>
          </cell>
          <cell r="E86">
            <v>1.131</v>
          </cell>
        </row>
        <row r="87">
          <cell r="A87" t="str">
            <v>Florida Atlantic</v>
          </cell>
          <cell r="B87">
            <v>0.66821062643471862</v>
          </cell>
          <cell r="D87">
            <v>0.36799999999999999</v>
          </cell>
          <cell r="E87">
            <v>1.1180000000000001</v>
          </cell>
        </row>
        <row r="88">
          <cell r="A88" t="str">
            <v>Northwestern</v>
          </cell>
          <cell r="B88">
            <v>0.64275772856661462</v>
          </cell>
          <cell r="D88">
            <v>0.34300000000000003</v>
          </cell>
          <cell r="E88">
            <v>1.093</v>
          </cell>
        </row>
        <row r="89">
          <cell r="A89" t="str">
            <v>Butler</v>
          </cell>
          <cell r="B89">
            <v>0.63885319838625987</v>
          </cell>
          <cell r="D89">
            <v>0.33900000000000002</v>
          </cell>
          <cell r="E89">
            <v>1.089</v>
          </cell>
        </row>
        <row r="90">
          <cell r="A90" t="str">
            <v>Notre Dame</v>
          </cell>
          <cell r="B90">
            <v>0.63349682362182569</v>
          </cell>
          <cell r="D90">
            <v>0.33300000000000002</v>
          </cell>
          <cell r="E90">
            <v>1.083</v>
          </cell>
        </row>
        <row r="91">
          <cell r="A91" t="str">
            <v>Texas State</v>
          </cell>
          <cell r="B91">
            <v>0.62060181976987505</v>
          </cell>
          <cell r="D91">
            <v>0.32100000000000001</v>
          </cell>
          <cell r="E91">
            <v>1.071</v>
          </cell>
        </row>
        <row r="92">
          <cell r="A92" t="str">
            <v>Oregon State</v>
          </cell>
          <cell r="B92">
            <v>0.61795136316289978</v>
          </cell>
          <cell r="D92">
            <v>0.318</v>
          </cell>
          <cell r="E92">
            <v>1.0680000000000001</v>
          </cell>
        </row>
        <row r="93">
          <cell r="A93" t="str">
            <v>UC Santa Barbara</v>
          </cell>
          <cell r="B93">
            <v>0.57729324285084027</v>
          </cell>
          <cell r="D93">
            <v>0.27700000000000002</v>
          </cell>
          <cell r="E93">
            <v>1.0269999999999999</v>
          </cell>
        </row>
        <row r="94">
          <cell r="A94" t="str">
            <v>Florida International</v>
          </cell>
          <cell r="B94">
            <v>0.54636582719062332</v>
          </cell>
          <cell r="D94">
            <v>0.246</v>
          </cell>
          <cell r="E94">
            <v>0.996</v>
          </cell>
        </row>
        <row r="95">
          <cell r="A95" t="str">
            <v>Colorado</v>
          </cell>
          <cell r="B95">
            <v>0.53427778745654464</v>
          </cell>
          <cell r="D95">
            <v>0.23400000000000001</v>
          </cell>
          <cell r="E95">
            <v>0.98399999999999999</v>
          </cell>
        </row>
        <row r="96">
          <cell r="A96" t="str">
            <v>San Diego State</v>
          </cell>
          <cell r="B96">
            <v>0.5310266347229472</v>
          </cell>
          <cell r="D96">
            <v>0.23100000000000001</v>
          </cell>
          <cell r="E96">
            <v>0.98099999999999998</v>
          </cell>
        </row>
        <row r="97">
          <cell r="A97" t="str">
            <v>Fordham</v>
          </cell>
          <cell r="B97">
            <v>0.52571735716649026</v>
          </cell>
          <cell r="D97">
            <v>0.22600000000000001</v>
          </cell>
          <cell r="E97">
            <v>0.97599999999999998</v>
          </cell>
        </row>
        <row r="98">
          <cell r="A98" t="str">
            <v>Eastern Michigan</v>
          </cell>
          <cell r="B98">
            <v>0.52407581645327717</v>
          </cell>
          <cell r="D98">
            <v>0.224</v>
          </cell>
          <cell r="E98">
            <v>0.97399999999999998</v>
          </cell>
        </row>
        <row r="99">
          <cell r="A99" t="str">
            <v>Boston College</v>
          </cell>
          <cell r="B99">
            <v>0.5200577140918522</v>
          </cell>
          <cell r="D99">
            <v>0.22</v>
          </cell>
          <cell r="E99">
            <v>0.97</v>
          </cell>
        </row>
        <row r="100">
          <cell r="A100" t="str">
            <v>Seton Hall</v>
          </cell>
          <cell r="B100">
            <v>0.50768432773451877</v>
          </cell>
          <cell r="D100">
            <v>0.20799999999999999</v>
          </cell>
          <cell r="E100">
            <v>0.95799999999999996</v>
          </cell>
        </row>
        <row r="101">
          <cell r="A101" t="str">
            <v>Belmont</v>
          </cell>
          <cell r="B101">
            <v>0.48976681530859723</v>
          </cell>
          <cell r="D101">
            <v>0.19</v>
          </cell>
          <cell r="E101">
            <v>0.94</v>
          </cell>
        </row>
        <row r="102">
          <cell r="A102" t="str">
            <v>Rutgers</v>
          </cell>
          <cell r="B102">
            <v>0.47588436185200911</v>
          </cell>
          <cell r="D102">
            <v>0.17599999999999999</v>
          </cell>
          <cell r="E102">
            <v>0.92600000000000005</v>
          </cell>
        </row>
        <row r="103">
          <cell r="A103" t="str">
            <v>Nevada</v>
          </cell>
          <cell r="B103">
            <v>0.46954659637055918</v>
          </cell>
          <cell r="D103">
            <v>0.17</v>
          </cell>
          <cell r="E103">
            <v>0.92</v>
          </cell>
        </row>
        <row r="104">
          <cell r="A104" t="str">
            <v>UNC Wilmington</v>
          </cell>
          <cell r="B104">
            <v>0.46658380948655515</v>
          </cell>
          <cell r="D104">
            <v>0.16700000000000001</v>
          </cell>
          <cell r="E104">
            <v>0.91700000000000004</v>
          </cell>
        </row>
        <row r="105">
          <cell r="A105" t="str">
            <v>South Carolina</v>
          </cell>
          <cell r="B105">
            <v>0.46211568319080809</v>
          </cell>
          <cell r="D105">
            <v>0.16200000000000001</v>
          </cell>
          <cell r="E105">
            <v>0.91200000000000003</v>
          </cell>
        </row>
        <row r="106">
          <cell r="A106" t="str">
            <v>Pepperdine</v>
          </cell>
          <cell r="B106">
            <v>0.45514158847522557</v>
          </cell>
          <cell r="D106">
            <v>0.155</v>
          </cell>
          <cell r="E106">
            <v>0.90500000000000003</v>
          </cell>
        </row>
        <row r="107">
          <cell r="A107" t="str">
            <v>UIC</v>
          </cell>
          <cell r="B107">
            <v>0.45502819353268231</v>
          </cell>
          <cell r="D107">
            <v>0.155</v>
          </cell>
          <cell r="E107">
            <v>0.90500000000000003</v>
          </cell>
        </row>
        <row r="108">
          <cell r="A108" t="str">
            <v>Rhode Island</v>
          </cell>
          <cell r="B108">
            <v>0.42976400051398467</v>
          </cell>
          <cell r="D108">
            <v>0.13</v>
          </cell>
          <cell r="E108">
            <v>0.88</v>
          </cell>
        </row>
        <row r="109">
          <cell r="A109" t="str">
            <v>Western Kentucky</v>
          </cell>
          <cell r="B109">
            <v>0.42132209066138621</v>
          </cell>
          <cell r="D109">
            <v>0.121</v>
          </cell>
          <cell r="E109">
            <v>0.871</v>
          </cell>
        </row>
        <row r="110">
          <cell r="A110" t="str">
            <v>Georgia Tech</v>
          </cell>
          <cell r="B110">
            <v>0.42114975138990601</v>
          </cell>
          <cell r="D110">
            <v>0.121</v>
          </cell>
          <cell r="E110">
            <v>0.871</v>
          </cell>
        </row>
        <row r="111">
          <cell r="A111" t="str">
            <v>UC Irvine</v>
          </cell>
          <cell r="B111">
            <v>0.40829510132233371</v>
          </cell>
          <cell r="D111">
            <v>0.108</v>
          </cell>
          <cell r="E111">
            <v>0.85799999999999998</v>
          </cell>
        </row>
        <row r="112">
          <cell r="A112" t="str">
            <v>McNeese</v>
          </cell>
          <cell r="B112">
            <v>0.40660344574227408</v>
          </cell>
          <cell r="D112">
            <v>0.107</v>
          </cell>
          <cell r="E112">
            <v>0.85699999999999998</v>
          </cell>
        </row>
        <row r="113">
          <cell r="A113" t="str">
            <v>Memphis</v>
          </cell>
          <cell r="B113">
            <v>0.40075817516887052</v>
          </cell>
          <cell r="D113">
            <v>0.10100000000000001</v>
          </cell>
          <cell r="E113">
            <v>0.85099999999999998</v>
          </cell>
        </row>
        <row r="114">
          <cell r="A114" t="str">
            <v>George Washington</v>
          </cell>
          <cell r="B114">
            <v>0.38428897901705983</v>
          </cell>
          <cell r="D114">
            <v>8.4000000000000005E-2</v>
          </cell>
          <cell r="E114">
            <v>0.83399999999999996</v>
          </cell>
        </row>
        <row r="115">
          <cell r="A115" t="str">
            <v>Montana State</v>
          </cell>
          <cell r="B115">
            <v>0.38182596739673086</v>
          </cell>
          <cell r="D115">
            <v>8.2000000000000003E-2</v>
          </cell>
          <cell r="E115">
            <v>0.83199999999999996</v>
          </cell>
        </row>
        <row r="116">
          <cell r="A116" t="str">
            <v>Washington</v>
          </cell>
          <cell r="B116">
            <v>0.37373853920084665</v>
          </cell>
          <cell r="D116">
            <v>7.3999999999999996E-2</v>
          </cell>
          <cell r="E116">
            <v>0.82399999999999995</v>
          </cell>
        </row>
        <row r="117">
          <cell r="A117" t="str">
            <v>Georgetown</v>
          </cell>
          <cell r="B117">
            <v>0.37115156251091741</v>
          </cell>
          <cell r="D117">
            <v>7.0999999999999994E-2</v>
          </cell>
          <cell r="E117">
            <v>0.82099999999999995</v>
          </cell>
        </row>
        <row r="118">
          <cell r="A118" t="str">
            <v>Wake Forest</v>
          </cell>
          <cell r="B118">
            <v>0.365998873584162</v>
          </cell>
          <cell r="D118">
            <v>6.6000000000000003E-2</v>
          </cell>
          <cell r="E118">
            <v>0.81599999999999995</v>
          </cell>
        </row>
        <row r="119">
          <cell r="A119" t="str">
            <v>Utah Valley</v>
          </cell>
          <cell r="B119">
            <v>0.36588085026810641</v>
          </cell>
          <cell r="D119">
            <v>6.6000000000000003E-2</v>
          </cell>
          <cell r="E119">
            <v>0.81599999999999995</v>
          </cell>
        </row>
        <row r="120">
          <cell r="A120" t="str">
            <v>Robert Morris</v>
          </cell>
          <cell r="B120">
            <v>0.36392324181138608</v>
          </cell>
          <cell r="D120">
            <v>6.4000000000000001E-2</v>
          </cell>
          <cell r="E120">
            <v>0.81399999999999995</v>
          </cell>
        </row>
        <row r="121">
          <cell r="A121" t="str">
            <v>Western Michigan</v>
          </cell>
          <cell r="B121">
            <v>0.35766149059257352</v>
          </cell>
          <cell r="D121">
            <v>5.8000000000000003E-2</v>
          </cell>
          <cell r="E121">
            <v>0.80800000000000005</v>
          </cell>
        </row>
        <row r="122">
          <cell r="A122" t="str">
            <v>Wyoming</v>
          </cell>
          <cell r="B122">
            <v>0.32755844072798745</v>
          </cell>
          <cell r="D122">
            <v>2.8000000000000001E-2</v>
          </cell>
          <cell r="E122">
            <v>0.77800000000000002</v>
          </cell>
        </row>
        <row r="123">
          <cell r="A123" t="str">
            <v>Penn State</v>
          </cell>
          <cell r="B123">
            <v>0.31891956010119049</v>
          </cell>
          <cell r="D123">
            <v>1.9E-2</v>
          </cell>
          <cell r="E123">
            <v>0.76900000000000002</v>
          </cell>
        </row>
        <row r="124">
          <cell r="A124" t="str">
            <v>Charlotte</v>
          </cell>
          <cell r="B124">
            <v>0.31545421611974622</v>
          </cell>
          <cell r="D124">
            <v>1.4999999999999999E-2</v>
          </cell>
          <cell r="E124">
            <v>0.76500000000000001</v>
          </cell>
        </row>
        <row r="125">
          <cell r="A125" t="str">
            <v>Harvard</v>
          </cell>
          <cell r="B125">
            <v>0.30800571727780551</v>
          </cell>
          <cell r="D125">
            <v>8.0000000000000002E-3</v>
          </cell>
          <cell r="E125">
            <v>0.75800000000000001</v>
          </cell>
        </row>
        <row r="126">
          <cell r="A126" t="str">
            <v>UC San Diego</v>
          </cell>
          <cell r="B126">
            <v>0.30346794737391314</v>
          </cell>
          <cell r="D126">
            <v>3.0000000000000001E-3</v>
          </cell>
          <cell r="E126">
            <v>0.753</v>
          </cell>
        </row>
        <row r="127">
          <cell r="A127" t="str">
            <v>Toledo</v>
          </cell>
          <cell r="B127">
            <v>0.28415929175074439</v>
          </cell>
          <cell r="D127">
            <v>-1.6E-2</v>
          </cell>
          <cell r="E127">
            <v>0.73399999999999999</v>
          </cell>
        </row>
        <row r="128">
          <cell r="A128" t="str">
            <v>Kent State</v>
          </cell>
          <cell r="B128">
            <v>0.27411371969360077</v>
          </cell>
          <cell r="D128">
            <v>-2.5999999999999999E-2</v>
          </cell>
          <cell r="E128">
            <v>0.72399999999999998</v>
          </cell>
        </row>
        <row r="129">
          <cell r="A129" t="str">
            <v>Miami (OH)</v>
          </cell>
          <cell r="B129">
            <v>0.27305033269603801</v>
          </cell>
          <cell r="D129">
            <v>-2.7E-2</v>
          </cell>
          <cell r="E129">
            <v>0.72299999999999998</v>
          </cell>
        </row>
        <row r="130">
          <cell r="A130" t="str">
            <v>Yale</v>
          </cell>
          <cell r="B130">
            <v>0.27248153611842224</v>
          </cell>
          <cell r="D130">
            <v>-2.8000000000000001E-2</v>
          </cell>
          <cell r="E130">
            <v>0.72199999999999998</v>
          </cell>
        </row>
        <row r="131">
          <cell r="A131" t="str">
            <v>Northern Iowa</v>
          </cell>
          <cell r="B131">
            <v>0.27128592811977037</v>
          </cell>
          <cell r="D131">
            <v>-2.9000000000000001E-2</v>
          </cell>
          <cell r="E131">
            <v>0.72099999999999997</v>
          </cell>
        </row>
        <row r="132">
          <cell r="A132" t="str">
            <v>Duquesne</v>
          </cell>
          <cell r="B132">
            <v>0.26844457448484144</v>
          </cell>
          <cell r="D132">
            <v>-3.2000000000000001E-2</v>
          </cell>
          <cell r="E132">
            <v>0.71799999999999997</v>
          </cell>
        </row>
        <row r="133">
          <cell r="A133" t="str">
            <v>Washington State</v>
          </cell>
          <cell r="B133">
            <v>0.2450777830017441</v>
          </cell>
          <cell r="D133">
            <v>-5.5E-2</v>
          </cell>
          <cell r="E133">
            <v>0.69499999999999995</v>
          </cell>
        </row>
        <row r="134">
          <cell r="A134" t="str">
            <v>Stephen F. Austin</v>
          </cell>
          <cell r="B134">
            <v>0.23919469302835419</v>
          </cell>
          <cell r="D134">
            <v>-6.0999999999999999E-2</v>
          </cell>
          <cell r="E134">
            <v>0.68899999999999995</v>
          </cell>
        </row>
        <row r="135">
          <cell r="A135" t="str">
            <v>UNLV</v>
          </cell>
          <cell r="B135">
            <v>0.22817715899068383</v>
          </cell>
          <cell r="D135">
            <v>-7.1999999999999995E-2</v>
          </cell>
          <cell r="E135">
            <v>0.67800000000000005</v>
          </cell>
        </row>
        <row r="136">
          <cell r="A136" t="str">
            <v>Seattle</v>
          </cell>
          <cell r="B136">
            <v>0.20296723381345999</v>
          </cell>
          <cell r="D136">
            <v>-9.7000000000000003E-2</v>
          </cell>
          <cell r="E136">
            <v>0.65300000000000002</v>
          </cell>
        </row>
        <row r="137">
          <cell r="A137" t="str">
            <v>St. Thomas - Minnesota</v>
          </cell>
          <cell r="B137">
            <v>0.20110653150445656</v>
          </cell>
          <cell r="D137">
            <v>-9.9000000000000005E-2</v>
          </cell>
          <cell r="E137">
            <v>0.65100000000000002</v>
          </cell>
        </row>
        <row r="138">
          <cell r="A138" t="str">
            <v>Central Arkansas</v>
          </cell>
          <cell r="B138">
            <v>0.18237424576136604</v>
          </cell>
          <cell r="D138">
            <v>-0.11799999999999999</v>
          </cell>
          <cell r="E138">
            <v>0.63200000000000001</v>
          </cell>
        </row>
        <row r="139">
          <cell r="A139" t="str">
            <v>American University</v>
          </cell>
          <cell r="B139">
            <v>0.18235546014028745</v>
          </cell>
          <cell r="D139">
            <v>-0.11799999999999999</v>
          </cell>
          <cell r="E139">
            <v>0.63200000000000001</v>
          </cell>
        </row>
        <row r="140">
          <cell r="A140" t="str">
            <v>Boise State</v>
          </cell>
          <cell r="B140">
            <v>0.17491822893933268</v>
          </cell>
          <cell r="D140">
            <v>-0.125</v>
          </cell>
          <cell r="E140">
            <v>0.625</v>
          </cell>
        </row>
        <row r="141">
          <cell r="A141" t="str">
            <v>Richmond</v>
          </cell>
          <cell r="B141">
            <v>0.16196677285242403</v>
          </cell>
          <cell r="D141">
            <v>-0.13800000000000001</v>
          </cell>
          <cell r="E141">
            <v>0.61199999999999999</v>
          </cell>
        </row>
        <row r="142">
          <cell r="A142" t="str">
            <v>Sam Houston</v>
          </cell>
          <cell r="B142">
            <v>0.14291434792037186</v>
          </cell>
          <cell r="D142">
            <v>-0.157</v>
          </cell>
          <cell r="E142">
            <v>0.59299999999999997</v>
          </cell>
        </row>
        <row r="143">
          <cell r="A143" t="str">
            <v>North Texas</v>
          </cell>
          <cell r="B143">
            <v>0.10693302956450429</v>
          </cell>
          <cell r="D143">
            <v>-0.193</v>
          </cell>
          <cell r="E143">
            <v>0.55700000000000005</v>
          </cell>
        </row>
        <row r="144">
          <cell r="A144" t="str">
            <v>Kennesaw State</v>
          </cell>
          <cell r="B144">
            <v>0.10574341330277913</v>
          </cell>
          <cell r="D144">
            <v>-0.19400000000000001</v>
          </cell>
          <cell r="E144">
            <v>0.55600000000000005</v>
          </cell>
        </row>
        <row r="145">
          <cell r="A145" t="str">
            <v>Illinois State</v>
          </cell>
          <cell r="B145">
            <v>0.10385986711073883</v>
          </cell>
          <cell r="D145">
            <v>-0.19600000000000001</v>
          </cell>
          <cell r="E145">
            <v>0.55400000000000005</v>
          </cell>
        </row>
        <row r="146">
          <cell r="A146" t="str">
            <v>Hawaii</v>
          </cell>
          <cell r="B146">
            <v>9.9484403912357591E-2</v>
          </cell>
          <cell r="D146">
            <v>-0.20100000000000001</v>
          </cell>
          <cell r="E146">
            <v>0.54900000000000004</v>
          </cell>
        </row>
        <row r="147">
          <cell r="A147" t="str">
            <v>Valparaiso</v>
          </cell>
          <cell r="B147">
            <v>9.3460335880992298E-2</v>
          </cell>
          <cell r="D147">
            <v>-0.20699999999999999</v>
          </cell>
          <cell r="E147">
            <v>0.54300000000000004</v>
          </cell>
        </row>
        <row r="148">
          <cell r="A148" t="str">
            <v>Presbyterian</v>
          </cell>
          <cell r="B148">
            <v>8.6140320643519605E-2</v>
          </cell>
          <cell r="D148">
            <v>-0.214</v>
          </cell>
          <cell r="E148">
            <v>0.53600000000000003</v>
          </cell>
        </row>
        <row r="149">
          <cell r="A149" t="str">
            <v>Northern Colorado</v>
          </cell>
          <cell r="B149">
            <v>8.1060896804993468E-2</v>
          </cell>
          <cell r="D149">
            <v>-0.219</v>
          </cell>
          <cell r="E149">
            <v>0.53100000000000003</v>
          </cell>
        </row>
        <row r="150">
          <cell r="A150" t="str">
            <v>Winthrop</v>
          </cell>
          <cell r="B150">
            <v>7.5556774089744302E-2</v>
          </cell>
          <cell r="D150" t="e">
            <v>#N/A</v>
          </cell>
          <cell r="E150" t="e">
            <v>#N/A</v>
          </cell>
        </row>
        <row r="151">
          <cell r="A151" t="str">
            <v>Lamar</v>
          </cell>
          <cell r="B151">
            <v>7.4881466283636941E-2</v>
          </cell>
          <cell r="D151" t="e">
            <v>#N/A</v>
          </cell>
          <cell r="E151" t="e">
            <v>#N/A</v>
          </cell>
        </row>
        <row r="152">
          <cell r="A152" t="str">
            <v>Princeton</v>
          </cell>
          <cell r="B152">
            <v>7.2624155204782562E-2</v>
          </cell>
          <cell r="D152" t="e">
            <v>#N/A</v>
          </cell>
          <cell r="E152" t="e">
            <v>#N/A</v>
          </cell>
        </row>
        <row r="153">
          <cell r="A153" t="str">
            <v>Eastern Washington</v>
          </cell>
          <cell r="B153">
            <v>5.8520150748096134E-2</v>
          </cell>
          <cell r="D153" t="e">
            <v>#N/A</v>
          </cell>
          <cell r="E153" t="e">
            <v>#N/A</v>
          </cell>
        </row>
        <row r="154">
          <cell r="A154" t="str">
            <v>George Mason</v>
          </cell>
          <cell r="B154">
            <v>5.1893572258398628E-2</v>
          </cell>
          <cell r="D154" t="e">
            <v>#N/A</v>
          </cell>
          <cell r="E154" t="e">
            <v>#N/A</v>
          </cell>
        </row>
        <row r="155">
          <cell r="A155" t="str">
            <v>Pacific</v>
          </cell>
          <cell r="B155">
            <v>3.819379606185578E-2</v>
          </cell>
          <cell r="D155" t="e">
            <v>#N/A</v>
          </cell>
          <cell r="E155" t="e">
            <v>#N/A</v>
          </cell>
        </row>
        <row r="156">
          <cell r="A156" t="str">
            <v>Ohio</v>
          </cell>
          <cell r="B156">
            <v>2.4907055586802229E-2</v>
          </cell>
          <cell r="D156" t="e">
            <v>#N/A</v>
          </cell>
          <cell r="E156" t="e">
            <v>#N/A</v>
          </cell>
        </row>
        <row r="157">
          <cell r="A157" t="str">
            <v>Drake</v>
          </cell>
          <cell r="B157">
            <v>2.4222942437102438E-2</v>
          </cell>
          <cell r="D157" t="e">
            <v>#N/A</v>
          </cell>
          <cell r="E157" t="e">
            <v>#N/A</v>
          </cell>
        </row>
        <row r="158">
          <cell r="A158" t="str">
            <v>UMass</v>
          </cell>
          <cell r="B158">
            <v>2.2511553507620699E-2</v>
          </cell>
          <cell r="D158" t="e">
            <v>#N/A</v>
          </cell>
          <cell r="E158" t="e">
            <v>#N/A</v>
          </cell>
        </row>
        <row r="159">
          <cell r="A159" t="str">
            <v>Middle Tennessee</v>
          </cell>
          <cell r="B159">
            <v>1.7310540345955337E-2</v>
          </cell>
          <cell r="D159" t="e">
            <v>#N/A</v>
          </cell>
          <cell r="E159" t="e">
            <v>#N/A</v>
          </cell>
        </row>
        <row r="160">
          <cell r="A160" t="str">
            <v>South Dakota State</v>
          </cell>
          <cell r="B160">
            <v>1.5170853179864349E-2</v>
          </cell>
          <cell r="D160" t="e">
            <v>#N/A</v>
          </cell>
          <cell r="E160" t="e">
            <v>#N/A</v>
          </cell>
        </row>
        <row r="161">
          <cell r="A161" t="str">
            <v>Loyola Marymount</v>
          </cell>
          <cell r="B161">
            <v>1.4409395509026089E-2</v>
          </cell>
          <cell r="D161" t="e">
            <v>#N/A</v>
          </cell>
          <cell r="E161" t="e">
            <v>#N/A</v>
          </cell>
        </row>
        <row r="162">
          <cell r="A162" t="str">
            <v>Abilene Christian</v>
          </cell>
          <cell r="B162">
            <v>1.1415586635509503E-2</v>
          </cell>
          <cell r="D162" t="e">
            <v>#N/A</v>
          </cell>
          <cell r="E162" t="e">
            <v>#N/A</v>
          </cell>
        </row>
        <row r="163">
          <cell r="A163" t="str">
            <v>UAB</v>
          </cell>
          <cell r="B163">
            <v>3.7846151144048734E-3</v>
          </cell>
          <cell r="D163" t="e">
            <v>#N/A</v>
          </cell>
          <cell r="E163" t="e">
            <v>#N/A</v>
          </cell>
        </row>
        <row r="164">
          <cell r="A164" t="str">
            <v>East Tennessee State</v>
          </cell>
          <cell r="B164">
            <v>2.1495828088693176E-3</v>
          </cell>
          <cell r="D164" t="e">
            <v>#N/A</v>
          </cell>
          <cell r="E164" t="e">
            <v>#N/A</v>
          </cell>
        </row>
        <row r="165">
          <cell r="A165" t="str">
            <v>Cal Poly</v>
          </cell>
          <cell r="B165">
            <v>-8.5803371495667244E-4</v>
          </cell>
          <cell r="D165" t="e">
            <v>#N/A</v>
          </cell>
          <cell r="E165" t="e">
            <v>#N/A</v>
          </cell>
        </row>
        <row r="166">
          <cell r="A166" t="str">
            <v>Ball State</v>
          </cell>
          <cell r="B166">
            <v>-4.8525973809967274E-3</v>
          </cell>
          <cell r="D166" t="e">
            <v>#N/A</v>
          </cell>
          <cell r="E166" t="e">
            <v>#N/A</v>
          </cell>
        </row>
        <row r="167">
          <cell r="A167" t="str">
            <v>Longwood</v>
          </cell>
          <cell r="B167">
            <v>-1.0985134654687555E-2</v>
          </cell>
          <cell r="D167" t="e">
            <v>#N/A</v>
          </cell>
          <cell r="E167" t="e">
            <v>#N/A</v>
          </cell>
        </row>
        <row r="168">
          <cell r="A168" t="str">
            <v>St. Joseph's</v>
          </cell>
          <cell r="B168">
            <v>-1.4856392120797195E-2</v>
          </cell>
          <cell r="D168" t="e">
            <v>#N/A</v>
          </cell>
          <cell r="E168" t="e">
            <v>#N/A</v>
          </cell>
        </row>
        <row r="169">
          <cell r="A169" t="str">
            <v>Cornell</v>
          </cell>
          <cell r="B169">
            <v>-1.736377230133036E-2</v>
          </cell>
          <cell r="D169" t="e">
            <v>#N/A</v>
          </cell>
          <cell r="E169" t="e">
            <v>#N/A</v>
          </cell>
        </row>
        <row r="170">
          <cell r="A170" t="str">
            <v>UNC Greensboro</v>
          </cell>
          <cell r="B170">
            <v>-3.2184127088216802E-2</v>
          </cell>
          <cell r="D170" t="e">
            <v>#N/A</v>
          </cell>
          <cell r="E170" t="e">
            <v>#N/A</v>
          </cell>
        </row>
        <row r="171">
          <cell r="A171" t="str">
            <v>Columbia</v>
          </cell>
          <cell r="B171">
            <v>-4.2165884572368896E-2</v>
          </cell>
          <cell r="D171" t="e">
            <v>#N/A</v>
          </cell>
          <cell r="E171" t="e">
            <v>#N/A</v>
          </cell>
        </row>
        <row r="172">
          <cell r="A172" t="str">
            <v>Wright State</v>
          </cell>
          <cell r="B172">
            <v>-5.0333884353881829E-2</v>
          </cell>
          <cell r="D172" t="e">
            <v>#N/A</v>
          </cell>
          <cell r="E172" t="e">
            <v>#N/A</v>
          </cell>
        </row>
        <row r="173">
          <cell r="A173" t="str">
            <v>Western Carolina</v>
          </cell>
          <cell r="B173">
            <v>-8.5771807755614715E-2</v>
          </cell>
          <cell r="D173" t="e">
            <v>#N/A</v>
          </cell>
          <cell r="E173" t="e">
            <v>#N/A</v>
          </cell>
        </row>
        <row r="174">
          <cell r="A174" t="str">
            <v>Tennessee Tech</v>
          </cell>
          <cell r="B174">
            <v>-9.0501035533721561E-2</v>
          </cell>
          <cell r="D174" t="e">
            <v>#N/A</v>
          </cell>
          <cell r="E174" t="e">
            <v>#N/A</v>
          </cell>
        </row>
        <row r="175">
          <cell r="A175" t="str">
            <v>Howard</v>
          </cell>
          <cell r="B175">
            <v>-0.10234883321037813</v>
          </cell>
          <cell r="D175" t="e">
            <v>#N/A</v>
          </cell>
          <cell r="E175" t="e">
            <v>#N/A</v>
          </cell>
        </row>
        <row r="176">
          <cell r="A176" t="str">
            <v>Sacramento State</v>
          </cell>
          <cell r="B176">
            <v>-0.11549892966580018</v>
          </cell>
          <cell r="D176" t="e">
            <v>#N/A</v>
          </cell>
          <cell r="E176" t="e">
            <v>#N/A</v>
          </cell>
        </row>
        <row r="177">
          <cell r="A177" t="str">
            <v>Bowling Green</v>
          </cell>
          <cell r="B177">
            <v>-0.11817190301296608</v>
          </cell>
          <cell r="D177" t="e">
            <v>#N/A</v>
          </cell>
          <cell r="E177" t="e">
            <v>#N/A</v>
          </cell>
        </row>
        <row r="178">
          <cell r="A178" t="str">
            <v>North Dakota State</v>
          </cell>
          <cell r="B178">
            <v>-0.12130817816751412</v>
          </cell>
          <cell r="D178" t="e">
            <v>#N/A</v>
          </cell>
          <cell r="E178" t="e">
            <v>#N/A</v>
          </cell>
        </row>
        <row r="179">
          <cell r="A179" t="str">
            <v>Tulsa</v>
          </cell>
          <cell r="B179">
            <v>-0.12190998206532519</v>
          </cell>
          <cell r="D179" t="e">
            <v>#N/A</v>
          </cell>
          <cell r="E179" t="e">
            <v>#N/A</v>
          </cell>
        </row>
        <row r="180">
          <cell r="A180" t="str">
            <v>SIU Edwardsville</v>
          </cell>
          <cell r="B180">
            <v>-0.12547370097785707</v>
          </cell>
          <cell r="D180" t="e">
            <v>#N/A</v>
          </cell>
          <cell r="E180" t="e">
            <v>#N/A</v>
          </cell>
        </row>
        <row r="181">
          <cell r="A181" t="str">
            <v>Chattanooga</v>
          </cell>
          <cell r="B181">
            <v>-0.13145968486812062</v>
          </cell>
          <cell r="D181" t="e">
            <v>#N/A</v>
          </cell>
          <cell r="E181" t="e">
            <v>#N/A</v>
          </cell>
        </row>
        <row r="182">
          <cell r="A182" t="str">
            <v>Colgate</v>
          </cell>
          <cell r="B182">
            <v>-0.13468413471550986</v>
          </cell>
          <cell r="D182" t="e">
            <v>#N/A</v>
          </cell>
          <cell r="E182" t="e">
            <v>#N/A</v>
          </cell>
        </row>
        <row r="183">
          <cell r="A183" t="str">
            <v>UC Davis</v>
          </cell>
          <cell r="B183">
            <v>-0.13721281815738992</v>
          </cell>
          <cell r="D183" t="e">
            <v>#N/A</v>
          </cell>
          <cell r="E183" t="e">
            <v>#N/A</v>
          </cell>
        </row>
        <row r="184">
          <cell r="A184" t="str">
            <v>Idaho</v>
          </cell>
          <cell r="B184">
            <v>-0.14416275884111826</v>
          </cell>
          <cell r="D184" t="e">
            <v>#N/A</v>
          </cell>
          <cell r="E184" t="e">
            <v>#N/A</v>
          </cell>
        </row>
        <row r="185">
          <cell r="A185" t="str">
            <v>William &amp; Mary</v>
          </cell>
          <cell r="B185">
            <v>-0.14689296387874312</v>
          </cell>
          <cell r="D185" t="e">
            <v>#N/A</v>
          </cell>
          <cell r="E185" t="e">
            <v>#N/A</v>
          </cell>
        </row>
        <row r="186">
          <cell r="A186" t="str">
            <v>Oakland</v>
          </cell>
          <cell r="B186">
            <v>-0.15127017183653868</v>
          </cell>
          <cell r="D186" t="e">
            <v>#N/A</v>
          </cell>
          <cell r="E186" t="e">
            <v>#N/A</v>
          </cell>
        </row>
        <row r="187">
          <cell r="A187" t="str">
            <v>San Jose State</v>
          </cell>
          <cell r="B187">
            <v>-0.17766521761574069</v>
          </cell>
          <cell r="D187" t="e">
            <v>#N/A</v>
          </cell>
          <cell r="E187" t="e">
            <v>#N/A</v>
          </cell>
        </row>
        <row r="188">
          <cell r="A188" t="str">
            <v>Akron</v>
          </cell>
          <cell r="B188">
            <v>-0.17881272442477938</v>
          </cell>
          <cell r="D188" t="e">
            <v>#N/A</v>
          </cell>
          <cell r="E188" t="e">
            <v>#N/A</v>
          </cell>
        </row>
        <row r="189">
          <cell r="A189" t="str">
            <v>Furman</v>
          </cell>
          <cell r="B189">
            <v>-0.19000670141315187</v>
          </cell>
          <cell r="D189" t="e">
            <v>#N/A</v>
          </cell>
          <cell r="E189" t="e">
            <v>#N/A</v>
          </cell>
        </row>
        <row r="190">
          <cell r="A190" t="str">
            <v>San Diego</v>
          </cell>
          <cell r="B190">
            <v>-0.20023871415577363</v>
          </cell>
          <cell r="D190" t="e">
            <v>#N/A</v>
          </cell>
          <cell r="E190" t="e">
            <v>#N/A</v>
          </cell>
        </row>
        <row r="191">
          <cell r="A191" t="str">
            <v>UNC Asheville</v>
          </cell>
          <cell r="B191">
            <v>-0.20025775165120488</v>
          </cell>
          <cell r="D191" t="e">
            <v>#N/A</v>
          </cell>
          <cell r="E191" t="e">
            <v>#N/A</v>
          </cell>
        </row>
        <row r="192">
          <cell r="A192" t="str">
            <v>Buffalo</v>
          </cell>
          <cell r="B192">
            <v>-0.20035469282158022</v>
          </cell>
          <cell r="D192" t="e">
            <v>#N/A</v>
          </cell>
          <cell r="E192" t="e">
            <v>#N/A</v>
          </cell>
        </row>
        <row r="193">
          <cell r="A193" t="str">
            <v>Milwaukee</v>
          </cell>
          <cell r="B193">
            <v>-0.20469007743960158</v>
          </cell>
          <cell r="D193" t="e">
            <v>#N/A</v>
          </cell>
          <cell r="E193" t="e">
            <v>#N/A</v>
          </cell>
        </row>
        <row r="194">
          <cell r="A194" t="str">
            <v>UTEP</v>
          </cell>
          <cell r="B194">
            <v>-0.20896286419833268</v>
          </cell>
          <cell r="D194" t="e">
            <v>#N/A</v>
          </cell>
          <cell r="E194" t="e">
            <v>#N/A</v>
          </cell>
        </row>
        <row r="195">
          <cell r="A195" t="str">
            <v>Louisiana</v>
          </cell>
          <cell r="B195">
            <v>-0.22454998316887387</v>
          </cell>
          <cell r="D195" t="e">
            <v>#N/A</v>
          </cell>
          <cell r="E195" t="e">
            <v>#N/A</v>
          </cell>
        </row>
        <row r="196">
          <cell r="A196" t="str">
            <v>Oral Roberts</v>
          </cell>
          <cell r="B196">
            <v>-0.25324020594101188</v>
          </cell>
          <cell r="D196" t="e">
            <v>#N/A</v>
          </cell>
          <cell r="E196" t="e">
            <v>#N/A</v>
          </cell>
        </row>
        <row r="197">
          <cell r="A197" t="str">
            <v>Little Rock</v>
          </cell>
          <cell r="B197">
            <v>-0.26288326894967079</v>
          </cell>
          <cell r="D197" t="e">
            <v>#N/A</v>
          </cell>
          <cell r="E197" t="e">
            <v>#N/A</v>
          </cell>
        </row>
        <row r="198">
          <cell r="A198" t="str">
            <v>Lipscomb</v>
          </cell>
          <cell r="B198">
            <v>-0.26446980132879766</v>
          </cell>
          <cell r="D198" t="e">
            <v>#N/A</v>
          </cell>
          <cell r="E198" t="e">
            <v>#N/A</v>
          </cell>
        </row>
        <row r="199">
          <cell r="A199" t="str">
            <v>Northeastern</v>
          </cell>
          <cell r="B199">
            <v>-0.2695748716653813</v>
          </cell>
          <cell r="D199" t="e">
            <v>#N/A</v>
          </cell>
          <cell r="E199" t="e">
            <v>#N/A</v>
          </cell>
        </row>
        <row r="200">
          <cell r="A200" t="str">
            <v>Lehigh Mountain</v>
          </cell>
          <cell r="B200">
            <v>-0.27527640928387109</v>
          </cell>
          <cell r="D200" t="e">
            <v>#N/A</v>
          </cell>
          <cell r="E200" t="e">
            <v>#N/A</v>
          </cell>
        </row>
        <row r="201">
          <cell r="A201" t="str">
            <v>Rice</v>
          </cell>
          <cell r="B201">
            <v>-0.27856072145035959</v>
          </cell>
          <cell r="D201" t="e">
            <v>#N/A</v>
          </cell>
          <cell r="E201" t="e">
            <v>#N/A</v>
          </cell>
        </row>
        <row r="202">
          <cell r="A202" t="str">
            <v>Loyola Chicago</v>
          </cell>
          <cell r="B202">
            <v>-0.27913092117390464</v>
          </cell>
          <cell r="D202" t="e">
            <v>#N/A</v>
          </cell>
          <cell r="E202" t="e">
            <v>#N/A</v>
          </cell>
        </row>
        <row r="203">
          <cell r="A203" t="str">
            <v>Brown</v>
          </cell>
          <cell r="B203">
            <v>-0.28055694842784734</v>
          </cell>
          <cell r="D203" t="e">
            <v>#N/A</v>
          </cell>
          <cell r="E203" t="e">
            <v>#N/A</v>
          </cell>
        </row>
        <row r="204">
          <cell r="A204" t="str">
            <v>UT Rio Grande Valley</v>
          </cell>
          <cell r="B204">
            <v>-0.28312850070509143</v>
          </cell>
          <cell r="D204" t="e">
            <v>#N/A</v>
          </cell>
          <cell r="E204" t="e">
            <v>#N/A</v>
          </cell>
        </row>
        <row r="205">
          <cell r="A205" t="str">
            <v>Dartmouth</v>
          </cell>
          <cell r="B205">
            <v>-0.28715211736307478</v>
          </cell>
          <cell r="D205" t="e">
            <v>#N/A</v>
          </cell>
          <cell r="E205" t="e">
            <v>#N/A</v>
          </cell>
        </row>
        <row r="206">
          <cell r="A206" t="str">
            <v>Jacksonville</v>
          </cell>
          <cell r="B206">
            <v>-0.29202478766696277</v>
          </cell>
          <cell r="D206" t="e">
            <v>#N/A</v>
          </cell>
          <cell r="E206" t="e">
            <v>#N/A</v>
          </cell>
        </row>
        <row r="207">
          <cell r="A207" t="str">
            <v>Montana</v>
          </cell>
          <cell r="B207">
            <v>-0.29691728294072844</v>
          </cell>
          <cell r="D207" t="e">
            <v>#N/A</v>
          </cell>
          <cell r="E207" t="e">
            <v>#N/A</v>
          </cell>
        </row>
        <row r="208">
          <cell r="A208" t="str">
            <v>VMI</v>
          </cell>
          <cell r="B208">
            <v>-0.29897314510533701</v>
          </cell>
          <cell r="D208" t="e">
            <v>#N/A</v>
          </cell>
          <cell r="E208" t="e">
            <v>#N/A</v>
          </cell>
        </row>
        <row r="209">
          <cell r="A209" t="str">
            <v>Bellarmine</v>
          </cell>
          <cell r="B209">
            <v>-0.30337991714891643</v>
          </cell>
          <cell r="D209" t="e">
            <v>#N/A</v>
          </cell>
          <cell r="E209" t="e">
            <v>#N/A</v>
          </cell>
        </row>
        <row r="210">
          <cell r="A210" t="str">
            <v>New Mexico State</v>
          </cell>
          <cell r="B210">
            <v>-0.30421932880091879</v>
          </cell>
          <cell r="D210" t="e">
            <v>#N/A</v>
          </cell>
          <cell r="E210" t="e">
            <v>#N/A</v>
          </cell>
        </row>
        <row r="211">
          <cell r="A211" t="str">
            <v>La Salle</v>
          </cell>
          <cell r="B211">
            <v>-0.30439551126483061</v>
          </cell>
          <cell r="D211" t="e">
            <v>#N/A</v>
          </cell>
          <cell r="E211" t="e">
            <v>#N/A</v>
          </cell>
        </row>
        <row r="212">
          <cell r="A212" t="str">
            <v>Stetson</v>
          </cell>
          <cell r="B212">
            <v>-0.31579190068548296</v>
          </cell>
          <cell r="D212" t="e">
            <v>#N/A</v>
          </cell>
          <cell r="E212" t="e">
            <v>#N/A</v>
          </cell>
        </row>
        <row r="213">
          <cell r="A213" t="str">
            <v>Northern Kentucky</v>
          </cell>
          <cell r="B213">
            <v>-0.32512599847161844</v>
          </cell>
          <cell r="D213" t="e">
            <v>#N/A</v>
          </cell>
          <cell r="E213" t="e">
            <v>#N/A</v>
          </cell>
        </row>
        <row r="214">
          <cell r="A214" t="str">
            <v>East Carolina</v>
          </cell>
          <cell r="B214">
            <v>-0.32912400551968324</v>
          </cell>
          <cell r="D214" t="e">
            <v>#N/A</v>
          </cell>
          <cell r="E214" t="e">
            <v>#N/A</v>
          </cell>
        </row>
        <row r="215">
          <cell r="A215" t="str">
            <v>California Baptist</v>
          </cell>
          <cell r="B215">
            <v>-0.34347987437201793</v>
          </cell>
          <cell r="D215" t="e">
            <v>#N/A</v>
          </cell>
          <cell r="E215" t="e">
            <v>#N/A</v>
          </cell>
        </row>
        <row r="216">
          <cell r="A216" t="str">
            <v>Charleston</v>
          </cell>
          <cell r="B216">
            <v>-0.35322937384394926</v>
          </cell>
          <cell r="D216" t="e">
            <v>#N/A</v>
          </cell>
          <cell r="E216" t="e">
            <v>#N/A</v>
          </cell>
        </row>
        <row r="217">
          <cell r="A217" t="str">
            <v>Detroit</v>
          </cell>
          <cell r="B217">
            <v>-0.36360955880029971</v>
          </cell>
          <cell r="D217" t="e">
            <v>#N/A</v>
          </cell>
          <cell r="E217" t="e">
            <v>#N/A</v>
          </cell>
        </row>
        <row r="218">
          <cell r="A218" t="str">
            <v>Houston Christian</v>
          </cell>
          <cell r="B218">
            <v>-0.37122654373574687</v>
          </cell>
          <cell r="D218" t="e">
            <v>#N/A</v>
          </cell>
          <cell r="E218" t="e">
            <v>#N/A</v>
          </cell>
        </row>
        <row r="219">
          <cell r="A219" t="str">
            <v>Fairfield</v>
          </cell>
          <cell r="B219">
            <v>-0.3732637465773444</v>
          </cell>
          <cell r="D219" t="e">
            <v>#N/A</v>
          </cell>
          <cell r="E219" t="e">
            <v>#N/A</v>
          </cell>
        </row>
        <row r="220">
          <cell r="A220" t="str">
            <v>Stony Brook</v>
          </cell>
          <cell r="B220">
            <v>-0.37395133150091947</v>
          </cell>
          <cell r="D220" t="e">
            <v>#N/A</v>
          </cell>
          <cell r="E220" t="e">
            <v>#N/A</v>
          </cell>
        </row>
        <row r="221">
          <cell r="A221" t="str">
            <v>Northern Arizona</v>
          </cell>
          <cell r="B221">
            <v>-0.37625944134085137</v>
          </cell>
          <cell r="D221" t="e">
            <v>#N/A</v>
          </cell>
          <cell r="E221" t="e">
            <v>#N/A</v>
          </cell>
        </row>
        <row r="222">
          <cell r="A222" t="str">
            <v>Long Island University</v>
          </cell>
          <cell r="B222">
            <v>-0.38665172445706625</v>
          </cell>
          <cell r="D222" t="e">
            <v>#N/A</v>
          </cell>
          <cell r="E222" t="e">
            <v>#N/A</v>
          </cell>
        </row>
        <row r="223">
          <cell r="A223" t="str">
            <v>Loyola (MD)</v>
          </cell>
          <cell r="B223">
            <v>-0.40696467913269402</v>
          </cell>
          <cell r="D223" t="e">
            <v>#N/A</v>
          </cell>
          <cell r="E223" t="e">
            <v>#N/A</v>
          </cell>
        </row>
        <row r="224">
          <cell r="A224" t="str">
            <v>Quinnipiac</v>
          </cell>
          <cell r="B224">
            <v>-0.41442078476716604</v>
          </cell>
          <cell r="D224" t="e">
            <v>#N/A</v>
          </cell>
          <cell r="E224" t="e">
            <v>#N/A</v>
          </cell>
        </row>
        <row r="225">
          <cell r="A225" t="str">
            <v>Temple</v>
          </cell>
          <cell r="B225">
            <v>-0.42691311718293035</v>
          </cell>
          <cell r="D225" t="e">
            <v>#N/A</v>
          </cell>
          <cell r="E225" t="e">
            <v>#N/A</v>
          </cell>
        </row>
        <row r="226">
          <cell r="A226" t="str">
            <v>Eastern Kentucky</v>
          </cell>
          <cell r="B226">
            <v>-0.43206741612643207</v>
          </cell>
          <cell r="D226" t="e">
            <v>#N/A</v>
          </cell>
          <cell r="E226" t="e">
            <v>#N/A</v>
          </cell>
        </row>
        <row r="227">
          <cell r="A227" t="str">
            <v>Southern Miss</v>
          </cell>
          <cell r="B227">
            <v>-0.43611307519106129</v>
          </cell>
          <cell r="D227" t="e">
            <v>#N/A</v>
          </cell>
          <cell r="E227" t="e">
            <v>#N/A</v>
          </cell>
        </row>
        <row r="228">
          <cell r="A228" t="str">
            <v>Indiana State</v>
          </cell>
          <cell r="B228">
            <v>-0.43665294881850375</v>
          </cell>
          <cell r="D228" t="e">
            <v>#N/A</v>
          </cell>
          <cell r="E228" t="e">
            <v>#N/A</v>
          </cell>
        </row>
        <row r="229">
          <cell r="A229" t="str">
            <v>Samford</v>
          </cell>
          <cell r="B229">
            <v>-0.44196251990887186</v>
          </cell>
          <cell r="D229" t="e">
            <v>#N/A</v>
          </cell>
          <cell r="E229" t="e">
            <v>#N/A</v>
          </cell>
        </row>
        <row r="230">
          <cell r="A230" t="str">
            <v>Hampton</v>
          </cell>
          <cell r="B230">
            <v>-0.45925592441518492</v>
          </cell>
          <cell r="D230" t="e">
            <v>#N/A</v>
          </cell>
          <cell r="E230" t="e">
            <v>#N/A</v>
          </cell>
        </row>
        <row r="231">
          <cell r="A231" t="str">
            <v>Tarleton</v>
          </cell>
          <cell r="B231">
            <v>-0.45949224070283545</v>
          </cell>
          <cell r="D231" t="e">
            <v>#N/A</v>
          </cell>
          <cell r="E231" t="e">
            <v>#N/A</v>
          </cell>
        </row>
        <row r="232">
          <cell r="A232" t="str">
            <v>IU Indianapolis</v>
          </cell>
          <cell r="B232">
            <v>-0.465839320956212</v>
          </cell>
          <cell r="D232" t="e">
            <v>#N/A</v>
          </cell>
          <cell r="E232" t="e">
            <v>#N/A</v>
          </cell>
        </row>
        <row r="233">
          <cell r="A233" t="str">
            <v>Coastal Carolina</v>
          </cell>
          <cell r="B233">
            <v>-0.46604004712360597</v>
          </cell>
          <cell r="D233" t="e">
            <v>#N/A</v>
          </cell>
          <cell r="E233" t="e">
            <v>#N/A</v>
          </cell>
        </row>
        <row r="234">
          <cell r="A234" t="str">
            <v>Elon</v>
          </cell>
          <cell r="B234">
            <v>-0.46751935747277718</v>
          </cell>
          <cell r="D234" t="e">
            <v>#N/A</v>
          </cell>
          <cell r="E234" t="e">
            <v>#N/A</v>
          </cell>
        </row>
        <row r="235">
          <cell r="A235" t="str">
            <v>Army</v>
          </cell>
          <cell r="B235">
            <v>-0.47696493511226368</v>
          </cell>
          <cell r="D235" t="e">
            <v>#N/A</v>
          </cell>
          <cell r="E235" t="e">
            <v>#N/A</v>
          </cell>
        </row>
        <row r="236">
          <cell r="A236" t="str">
            <v>Tulane</v>
          </cell>
          <cell r="B236">
            <v>-0.48322405470008301</v>
          </cell>
          <cell r="D236" t="e">
            <v>#N/A</v>
          </cell>
          <cell r="E236" t="e">
            <v>#N/A</v>
          </cell>
        </row>
        <row r="237">
          <cell r="A237" t="str">
            <v>SE Louisiana</v>
          </cell>
          <cell r="B237">
            <v>-0.48567121779070865</v>
          </cell>
          <cell r="D237" t="e">
            <v>#N/A</v>
          </cell>
          <cell r="E237" t="e">
            <v>#N/A</v>
          </cell>
        </row>
        <row r="238">
          <cell r="A238" t="str">
            <v>Arkansas State</v>
          </cell>
          <cell r="B238">
            <v>-0.49121385277204499</v>
          </cell>
          <cell r="D238" t="e">
            <v>#N/A</v>
          </cell>
          <cell r="E238" t="e">
            <v>#N/A</v>
          </cell>
        </row>
        <row r="239">
          <cell r="A239" t="str">
            <v>Bradley</v>
          </cell>
          <cell r="B239">
            <v>-0.49862486579096255</v>
          </cell>
          <cell r="D239" t="e">
            <v>#N/A</v>
          </cell>
          <cell r="E239" t="e">
            <v>#N/A</v>
          </cell>
        </row>
        <row r="240">
          <cell r="A240" t="str">
            <v>Troy</v>
          </cell>
          <cell r="B240">
            <v>-0.50350046682799898</v>
          </cell>
          <cell r="D240" t="e">
            <v>#N/A</v>
          </cell>
          <cell r="E240" t="e">
            <v>#N/A</v>
          </cell>
        </row>
        <row r="241">
          <cell r="A241" t="str">
            <v>Youngstown State</v>
          </cell>
          <cell r="B241">
            <v>-0.50384613759702657</v>
          </cell>
          <cell r="D241" t="e">
            <v>#N/A</v>
          </cell>
          <cell r="E241" t="e">
            <v>#N/A</v>
          </cell>
        </row>
        <row r="242">
          <cell r="A242" t="str">
            <v>Monmouth</v>
          </cell>
          <cell r="B242">
            <v>-0.51138092620615261</v>
          </cell>
          <cell r="D242" t="e">
            <v>#N/A</v>
          </cell>
          <cell r="E242" t="e">
            <v>#N/A</v>
          </cell>
        </row>
        <row r="243">
          <cell r="A243" t="str">
            <v>Georgia State</v>
          </cell>
          <cell r="B243">
            <v>-0.51315573618220101</v>
          </cell>
          <cell r="D243" t="e">
            <v>#N/A</v>
          </cell>
          <cell r="E243" t="e">
            <v>#N/A</v>
          </cell>
        </row>
        <row r="244">
          <cell r="A244" t="str">
            <v>Tennessee State</v>
          </cell>
          <cell r="B244">
            <v>-0.51448378571406816</v>
          </cell>
          <cell r="D244" t="e">
            <v>#N/A</v>
          </cell>
          <cell r="E244" t="e">
            <v>#N/A</v>
          </cell>
        </row>
        <row r="245">
          <cell r="A245" t="str">
            <v>St. Bonaventure</v>
          </cell>
          <cell r="B245">
            <v>-0.515213031043114</v>
          </cell>
          <cell r="D245" t="e">
            <v>#N/A</v>
          </cell>
          <cell r="E245" t="e">
            <v>#N/A</v>
          </cell>
        </row>
        <row r="246">
          <cell r="A246" t="str">
            <v>Utah Tech</v>
          </cell>
          <cell r="B246">
            <v>-0.52446371015324078</v>
          </cell>
          <cell r="D246" t="e">
            <v>#N/A</v>
          </cell>
          <cell r="E246" t="e">
            <v>#N/A</v>
          </cell>
        </row>
        <row r="247">
          <cell r="A247" t="str">
            <v>CSU Fullerton</v>
          </cell>
          <cell r="B247">
            <v>-0.52770356328975543</v>
          </cell>
          <cell r="D247" t="e">
            <v>#N/A</v>
          </cell>
          <cell r="E247" t="e">
            <v>#N/A</v>
          </cell>
        </row>
        <row r="248">
          <cell r="A248" t="str">
            <v>Austin Peay</v>
          </cell>
          <cell r="B248">
            <v>-0.52882302549608373</v>
          </cell>
          <cell r="D248" t="e">
            <v>#N/A</v>
          </cell>
          <cell r="E248" t="e">
            <v>#N/A</v>
          </cell>
        </row>
        <row r="249">
          <cell r="A249" t="str">
            <v>Queens University</v>
          </cell>
          <cell r="B249">
            <v>-0.53034881173489101</v>
          </cell>
          <cell r="D249" t="e">
            <v>#N/A</v>
          </cell>
          <cell r="E249" t="e">
            <v>#N/A</v>
          </cell>
        </row>
        <row r="250">
          <cell r="A250" t="str">
            <v>Florida Gulf Coast</v>
          </cell>
          <cell r="B250">
            <v>-0.54182988598239124</v>
          </cell>
          <cell r="D250" t="e">
            <v>#N/A</v>
          </cell>
          <cell r="E250" t="e">
            <v>#N/A</v>
          </cell>
        </row>
        <row r="251">
          <cell r="A251" t="str">
            <v>Central Michigan</v>
          </cell>
          <cell r="B251">
            <v>-0.54195532860239859</v>
          </cell>
          <cell r="D251" t="e">
            <v>#N/A</v>
          </cell>
          <cell r="E251" t="e">
            <v>#N/A</v>
          </cell>
        </row>
        <row r="252">
          <cell r="A252" t="str">
            <v>Marist</v>
          </cell>
          <cell r="B252">
            <v>-0.54427970803526937</v>
          </cell>
          <cell r="D252" t="e">
            <v>#N/A</v>
          </cell>
          <cell r="E252" t="e">
            <v>#N/A</v>
          </cell>
        </row>
        <row r="253">
          <cell r="A253" t="str">
            <v>Denver</v>
          </cell>
          <cell r="B253">
            <v>-0.55773658433734752</v>
          </cell>
          <cell r="D253" t="e">
            <v>#N/A</v>
          </cell>
          <cell r="E253" t="e">
            <v>#N/A</v>
          </cell>
        </row>
        <row r="254">
          <cell r="A254" t="str">
            <v>Kansas City</v>
          </cell>
          <cell r="B254">
            <v>-0.57257090416869005</v>
          </cell>
          <cell r="D254" t="e">
            <v>#N/A</v>
          </cell>
          <cell r="E254" t="e">
            <v>#N/A</v>
          </cell>
        </row>
        <row r="255">
          <cell r="A255" t="str">
            <v>Cleveland State</v>
          </cell>
          <cell r="B255">
            <v>-0.58264802103946467</v>
          </cell>
          <cell r="D255" t="e">
            <v>#N/A</v>
          </cell>
          <cell r="E255" t="e">
            <v>#N/A</v>
          </cell>
        </row>
        <row r="256">
          <cell r="A256" t="str">
            <v>Portland State</v>
          </cell>
          <cell r="B256">
            <v>-0.5860817619786759</v>
          </cell>
          <cell r="D256" t="e">
            <v>#N/A</v>
          </cell>
          <cell r="E256" t="e">
            <v>#N/A</v>
          </cell>
        </row>
        <row r="257">
          <cell r="A257" t="str">
            <v>Old Dominion</v>
          </cell>
          <cell r="B257">
            <v>-0.58955318994081896</v>
          </cell>
          <cell r="D257" t="e">
            <v>#N/A</v>
          </cell>
          <cell r="E257" t="e">
            <v>#N/A</v>
          </cell>
        </row>
        <row r="258">
          <cell r="A258" t="str">
            <v>Marshall</v>
          </cell>
          <cell r="B258">
            <v>-0.59263321572373817</v>
          </cell>
          <cell r="D258" t="e">
            <v>#N/A</v>
          </cell>
          <cell r="E258" t="e">
            <v>#N/A</v>
          </cell>
        </row>
        <row r="259">
          <cell r="A259" t="str">
            <v>Portland</v>
          </cell>
          <cell r="B259">
            <v>-0.59745305577276031</v>
          </cell>
          <cell r="D259" t="e">
            <v>#N/A</v>
          </cell>
          <cell r="E259" t="e">
            <v>#N/A</v>
          </cell>
        </row>
        <row r="260">
          <cell r="A260" t="str">
            <v>Missouri State</v>
          </cell>
          <cell r="B260">
            <v>-0.62111707028100671</v>
          </cell>
          <cell r="D260" t="e">
            <v>#N/A</v>
          </cell>
          <cell r="E260" t="e">
            <v>#N/A</v>
          </cell>
        </row>
        <row r="261">
          <cell r="A261" t="str">
            <v>Mount St. Mary's</v>
          </cell>
          <cell r="B261">
            <v>-0.62349359608890231</v>
          </cell>
          <cell r="D261" t="e">
            <v>#N/A</v>
          </cell>
          <cell r="E261" t="e">
            <v>#N/A</v>
          </cell>
        </row>
        <row r="262">
          <cell r="A262" t="str">
            <v>East Texas A&amp;M</v>
          </cell>
          <cell r="B262">
            <v>-0.63434067565139729</v>
          </cell>
          <cell r="D262" t="e">
            <v>#N/A</v>
          </cell>
          <cell r="E262" t="e">
            <v>#N/A</v>
          </cell>
        </row>
        <row r="263">
          <cell r="A263" t="str">
            <v>Green Bay</v>
          </cell>
          <cell r="B263">
            <v>-0.63689827911800911</v>
          </cell>
          <cell r="D263" t="e">
            <v>#N/A</v>
          </cell>
          <cell r="E263" t="e">
            <v>#N/A</v>
          </cell>
        </row>
        <row r="264">
          <cell r="A264" t="str">
            <v>Omaha</v>
          </cell>
          <cell r="B264">
            <v>-0.63756797351596317</v>
          </cell>
          <cell r="D264" t="e">
            <v>#N/A</v>
          </cell>
          <cell r="E264" t="e">
            <v>#N/A</v>
          </cell>
        </row>
        <row r="265">
          <cell r="A265" t="str">
            <v>Southern Indiana</v>
          </cell>
          <cell r="B265">
            <v>-0.66785658884267141</v>
          </cell>
          <cell r="D265" t="e">
            <v>#N/A</v>
          </cell>
          <cell r="E265" t="e">
            <v>#N/A</v>
          </cell>
        </row>
        <row r="266">
          <cell r="A266" t="str">
            <v>Central Connecticut</v>
          </cell>
          <cell r="B266">
            <v>-0.67237651845972068</v>
          </cell>
          <cell r="D266" t="e">
            <v>#N/A</v>
          </cell>
          <cell r="E266" t="e">
            <v>#N/A</v>
          </cell>
        </row>
        <row r="267">
          <cell r="A267" t="str">
            <v>Charleston Southern</v>
          </cell>
          <cell r="B267">
            <v>-0.6815659413460361</v>
          </cell>
          <cell r="D267" t="e">
            <v>#N/A</v>
          </cell>
          <cell r="E267" t="e">
            <v>#N/A</v>
          </cell>
        </row>
        <row r="268">
          <cell r="A268" t="str">
            <v>Appalachian State</v>
          </cell>
          <cell r="B268">
            <v>-0.6817366486783959</v>
          </cell>
          <cell r="D268" t="e">
            <v>#N/A</v>
          </cell>
          <cell r="E268" t="e">
            <v>#N/A</v>
          </cell>
        </row>
        <row r="269">
          <cell r="A269" t="str">
            <v>UTSA</v>
          </cell>
          <cell r="B269">
            <v>-0.69228531957195139</v>
          </cell>
          <cell r="D269" t="e">
            <v>#N/A</v>
          </cell>
          <cell r="E269" t="e">
            <v>#N/A</v>
          </cell>
        </row>
        <row r="270">
          <cell r="A270" t="str">
            <v>Navy</v>
          </cell>
          <cell r="B270">
            <v>-0.70321178629688619</v>
          </cell>
          <cell r="D270" t="e">
            <v>#N/A</v>
          </cell>
          <cell r="E270" t="e">
            <v>#N/A</v>
          </cell>
        </row>
        <row r="271">
          <cell r="A271" t="str">
            <v>Southern Utah</v>
          </cell>
          <cell r="B271">
            <v>-0.70376067972266398</v>
          </cell>
          <cell r="D271" t="e">
            <v>#N/A</v>
          </cell>
          <cell r="E271" t="e">
            <v>#N/A</v>
          </cell>
        </row>
        <row r="272">
          <cell r="A272" t="str">
            <v>Nicholls</v>
          </cell>
          <cell r="B272">
            <v>-0.70733598137170717</v>
          </cell>
          <cell r="D272" t="e">
            <v>#N/A</v>
          </cell>
          <cell r="E272" t="e">
            <v>#N/A</v>
          </cell>
        </row>
        <row r="273">
          <cell r="A273" t="str">
            <v>Mercyhurst</v>
          </cell>
          <cell r="B273">
            <v>-0.70767567974816714</v>
          </cell>
          <cell r="D273" t="e">
            <v>#N/A</v>
          </cell>
          <cell r="E273" t="e">
            <v>#N/A</v>
          </cell>
        </row>
        <row r="274">
          <cell r="A274" t="str">
            <v>Delaware</v>
          </cell>
          <cell r="B274">
            <v>-0.71486865970913593</v>
          </cell>
          <cell r="D274" t="e">
            <v>#N/A</v>
          </cell>
          <cell r="E274" t="e">
            <v>#N/A</v>
          </cell>
        </row>
        <row r="275">
          <cell r="A275" t="str">
            <v>Evansville</v>
          </cell>
          <cell r="B275">
            <v>-0.71640162729908174</v>
          </cell>
          <cell r="D275" t="e">
            <v>#N/A</v>
          </cell>
          <cell r="E275" t="e">
            <v>#N/A</v>
          </cell>
        </row>
        <row r="276">
          <cell r="A276" t="str">
            <v>Mercer</v>
          </cell>
          <cell r="B276">
            <v>-0.72273130206610503</v>
          </cell>
          <cell r="D276" t="e">
            <v>#N/A</v>
          </cell>
          <cell r="E276" t="e">
            <v>#N/A</v>
          </cell>
        </row>
        <row r="277">
          <cell r="A277" t="str">
            <v>Bethune-Cookman</v>
          </cell>
          <cell r="B277">
            <v>-0.72796608803177998</v>
          </cell>
          <cell r="D277" t="e">
            <v>#N/A</v>
          </cell>
          <cell r="E277" t="e">
            <v>#N/A</v>
          </cell>
        </row>
        <row r="278">
          <cell r="A278" t="str">
            <v>Hofstra</v>
          </cell>
          <cell r="B278">
            <v>-0.73554683227934292</v>
          </cell>
          <cell r="D278" t="e">
            <v>#N/A</v>
          </cell>
          <cell r="E278" t="e">
            <v>#N/A</v>
          </cell>
        </row>
        <row r="279">
          <cell r="A279" t="str">
            <v>New Orleans</v>
          </cell>
          <cell r="B279">
            <v>-0.74080092520195373</v>
          </cell>
          <cell r="D279" t="e">
            <v>#N/A</v>
          </cell>
          <cell r="E279" t="e">
            <v>#N/A</v>
          </cell>
        </row>
        <row r="280">
          <cell r="A280" t="str">
            <v>UMass Lowell</v>
          </cell>
          <cell r="B280">
            <v>-0.74229391238874232</v>
          </cell>
          <cell r="D280" t="e">
            <v>#N/A</v>
          </cell>
          <cell r="E280" t="e">
            <v>#N/A</v>
          </cell>
        </row>
        <row r="281">
          <cell r="A281" t="str">
            <v>Towson</v>
          </cell>
          <cell r="B281">
            <v>-0.765009761516241</v>
          </cell>
          <cell r="D281" t="e">
            <v>#N/A</v>
          </cell>
          <cell r="E281" t="e">
            <v>#N/A</v>
          </cell>
        </row>
        <row r="282">
          <cell r="A282" t="str">
            <v>Jacksonville State</v>
          </cell>
          <cell r="B282">
            <v>-0.7706228200153088</v>
          </cell>
          <cell r="D282" t="e">
            <v>#N/A</v>
          </cell>
          <cell r="E282" t="e">
            <v>#N/A</v>
          </cell>
        </row>
        <row r="283">
          <cell r="A283" t="str">
            <v>Le Moyne</v>
          </cell>
          <cell r="B283">
            <v>-0.77230399911120617</v>
          </cell>
          <cell r="D283" t="e">
            <v>#N/A</v>
          </cell>
          <cell r="E283" t="e">
            <v>#N/A</v>
          </cell>
        </row>
        <row r="284">
          <cell r="A284" t="str">
            <v>Vermont</v>
          </cell>
          <cell r="B284">
            <v>-0.77394267881540035</v>
          </cell>
          <cell r="D284" t="e">
            <v>#N/A</v>
          </cell>
          <cell r="E284" t="e">
            <v>#N/A</v>
          </cell>
        </row>
        <row r="285">
          <cell r="A285" t="str">
            <v>West Georgia</v>
          </cell>
          <cell r="B285">
            <v>-0.77487241015580555</v>
          </cell>
          <cell r="D285" t="e">
            <v>#N/A</v>
          </cell>
          <cell r="E285" t="e">
            <v>#N/A</v>
          </cell>
        </row>
        <row r="286">
          <cell r="A286" t="str">
            <v>Purdue Fort Wayne</v>
          </cell>
          <cell r="B286">
            <v>-0.78482009415579745</v>
          </cell>
          <cell r="D286" t="e">
            <v>#N/A</v>
          </cell>
          <cell r="E286" t="e">
            <v>#N/A</v>
          </cell>
        </row>
        <row r="287">
          <cell r="A287" t="str">
            <v>Merrimack</v>
          </cell>
          <cell r="B287">
            <v>-0.78544759694410493</v>
          </cell>
          <cell r="D287" t="e">
            <v>#N/A</v>
          </cell>
          <cell r="E287" t="e">
            <v>#N/A</v>
          </cell>
        </row>
        <row r="288">
          <cell r="A288" t="str">
            <v>Southern Illinois</v>
          </cell>
          <cell r="B288">
            <v>-0.80367244262928839</v>
          </cell>
          <cell r="D288" t="e">
            <v>#N/A</v>
          </cell>
          <cell r="E288" t="e">
            <v>#N/A</v>
          </cell>
        </row>
        <row r="289">
          <cell r="A289" t="str">
            <v>North Dakota</v>
          </cell>
          <cell r="B289">
            <v>-0.81142181919236855</v>
          </cell>
          <cell r="D289" t="e">
            <v>#N/A</v>
          </cell>
          <cell r="E289" t="e">
            <v>#N/A</v>
          </cell>
        </row>
        <row r="290">
          <cell r="A290" t="str">
            <v>Southeast Missouri State</v>
          </cell>
          <cell r="B290">
            <v>-0.82293881568665295</v>
          </cell>
          <cell r="D290" t="e">
            <v>#N/A</v>
          </cell>
          <cell r="E290" t="e">
            <v>#N/A</v>
          </cell>
        </row>
        <row r="291">
          <cell r="A291" t="str">
            <v>South Dakota</v>
          </cell>
          <cell r="B291">
            <v>-0.8290147114586508</v>
          </cell>
          <cell r="D291" t="e">
            <v>#N/A</v>
          </cell>
          <cell r="E291" t="e">
            <v>#N/A</v>
          </cell>
        </row>
        <row r="292">
          <cell r="A292" t="str">
            <v>Saint Peter's</v>
          </cell>
          <cell r="B292">
            <v>-0.83420329072150101</v>
          </cell>
          <cell r="D292" t="e">
            <v>#N/A</v>
          </cell>
          <cell r="E292" t="e">
            <v>#N/A</v>
          </cell>
        </row>
        <row r="293">
          <cell r="A293" t="str">
            <v>New Hampshire</v>
          </cell>
          <cell r="B293">
            <v>-0.83582999769199318</v>
          </cell>
          <cell r="D293" t="e">
            <v>#N/A</v>
          </cell>
          <cell r="E293" t="e">
            <v>#N/A</v>
          </cell>
        </row>
        <row r="294">
          <cell r="A294" t="str">
            <v>UT Martin</v>
          </cell>
          <cell r="B294">
            <v>-0.84648752787540882</v>
          </cell>
          <cell r="D294" t="e">
            <v>#N/A</v>
          </cell>
          <cell r="E294" t="e">
            <v>#N/A</v>
          </cell>
        </row>
        <row r="295">
          <cell r="A295" t="str">
            <v>Bryant</v>
          </cell>
          <cell r="B295">
            <v>-0.8471285730258904</v>
          </cell>
          <cell r="D295" t="e">
            <v>#N/A</v>
          </cell>
          <cell r="E295" t="e">
            <v>#N/A</v>
          </cell>
        </row>
        <row r="296">
          <cell r="A296" t="str">
            <v>Radford</v>
          </cell>
          <cell r="B296">
            <v>-0.86609707347956433</v>
          </cell>
          <cell r="D296" t="e">
            <v>#N/A</v>
          </cell>
          <cell r="E296" t="e">
            <v>#N/A</v>
          </cell>
        </row>
        <row r="297">
          <cell r="A297" t="str">
            <v>Drexel</v>
          </cell>
          <cell r="B297">
            <v>-0.86615243242352324</v>
          </cell>
          <cell r="D297" t="e">
            <v>#N/A</v>
          </cell>
          <cell r="E297" t="e">
            <v>#N/A</v>
          </cell>
        </row>
        <row r="298">
          <cell r="A298" t="str">
            <v>NJIT</v>
          </cell>
          <cell r="B298">
            <v>-0.87194187148889768</v>
          </cell>
          <cell r="D298" t="e">
            <v>#N/A</v>
          </cell>
          <cell r="E298" t="e">
            <v>#N/A</v>
          </cell>
        </row>
        <row r="299">
          <cell r="A299" t="str">
            <v>Wofford</v>
          </cell>
          <cell r="B299">
            <v>-0.89233952464733945</v>
          </cell>
          <cell r="D299" t="e">
            <v>#N/A</v>
          </cell>
          <cell r="E299" t="e">
            <v>#N/A</v>
          </cell>
        </row>
        <row r="300">
          <cell r="A300" t="str">
            <v>Long Beach State</v>
          </cell>
          <cell r="B300">
            <v>-0.89530012840356477</v>
          </cell>
          <cell r="D300" t="e">
            <v>#N/A</v>
          </cell>
          <cell r="E300" t="e">
            <v>#N/A</v>
          </cell>
        </row>
        <row r="301">
          <cell r="A301" t="str">
            <v>New Haven</v>
          </cell>
          <cell r="B301">
            <v>-0.89628899896155367</v>
          </cell>
          <cell r="D301" t="e">
            <v>#N/A</v>
          </cell>
          <cell r="E301" t="e">
            <v>#N/A</v>
          </cell>
        </row>
        <row r="302">
          <cell r="A302" t="str">
            <v>Texas A&amp;M-CC</v>
          </cell>
          <cell r="B302">
            <v>-0.89637637393642411</v>
          </cell>
          <cell r="D302" t="e">
            <v>#N/A</v>
          </cell>
          <cell r="E302" t="e">
            <v>#N/A</v>
          </cell>
        </row>
        <row r="303">
          <cell r="A303" t="str">
            <v>UC Riverside</v>
          </cell>
          <cell r="B303">
            <v>-0.90073440090922385</v>
          </cell>
          <cell r="D303" t="e">
            <v>#N/A</v>
          </cell>
          <cell r="E303" t="e">
            <v>#N/A</v>
          </cell>
        </row>
        <row r="304">
          <cell r="A304" t="str">
            <v>Albany</v>
          </cell>
          <cell r="B304">
            <v>-0.92086290887376487</v>
          </cell>
          <cell r="D304" t="e">
            <v>#N/A</v>
          </cell>
          <cell r="E304" t="e">
            <v>#N/A</v>
          </cell>
        </row>
        <row r="305">
          <cell r="A305" t="str">
            <v>The Citadel</v>
          </cell>
          <cell r="B305">
            <v>-0.93098418918878278</v>
          </cell>
          <cell r="D305" t="e">
            <v>#N/A</v>
          </cell>
          <cell r="E305" t="e">
            <v>#N/A</v>
          </cell>
        </row>
        <row r="306">
          <cell r="A306" t="str">
            <v>James Madison</v>
          </cell>
          <cell r="B306">
            <v>-0.93820339075300552</v>
          </cell>
          <cell r="D306" t="e">
            <v>#N/A</v>
          </cell>
          <cell r="E306" t="e">
            <v>#N/A</v>
          </cell>
        </row>
        <row r="307">
          <cell r="A307" t="str">
            <v>North Florida</v>
          </cell>
          <cell r="B307">
            <v>-0.95942381597271109</v>
          </cell>
          <cell r="D307" t="e">
            <v>#N/A</v>
          </cell>
          <cell r="E307" t="e">
            <v>#N/A</v>
          </cell>
        </row>
        <row r="308">
          <cell r="A308" t="str">
            <v>Boston University</v>
          </cell>
          <cell r="B308">
            <v>-0.96123982610687742</v>
          </cell>
          <cell r="D308" t="e">
            <v>#N/A</v>
          </cell>
          <cell r="E308" t="e">
            <v>#N/A</v>
          </cell>
        </row>
        <row r="309">
          <cell r="A309" t="str">
            <v>Fairleigh Dickinson</v>
          </cell>
          <cell r="B309">
            <v>-0.96132574580579355</v>
          </cell>
          <cell r="D309" t="e">
            <v>#N/A</v>
          </cell>
          <cell r="E309" t="e">
            <v>#N/A</v>
          </cell>
        </row>
        <row r="310">
          <cell r="A310" t="str">
            <v>Weber State</v>
          </cell>
          <cell r="B310">
            <v>-0.96381311655414181</v>
          </cell>
          <cell r="D310" t="e">
            <v>#N/A</v>
          </cell>
          <cell r="E310" t="e">
            <v>#N/A</v>
          </cell>
        </row>
        <row r="311">
          <cell r="A311" t="str">
            <v>UT Arlington</v>
          </cell>
          <cell r="B311">
            <v>-0.97136809019651005</v>
          </cell>
          <cell r="D311" t="e">
            <v>#N/A</v>
          </cell>
          <cell r="E311" t="e">
            <v>#N/A</v>
          </cell>
        </row>
        <row r="312">
          <cell r="A312" t="str">
            <v>North Alabama</v>
          </cell>
          <cell r="B312">
            <v>-0.99166992705029555</v>
          </cell>
          <cell r="D312" t="e">
            <v>#N/A</v>
          </cell>
          <cell r="E312" t="e">
            <v>#N/A</v>
          </cell>
        </row>
        <row r="313">
          <cell r="A313" t="str">
            <v>Bucknell</v>
          </cell>
          <cell r="B313">
            <v>-0.99913391116308081</v>
          </cell>
          <cell r="D313" t="e">
            <v>#N/A</v>
          </cell>
          <cell r="E313" t="e">
            <v>#N/A</v>
          </cell>
        </row>
        <row r="314">
          <cell r="A314" t="str">
            <v>Binghamton</v>
          </cell>
          <cell r="B314">
            <v>-1.0106293242979099</v>
          </cell>
          <cell r="D314" t="e">
            <v>#N/A</v>
          </cell>
          <cell r="E314" t="e">
            <v>#N/A</v>
          </cell>
        </row>
        <row r="315">
          <cell r="A315" t="str">
            <v>Georgia Southern</v>
          </cell>
          <cell r="B315">
            <v>-1.0138051672059407</v>
          </cell>
          <cell r="D315" t="e">
            <v>#N/A</v>
          </cell>
          <cell r="E315" t="e">
            <v>#N/A</v>
          </cell>
        </row>
        <row r="316">
          <cell r="A316" t="str">
            <v>South Carolina State</v>
          </cell>
          <cell r="B316">
            <v>-1.0195480426565484</v>
          </cell>
          <cell r="D316" t="e">
            <v>#N/A</v>
          </cell>
          <cell r="E316" t="e">
            <v>#N/A</v>
          </cell>
        </row>
        <row r="317">
          <cell r="A317" t="str">
            <v>Iona</v>
          </cell>
          <cell r="B317">
            <v>-1.0205152991751816</v>
          </cell>
          <cell r="D317" t="e">
            <v>#N/A</v>
          </cell>
          <cell r="E317" t="e">
            <v>#N/A</v>
          </cell>
        </row>
        <row r="318">
          <cell r="A318" t="str">
            <v>Lindenwood</v>
          </cell>
          <cell r="B318">
            <v>-1.0332634174692779</v>
          </cell>
          <cell r="D318" t="e">
            <v>#N/A</v>
          </cell>
          <cell r="E318" t="e">
            <v>#N/A</v>
          </cell>
        </row>
        <row r="319">
          <cell r="A319" t="str">
            <v>Incarnate Word</v>
          </cell>
          <cell r="B319">
            <v>-1.0627423558874147</v>
          </cell>
          <cell r="D319" t="e">
            <v>#N/A</v>
          </cell>
          <cell r="E319" t="e">
            <v>#N/A</v>
          </cell>
        </row>
        <row r="320">
          <cell r="A320" t="str">
            <v>Sacred Heart</v>
          </cell>
          <cell r="B320">
            <v>-1.0648455936931862</v>
          </cell>
          <cell r="D320" t="e">
            <v>#N/A</v>
          </cell>
          <cell r="E320" t="e">
            <v>#N/A</v>
          </cell>
        </row>
        <row r="321">
          <cell r="A321" t="str">
            <v>South Alabama</v>
          </cell>
          <cell r="B321">
            <v>-1.0866399218838438</v>
          </cell>
          <cell r="D321" t="e">
            <v>#N/A</v>
          </cell>
          <cell r="E321" t="e">
            <v>#N/A</v>
          </cell>
        </row>
        <row r="322">
          <cell r="A322" t="str">
            <v>Chicago State</v>
          </cell>
          <cell r="B322">
            <v>-1.0867954097593102</v>
          </cell>
          <cell r="D322" t="e">
            <v>#N/A</v>
          </cell>
          <cell r="E322" t="e">
            <v>#N/A</v>
          </cell>
        </row>
        <row r="323">
          <cell r="A323" t="str">
            <v>Stonehill</v>
          </cell>
          <cell r="B323">
            <v>-1.0969575099560482</v>
          </cell>
          <cell r="D323" t="e">
            <v>#N/A</v>
          </cell>
          <cell r="E323" t="e">
            <v>#N/A</v>
          </cell>
        </row>
        <row r="324">
          <cell r="A324" t="str">
            <v>Northwestern State</v>
          </cell>
          <cell r="B324">
            <v>-1.1224567560720171</v>
          </cell>
          <cell r="D324" t="e">
            <v>#N/A</v>
          </cell>
          <cell r="E324" t="e">
            <v>#N/A</v>
          </cell>
        </row>
        <row r="325">
          <cell r="A325" t="str">
            <v>Northern Illinois</v>
          </cell>
          <cell r="B325">
            <v>-1.1289880682750852</v>
          </cell>
          <cell r="D325" t="e">
            <v>#N/A</v>
          </cell>
          <cell r="E325" t="e">
            <v>#N/A</v>
          </cell>
        </row>
        <row r="326">
          <cell r="A326" t="str">
            <v>Niagara</v>
          </cell>
          <cell r="B326">
            <v>-1.1299646574336322</v>
          </cell>
          <cell r="D326" t="e">
            <v>#N/A</v>
          </cell>
          <cell r="E326" t="e">
            <v>#N/A</v>
          </cell>
        </row>
        <row r="327">
          <cell r="A327" t="str">
            <v>Eastern Illinois</v>
          </cell>
          <cell r="B327">
            <v>-1.1449326144480814</v>
          </cell>
          <cell r="D327" t="e">
            <v>#N/A</v>
          </cell>
          <cell r="E327" t="e">
            <v>#N/A</v>
          </cell>
        </row>
        <row r="328">
          <cell r="A328" t="str">
            <v>Manhatten</v>
          </cell>
          <cell r="B328">
            <v>-1.1572678152295108</v>
          </cell>
          <cell r="D328" t="e">
            <v>#N/A</v>
          </cell>
          <cell r="E328" t="e">
            <v>#N/A</v>
          </cell>
        </row>
        <row r="329">
          <cell r="A329" t="str">
            <v>Southern</v>
          </cell>
          <cell r="B329">
            <v>-1.176049022204966</v>
          </cell>
          <cell r="D329" t="e">
            <v>#N/A</v>
          </cell>
          <cell r="E329" t="e">
            <v>#N/A</v>
          </cell>
        </row>
        <row r="330">
          <cell r="A330" t="str">
            <v>Coppin State</v>
          </cell>
          <cell r="B330">
            <v>-1.1890348910895296</v>
          </cell>
          <cell r="D330" t="e">
            <v>#N/A</v>
          </cell>
          <cell r="E330" t="e">
            <v>#N/A</v>
          </cell>
        </row>
        <row r="331">
          <cell r="A331" t="str">
            <v>Lafayette</v>
          </cell>
          <cell r="B331">
            <v>-1.1892582703833479</v>
          </cell>
          <cell r="D331" t="e">
            <v>#N/A</v>
          </cell>
          <cell r="E331" t="e">
            <v>#N/A</v>
          </cell>
        </row>
        <row r="332">
          <cell r="A332" t="str">
            <v>Alabama A&amp;M</v>
          </cell>
          <cell r="B332">
            <v>-1.2108184258958117</v>
          </cell>
          <cell r="D332" t="e">
            <v>#N/A</v>
          </cell>
          <cell r="E332" t="e">
            <v>#N/A</v>
          </cell>
        </row>
        <row r="333">
          <cell r="A333" t="str">
            <v>Holy Cross</v>
          </cell>
          <cell r="B333">
            <v>-1.2139769863509082</v>
          </cell>
          <cell r="D333" t="e">
            <v>#N/A</v>
          </cell>
          <cell r="E333" t="e">
            <v>#N/A</v>
          </cell>
        </row>
        <row r="334">
          <cell r="A334" t="str">
            <v>North Carolina A&amp;T</v>
          </cell>
          <cell r="B334">
            <v>-1.2253057491506452</v>
          </cell>
          <cell r="D334" t="e">
            <v>#N/A</v>
          </cell>
          <cell r="E334" t="e">
            <v>#N/A</v>
          </cell>
        </row>
        <row r="335">
          <cell r="A335" t="str">
            <v>CSU Northridge</v>
          </cell>
          <cell r="B335">
            <v>-1.2350484605573153</v>
          </cell>
          <cell r="D335" t="e">
            <v>#N/A</v>
          </cell>
          <cell r="E335" t="e">
            <v>#N/A</v>
          </cell>
        </row>
        <row r="336">
          <cell r="A336" t="str">
            <v>Alcorn State</v>
          </cell>
          <cell r="B336">
            <v>-1.2393253262405877</v>
          </cell>
          <cell r="D336" t="e">
            <v>#N/A</v>
          </cell>
          <cell r="E336" t="e">
            <v>#N/A</v>
          </cell>
        </row>
        <row r="337">
          <cell r="A337" t="str">
            <v>Prairie View A&amp;M</v>
          </cell>
          <cell r="B337">
            <v>-1.2427101390671389</v>
          </cell>
          <cell r="D337" t="e">
            <v>#N/A</v>
          </cell>
          <cell r="E337" t="e">
            <v>#N/A</v>
          </cell>
        </row>
        <row r="338">
          <cell r="A338" t="str">
            <v>CSU Bakersfield</v>
          </cell>
          <cell r="B338">
            <v>-1.2487787134398867</v>
          </cell>
          <cell r="D338" t="e">
            <v>#N/A</v>
          </cell>
          <cell r="E338" t="e">
            <v>#N/A</v>
          </cell>
        </row>
        <row r="339">
          <cell r="A339" t="str">
            <v>South Carolina Upstate</v>
          </cell>
          <cell r="B339">
            <v>-1.2695882295457865</v>
          </cell>
          <cell r="D339" t="e">
            <v>#N/A</v>
          </cell>
          <cell r="E339" t="e">
            <v>#N/A</v>
          </cell>
        </row>
        <row r="340">
          <cell r="A340" t="str">
            <v>Campbell</v>
          </cell>
          <cell r="B340">
            <v>-1.291967307998287</v>
          </cell>
          <cell r="D340" t="e">
            <v>#N/A</v>
          </cell>
          <cell r="E340" t="e">
            <v>#N/A</v>
          </cell>
        </row>
        <row r="341">
          <cell r="A341" t="str">
            <v>Gardner-Webb</v>
          </cell>
          <cell r="B341">
            <v>-1.2931756047336269</v>
          </cell>
          <cell r="D341" t="e">
            <v>#N/A</v>
          </cell>
          <cell r="E341" t="e">
            <v>#N/A</v>
          </cell>
        </row>
        <row r="342">
          <cell r="A342" t="str">
            <v>UMBC</v>
          </cell>
          <cell r="B342">
            <v>-1.3200123787539264</v>
          </cell>
          <cell r="D342" t="e">
            <v>#N/A</v>
          </cell>
          <cell r="E342" t="e">
            <v>#N/A</v>
          </cell>
        </row>
        <row r="343">
          <cell r="A343" t="str">
            <v>Wagner</v>
          </cell>
          <cell r="B343">
            <v>-1.33603890398007</v>
          </cell>
          <cell r="D343" t="e">
            <v>#N/A</v>
          </cell>
          <cell r="E343" t="e">
            <v>#N/A</v>
          </cell>
        </row>
        <row r="344">
          <cell r="A344" t="str">
            <v>Air Force</v>
          </cell>
          <cell r="B344">
            <v>-1.3782233605796097</v>
          </cell>
          <cell r="D344" t="e">
            <v>#N/A</v>
          </cell>
          <cell r="E344" t="e">
            <v>#N/A</v>
          </cell>
        </row>
        <row r="345">
          <cell r="A345" t="str">
            <v>Jackson State</v>
          </cell>
          <cell r="B345">
            <v>-1.3796980619798893</v>
          </cell>
          <cell r="D345" t="e">
            <v>#N/A</v>
          </cell>
          <cell r="E345" t="e">
            <v>#N/A</v>
          </cell>
        </row>
        <row r="346">
          <cell r="A346" t="str">
            <v>Louisiana Tech</v>
          </cell>
          <cell r="B346">
            <v>-1.4247976923042951</v>
          </cell>
          <cell r="D346" t="e">
            <v>#N/A</v>
          </cell>
          <cell r="E346" t="e">
            <v>#N/A</v>
          </cell>
        </row>
        <row r="347">
          <cell r="A347" t="str">
            <v>Grambling</v>
          </cell>
          <cell r="B347">
            <v>-1.4381257695506642</v>
          </cell>
          <cell r="D347" t="e">
            <v>#N/A</v>
          </cell>
          <cell r="E347" t="e">
            <v>#N/A</v>
          </cell>
        </row>
        <row r="348">
          <cell r="A348" t="str">
            <v>Rider</v>
          </cell>
          <cell r="B348">
            <v>-1.4398810244946634</v>
          </cell>
          <cell r="D348" t="e">
            <v>#N/A</v>
          </cell>
          <cell r="E348" t="e">
            <v>#N/A</v>
          </cell>
        </row>
        <row r="349">
          <cell r="A349" t="str">
            <v>Delaware State</v>
          </cell>
          <cell r="B349">
            <v>-1.4615733942430449</v>
          </cell>
          <cell r="D349" t="e">
            <v>#N/A</v>
          </cell>
          <cell r="E349" t="e">
            <v>#N/A</v>
          </cell>
        </row>
        <row r="350">
          <cell r="A350" t="str">
            <v>Florida A&amp;M</v>
          </cell>
          <cell r="B350">
            <v>-1.4911640009957752</v>
          </cell>
          <cell r="D350" t="e">
            <v>#N/A</v>
          </cell>
          <cell r="E350" t="e">
            <v>#N/A</v>
          </cell>
        </row>
        <row r="351">
          <cell r="A351" t="str">
            <v>Norfolk State</v>
          </cell>
          <cell r="B351">
            <v>-1.5265219368852272</v>
          </cell>
          <cell r="D351" t="e">
            <v>#N/A</v>
          </cell>
          <cell r="E351" t="e">
            <v>#N/A</v>
          </cell>
        </row>
        <row r="352">
          <cell r="A352" t="str">
            <v>Western Illinois</v>
          </cell>
          <cell r="B352">
            <v>-1.5620889465771406</v>
          </cell>
          <cell r="D352" t="e">
            <v>#N/A</v>
          </cell>
          <cell r="E352" t="e">
            <v>#N/A</v>
          </cell>
        </row>
        <row r="353">
          <cell r="A353" t="str">
            <v>Canisius</v>
          </cell>
          <cell r="B353">
            <v>-1.5660619549077022</v>
          </cell>
          <cell r="D353" t="e">
            <v>#N/A</v>
          </cell>
          <cell r="E353" t="e">
            <v>#N/A</v>
          </cell>
        </row>
        <row r="354">
          <cell r="A354" t="str">
            <v>North Carolina Central</v>
          </cell>
          <cell r="B354">
            <v>-1.5855925668468152</v>
          </cell>
          <cell r="D354" t="e">
            <v>#N/A</v>
          </cell>
          <cell r="E354" t="e">
            <v>#N/A</v>
          </cell>
        </row>
        <row r="355">
          <cell r="A355" t="str">
            <v>Morehead State</v>
          </cell>
          <cell r="B355">
            <v>-1.6490146872265246</v>
          </cell>
          <cell r="D355" t="e">
            <v>#N/A</v>
          </cell>
          <cell r="E355" t="e">
            <v>#N/A</v>
          </cell>
        </row>
        <row r="356">
          <cell r="A356" t="str">
            <v>Texas Southern</v>
          </cell>
          <cell r="B356">
            <v>-1.6727835783591247</v>
          </cell>
          <cell r="D356" t="e">
            <v>#N/A</v>
          </cell>
          <cell r="E356" t="e">
            <v>#N/A</v>
          </cell>
        </row>
        <row r="357">
          <cell r="A357" t="str">
            <v>Morgan State</v>
          </cell>
          <cell r="B357">
            <v>-1.6758471842507332</v>
          </cell>
          <cell r="D357" t="e">
            <v>#N/A</v>
          </cell>
          <cell r="E357" t="e">
            <v>#N/A</v>
          </cell>
        </row>
        <row r="358">
          <cell r="A358" t="str">
            <v>Maine</v>
          </cell>
          <cell r="B358">
            <v>-1.694118425863933</v>
          </cell>
          <cell r="D358" t="e">
            <v>#N/A</v>
          </cell>
          <cell r="E358" t="e">
            <v>#N/A</v>
          </cell>
        </row>
        <row r="359">
          <cell r="A359" t="str">
            <v>Siena</v>
          </cell>
          <cell r="B359">
            <v>-1.7297818243228908</v>
          </cell>
          <cell r="D359" t="e">
            <v>#N/A</v>
          </cell>
          <cell r="E359" t="e">
            <v>#N/A</v>
          </cell>
        </row>
        <row r="360">
          <cell r="A360" t="str">
            <v>Idaho State</v>
          </cell>
          <cell r="B360">
            <v>-1.7345924200181777</v>
          </cell>
          <cell r="D360" t="e">
            <v>#N/A</v>
          </cell>
          <cell r="E360" t="e">
            <v>#N/A</v>
          </cell>
        </row>
        <row r="361">
          <cell r="A361" t="str">
            <v>UL Monroe</v>
          </cell>
          <cell r="B361">
            <v>-1.7375920604950263</v>
          </cell>
          <cell r="D361" t="e">
            <v>#N/A</v>
          </cell>
          <cell r="E361" t="e">
            <v>#N/A</v>
          </cell>
        </row>
        <row r="362">
          <cell r="A362" t="str">
            <v>Alabama State</v>
          </cell>
          <cell r="B362">
            <v>-1.8583883793088116</v>
          </cell>
          <cell r="D362" t="e">
            <v>#N/A</v>
          </cell>
          <cell r="E362" t="e">
            <v>#N/A</v>
          </cell>
        </row>
        <row r="363">
          <cell r="A363" t="str">
            <v>Mississippi Valley State</v>
          </cell>
          <cell r="B363">
            <v>-1.8816656848738484</v>
          </cell>
          <cell r="D363" t="e">
            <v>#N/A</v>
          </cell>
          <cell r="E363" t="e">
            <v>#N/A</v>
          </cell>
        </row>
        <row r="364">
          <cell r="A364" t="str">
            <v>Arkansas-Pine Bluff</v>
          </cell>
          <cell r="B364">
            <v>-2.016002833251465</v>
          </cell>
          <cell r="D364" t="e">
            <v>#N/A</v>
          </cell>
          <cell r="E364" t="e">
            <v>#N/A</v>
          </cell>
        </row>
        <row r="365">
          <cell r="A365" t="str">
            <v>Maryland-Eastern Shore</v>
          </cell>
          <cell r="B365">
            <v>-2.0825706611942971</v>
          </cell>
          <cell r="D365" t="e">
            <v>#N/A</v>
          </cell>
          <cell r="E365" t="e">
            <v>#N/A</v>
          </cell>
        </row>
        <row r="366">
          <cell r="A366" t="str">
            <v>West Florida</v>
          </cell>
          <cell r="B366">
            <v>-2.4554311483832523</v>
          </cell>
          <cell r="D366" t="e">
            <v>#N/A</v>
          </cell>
          <cell r="E366" t="e">
            <v>#N/A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UConn</v>
          </cell>
          <cell r="D2" t="str">
            <v>Michigan</v>
          </cell>
          <cell r="E2">
            <v>-3.9870333483830418</v>
          </cell>
          <cell r="F2" t="b">
            <v>0</v>
          </cell>
          <cell r="G2">
            <v>0.57468333957489515</v>
          </cell>
          <cell r="H2">
            <v>0</v>
          </cell>
          <cell r="I2">
            <v>9.712273918843628E-2</v>
          </cell>
          <cell r="J2">
            <v>5.1676547655618021E-2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Uconn</v>
          </cell>
          <cell r="E3">
            <v>9.4138169436454788</v>
          </cell>
          <cell r="F3" t="b">
            <v>0</v>
          </cell>
          <cell r="G3">
            <v>0.55995832643338628</v>
          </cell>
          <cell r="H3">
            <v>0</v>
          </cell>
          <cell r="I3">
            <v>6.901135046373752E-2</v>
          </cell>
          <cell r="J3">
            <v>0.43705408374879218</v>
          </cell>
          <cell r="K3">
            <v>0</v>
          </cell>
        </row>
        <row r="4">
          <cell r="B4">
            <v>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>
            <v>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C26"/>
          <cell r="D26"/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C27"/>
          <cell r="D27"/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C28"/>
          <cell r="D28"/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C29"/>
          <cell r="D29"/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C30"/>
          <cell r="D30"/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C31"/>
          <cell r="D31"/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C32"/>
          <cell r="D32"/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C33"/>
          <cell r="D33"/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C34"/>
          <cell r="D34"/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C35"/>
          <cell r="D35"/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C36"/>
          <cell r="D36"/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C37"/>
          <cell r="D37"/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C38"/>
          <cell r="D38"/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C39"/>
          <cell r="D39"/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C40"/>
          <cell r="D40"/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C41"/>
          <cell r="D41"/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C42"/>
          <cell r="D42"/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C43"/>
          <cell r="D43"/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C44"/>
          <cell r="D44"/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C45"/>
          <cell r="D45"/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C46"/>
          <cell r="D46"/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C47"/>
          <cell r="D47"/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C48"/>
          <cell r="D48"/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C49"/>
          <cell r="D49"/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C50"/>
          <cell r="D50"/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C51"/>
          <cell r="D51"/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C52"/>
          <cell r="D52"/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C53"/>
          <cell r="D53"/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C54"/>
          <cell r="D54"/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C55"/>
          <cell r="D55"/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C56"/>
          <cell r="D56"/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C57"/>
          <cell r="D57"/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C58"/>
          <cell r="D58"/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C59"/>
          <cell r="D59"/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C60"/>
          <cell r="D60"/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C61"/>
          <cell r="D61"/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C62"/>
          <cell r="D62"/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C63"/>
          <cell r="D63"/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C64"/>
          <cell r="D64"/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C65"/>
          <cell r="D65"/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C66"/>
          <cell r="D66"/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C67"/>
          <cell r="D67"/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C68"/>
          <cell r="D68"/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C69"/>
          <cell r="D69"/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C70"/>
          <cell r="D70"/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C71"/>
          <cell r="D71"/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C72"/>
          <cell r="D72"/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C73"/>
          <cell r="D73"/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C74"/>
          <cell r="D74"/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C75"/>
          <cell r="D75"/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C76"/>
          <cell r="D76"/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C77"/>
          <cell r="D77"/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C78"/>
          <cell r="D78"/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C79"/>
          <cell r="D79"/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C80"/>
          <cell r="D80"/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C81"/>
          <cell r="D81"/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C82"/>
          <cell r="D82"/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C83"/>
          <cell r="D83"/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C84"/>
          <cell r="D84"/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C85"/>
          <cell r="D85"/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C86"/>
          <cell r="D86"/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C87"/>
          <cell r="D87"/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C88"/>
          <cell r="D88"/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C89"/>
          <cell r="D89"/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C90"/>
          <cell r="D90"/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C91"/>
          <cell r="D91"/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C92"/>
          <cell r="D92"/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C93"/>
          <cell r="D93"/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C94"/>
          <cell r="D94"/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C95"/>
          <cell r="D95"/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C96"/>
          <cell r="D96"/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C97"/>
          <cell r="D97"/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C98"/>
          <cell r="D98"/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C99"/>
          <cell r="D99"/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C100"/>
          <cell r="D100"/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C101"/>
          <cell r="D101"/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C102"/>
          <cell r="D102"/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C103"/>
          <cell r="D103"/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C104"/>
          <cell r="D104"/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C105"/>
          <cell r="D105"/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C106"/>
          <cell r="D106"/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C107"/>
          <cell r="D107"/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C108"/>
          <cell r="D108"/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C109"/>
          <cell r="D109"/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C110"/>
          <cell r="D110"/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C111"/>
          <cell r="D111"/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C112"/>
          <cell r="D112"/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C113"/>
          <cell r="D113"/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C114"/>
          <cell r="D114"/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C115"/>
          <cell r="D115"/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C116"/>
          <cell r="D116"/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C117"/>
          <cell r="D117"/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C118"/>
          <cell r="D118"/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C119"/>
          <cell r="D119"/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C120"/>
          <cell r="D120"/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C121"/>
          <cell r="D121"/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C122"/>
          <cell r="D122"/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C123"/>
          <cell r="D123"/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C124"/>
          <cell r="D124"/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C125"/>
          <cell r="D125"/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C126"/>
          <cell r="D126"/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C127"/>
          <cell r="D127"/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C128"/>
          <cell r="D128"/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C129"/>
          <cell r="D129"/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C130"/>
          <cell r="D130"/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C131"/>
          <cell r="D131"/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C132"/>
          <cell r="D132"/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C133"/>
          <cell r="D133"/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C134"/>
          <cell r="D134"/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C135"/>
          <cell r="D135"/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C136"/>
          <cell r="D136"/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C137"/>
          <cell r="D137"/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C138"/>
          <cell r="D138"/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C139"/>
          <cell r="D139"/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C140"/>
          <cell r="D140"/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C141"/>
          <cell r="D141"/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C142"/>
          <cell r="D142"/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C143"/>
          <cell r="D143"/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C144"/>
          <cell r="D144"/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C145"/>
          <cell r="D145"/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C146"/>
          <cell r="D146"/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C147"/>
          <cell r="D147"/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C148"/>
          <cell r="D148"/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C149"/>
          <cell r="D149"/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C150"/>
          <cell r="D150"/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C151"/>
          <cell r="D151"/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C152"/>
          <cell r="D152"/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C153"/>
          <cell r="D153"/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C154"/>
          <cell r="D154"/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C155"/>
          <cell r="D155"/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C156"/>
          <cell r="D156"/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C157"/>
          <cell r="D157"/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C158"/>
          <cell r="D158"/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C159"/>
          <cell r="D159"/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C160"/>
          <cell r="D160"/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C161"/>
          <cell r="D161"/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C162"/>
          <cell r="D162"/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C163"/>
          <cell r="D163"/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C164"/>
          <cell r="D164"/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C165"/>
          <cell r="D165"/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C166"/>
          <cell r="D166"/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C167"/>
          <cell r="D167"/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C168"/>
          <cell r="D168"/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C169"/>
          <cell r="D169"/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C170"/>
          <cell r="D170"/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C171"/>
          <cell r="D171"/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C172"/>
          <cell r="D172"/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C173"/>
          <cell r="D173"/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C174"/>
          <cell r="D174"/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C175"/>
          <cell r="D175"/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C176"/>
          <cell r="D176"/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C177"/>
          <cell r="D177"/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UConn</v>
          </cell>
          <cell r="C2" t="str">
            <v>Michigan</v>
          </cell>
          <cell r="D2">
            <v>18.116591097400342</v>
          </cell>
          <cell r="E2">
            <v>100.0952772073922</v>
          </cell>
          <cell r="F2">
            <v>94.276311107817818</v>
          </cell>
          <cell r="G2">
            <v>0.55882352941176472</v>
          </cell>
          <cell r="H2">
            <v>66.089696969696973</v>
          </cell>
          <cell r="I2">
            <v>58.727272727272727</v>
          </cell>
          <cell r="J2">
            <v>17.696969696969695</v>
          </cell>
          <cell r="K2">
            <v>11.454545454545455</v>
          </cell>
          <cell r="L2">
            <v>11.030303030303031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7</v>
          </cell>
        </row>
        <row r="3">
          <cell r="A3">
            <v>2</v>
          </cell>
          <cell r="B3" t="str">
            <v>Michigan</v>
          </cell>
          <cell r="C3" t="str">
            <v>Uconn</v>
          </cell>
          <cell r="D3">
            <v>23.168628302235671</v>
          </cell>
          <cell r="E3">
            <v>98.200984374253366</v>
          </cell>
          <cell r="F3">
            <v>96.398308125131024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-7</v>
          </cell>
        </row>
        <row r="4"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</row>
        <row r="5">
          <cell r="D5"/>
          <cell r="E5"/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</row>
        <row r="6"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</row>
        <row r="7">
          <cell r="D7"/>
          <cell r="E7"/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</row>
        <row r="8"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</row>
        <row r="9">
          <cell r="D9"/>
          <cell r="E9"/>
          <cell r="F9"/>
          <cell r="G9"/>
          <cell r="H9"/>
          <cell r="I9"/>
          <cell r="J9"/>
          <cell r="K9"/>
          <cell r="L9"/>
          <cell r="M9"/>
          <cell r="N9"/>
          <cell r="O9"/>
          <cell r="P9"/>
          <cell r="Q9"/>
          <cell r="R9"/>
          <cell r="S9"/>
          <cell r="T9"/>
          <cell r="U9"/>
          <cell r="V9"/>
          <cell r="W9"/>
          <cell r="X9"/>
        </row>
        <row r="10">
          <cell r="D10"/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</row>
        <row r="11"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</row>
        <row r="12"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</row>
        <row r="13"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</row>
        <row r="14"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</row>
        <row r="23"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</row>
        <row r="24"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</row>
        <row r="25"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J2" sqref="J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372</v>
      </c>
      <c r="B1" s="1" t="s">
        <v>0</v>
      </c>
      <c r="C1" s="1" t="s">
        <v>367</v>
      </c>
      <c r="D1" s="1" t="s">
        <v>401</v>
      </c>
      <c r="E1" s="1" t="s">
        <v>368</v>
      </c>
      <c r="F1" s="1" t="s">
        <v>402</v>
      </c>
      <c r="G1" s="1" t="s">
        <v>369</v>
      </c>
      <c r="H1" s="1" t="s">
        <v>370</v>
      </c>
      <c r="I1" s="1" t="s">
        <v>371</v>
      </c>
      <c r="J1" s="1" t="s">
        <v>391</v>
      </c>
      <c r="K1" s="1" t="s">
        <v>405</v>
      </c>
      <c r="L1" s="1" t="s">
        <v>386</v>
      </c>
      <c r="M1" s="1" t="s">
        <v>441</v>
      </c>
    </row>
    <row r="2" spans="1:13" x14ac:dyDescent="0.2">
      <c r="A2" s="1">
        <v>1</v>
      </c>
      <c r="B2" s="6" t="str">
        <f>VLOOKUP(A2,[3]Games!$B$2:$K$398,2,FALSE)</f>
        <v>UConn</v>
      </c>
      <c r="C2" s="6" t="str">
        <f>VLOOKUP(A2,[3]Games!$B$2:$K$398,3,FALSE)</f>
        <v>Michigan</v>
      </c>
      <c r="D2" s="6" t="str">
        <f>B2</f>
        <v>UConn</v>
      </c>
      <c r="E2" s="5">
        <f>VLOOKUP(A2,[3]Games!$B$2:$K$398,4,FALSE)</f>
        <v>-3.9870333483830418</v>
      </c>
      <c r="F2" s="5">
        <f>-VLOOKUP(A2,[4]Games!$A$2:$X$282,24,FALSE)</f>
        <v>-7</v>
      </c>
      <c r="G2" s="7">
        <f>VLOOKUP(A2,[3]Games!$B$2:$K$398,9,FALSE)</f>
        <v>5.1676547655618021E-2</v>
      </c>
      <c r="H2" s="7">
        <f>VLOOKUP(A2,[3]Games!$B$2:$K$398,7,FALSE)</f>
        <v>0</v>
      </c>
      <c r="I2" s="7">
        <f>VLOOKUP(A2,[3]Games!$B$2:$K$398,8,FALSE)/4</f>
        <v>2.428068479710907E-2</v>
      </c>
      <c r="J2" s="8" t="s">
        <v>442</v>
      </c>
      <c r="K2" s="5"/>
      <c r="L2" s="9">
        <f>IF(J2="Yes",(H2*1500)/100,0)</f>
        <v>0</v>
      </c>
      <c r="M2" s="1" t="s">
        <v>442</v>
      </c>
    </row>
    <row r="3" spans="1:13" x14ac:dyDescent="0.2">
      <c r="B3" s="6"/>
      <c r="C3" s="6"/>
      <c r="D3" s="6"/>
      <c r="E3" s="5"/>
      <c r="F3" s="5"/>
      <c r="G3" s="7"/>
      <c r="H3" s="7"/>
      <c r="I3" s="7"/>
      <c r="J3" s="8"/>
      <c r="K3" s="5"/>
      <c r="L3" s="9"/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387</v>
      </c>
      <c r="B1" s="1" t="s">
        <v>388</v>
      </c>
      <c r="C1" s="1" t="s">
        <v>389</v>
      </c>
      <c r="D1" s="1" t="s">
        <v>390</v>
      </c>
      <c r="E1" s="1" t="s">
        <v>393</v>
      </c>
      <c r="F1" s="1" t="s">
        <v>394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392</v>
      </c>
      <c r="B5" s="1" t="s">
        <v>395</v>
      </c>
      <c r="C5" s="1" t="s">
        <v>396</v>
      </c>
      <c r="D5" s="1" t="s">
        <v>428</v>
      </c>
      <c r="E5" s="1" t="s">
        <v>400</v>
      </c>
      <c r="F5" s="1" t="s">
        <v>399</v>
      </c>
      <c r="G5" s="1" t="s">
        <v>398</v>
      </c>
      <c r="H5" s="1" t="s">
        <v>390</v>
      </c>
      <c r="I5" s="1" t="s">
        <v>397</v>
      </c>
      <c r="J5" s="1" t="s">
        <v>413</v>
      </c>
      <c r="K5" s="1" t="s">
        <v>421</v>
      </c>
      <c r="L5" s="1" t="s">
        <v>419</v>
      </c>
      <c r="M5" s="1" t="s">
        <v>420</v>
      </c>
      <c r="N5" s="1" t="s">
        <v>417</v>
      </c>
      <c r="O5" s="1" t="s">
        <v>419</v>
      </c>
      <c r="P5" s="1" t="s">
        <v>418</v>
      </c>
    </row>
    <row r="6" spans="1:16" x14ac:dyDescent="0.2">
      <c r="A6" s="1" t="s">
        <v>422</v>
      </c>
      <c r="B6" s="1">
        <v>1</v>
      </c>
      <c r="C6" s="1" t="s">
        <v>388</v>
      </c>
      <c r="D6" s="1" t="s">
        <v>435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414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423</v>
      </c>
      <c r="B7" s="1">
        <f>B6+1</f>
        <v>2</v>
      </c>
      <c r="C7" s="1" t="s">
        <v>388</v>
      </c>
      <c r="D7" s="1" t="s">
        <v>434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414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424</v>
      </c>
      <c r="B8" s="1">
        <f t="shared" ref="B8:B28" si="4">B7+1</f>
        <v>3</v>
      </c>
      <c r="C8" s="1" t="s">
        <v>387</v>
      </c>
      <c r="D8" s="1" t="s">
        <v>433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414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425</v>
      </c>
      <c r="B9" s="1">
        <f t="shared" si="4"/>
        <v>4</v>
      </c>
      <c r="C9" s="1" t="s">
        <v>387</v>
      </c>
      <c r="D9" s="1" t="s">
        <v>432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414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426</v>
      </c>
      <c r="B10" s="1">
        <f t="shared" si="4"/>
        <v>5</v>
      </c>
      <c r="C10" s="1" t="s">
        <v>388</v>
      </c>
      <c r="D10" s="1" t="s">
        <v>431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414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427</v>
      </c>
      <c r="B11" s="1">
        <f t="shared" si="4"/>
        <v>6</v>
      </c>
      <c r="C11" s="1" t="s">
        <v>388</v>
      </c>
      <c r="D11" s="1" t="s">
        <v>429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414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427</v>
      </c>
      <c r="B12" s="1">
        <f t="shared" si="4"/>
        <v>7</v>
      </c>
      <c r="C12" s="1" t="s">
        <v>388</v>
      </c>
      <c r="D12" s="1" t="s">
        <v>430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414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427</v>
      </c>
      <c r="B13" s="1">
        <f t="shared" si="4"/>
        <v>8</v>
      </c>
      <c r="C13" s="1" t="s">
        <v>388</v>
      </c>
      <c r="D13" s="1" t="s">
        <v>436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414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437</v>
      </c>
      <c r="B14" s="1">
        <f t="shared" si="4"/>
        <v>9</v>
      </c>
      <c r="C14" s="1" t="s">
        <v>387</v>
      </c>
      <c r="D14" s="1" t="s">
        <v>438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414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437</v>
      </c>
      <c r="B15" s="1">
        <f t="shared" si="4"/>
        <v>10</v>
      </c>
      <c r="C15" s="1" t="s">
        <v>388</v>
      </c>
      <c r="D15" s="1" t="s">
        <v>439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414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437</v>
      </c>
      <c r="B16" s="1">
        <f t="shared" si="4"/>
        <v>11</v>
      </c>
      <c r="C16" s="1" t="s">
        <v>387</v>
      </c>
      <c r="D16" s="1" t="s">
        <v>440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414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448</v>
      </c>
      <c r="B17" s="1">
        <f t="shared" si="4"/>
        <v>12</v>
      </c>
      <c r="C17" s="1" t="s">
        <v>387</v>
      </c>
      <c r="D17" s="1" t="s">
        <v>449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414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450</v>
      </c>
      <c r="B18" s="1">
        <f t="shared" si="4"/>
        <v>13</v>
      </c>
      <c r="C18" s="1" t="s">
        <v>387</v>
      </c>
      <c r="D18" s="1" t="s">
        <v>453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414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450</v>
      </c>
      <c r="B19" s="1">
        <f t="shared" si="4"/>
        <v>14</v>
      </c>
      <c r="C19" s="1" t="s">
        <v>388</v>
      </c>
      <c r="D19" s="1" t="s">
        <v>454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414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450</v>
      </c>
      <c r="B20" s="1">
        <f t="shared" si="4"/>
        <v>15</v>
      </c>
      <c r="C20" s="1" t="s">
        <v>387</v>
      </c>
      <c r="D20" s="1" t="s">
        <v>452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414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450</v>
      </c>
      <c r="B21" s="1">
        <f t="shared" si="4"/>
        <v>16</v>
      </c>
      <c r="C21" s="1" t="s">
        <v>387</v>
      </c>
      <c r="D21" s="1" t="s">
        <v>451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414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455</v>
      </c>
      <c r="B22" s="1">
        <f t="shared" si="4"/>
        <v>17</v>
      </c>
      <c r="C22" s="1" t="s">
        <v>387</v>
      </c>
      <c r="D22" s="1" t="s">
        <v>456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414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455</v>
      </c>
      <c r="B23" s="1">
        <f t="shared" si="4"/>
        <v>18</v>
      </c>
      <c r="C23" s="1" t="s">
        <v>387</v>
      </c>
      <c r="D23" s="1" t="s">
        <v>456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414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455</v>
      </c>
      <c r="B24" s="1">
        <f t="shared" si="4"/>
        <v>19</v>
      </c>
      <c r="C24" s="1" t="s">
        <v>387</v>
      </c>
      <c r="D24" s="1" t="s">
        <v>457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414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458</v>
      </c>
      <c r="B25" s="1">
        <f t="shared" si="4"/>
        <v>20</v>
      </c>
      <c r="C25" s="1" t="s">
        <v>387</v>
      </c>
      <c r="D25" s="1" t="s">
        <v>459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414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458</v>
      </c>
      <c r="B26" s="1">
        <f t="shared" si="4"/>
        <v>21</v>
      </c>
      <c r="C26" s="1" t="s">
        <v>387</v>
      </c>
      <c r="D26" s="1" t="s">
        <v>460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414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461</v>
      </c>
      <c r="B27" s="1">
        <f t="shared" si="4"/>
        <v>22</v>
      </c>
      <c r="C27" s="1" t="s">
        <v>388</v>
      </c>
      <c r="D27" s="1" t="s">
        <v>462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414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461</v>
      </c>
      <c r="B28" s="1">
        <f t="shared" si="4"/>
        <v>23</v>
      </c>
      <c r="C28" s="1" t="s">
        <v>387</v>
      </c>
      <c r="D28" s="1" t="s">
        <v>463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414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20"/>
  <sheetViews>
    <sheetView workbookViewId="0">
      <selection activeCell="I13" sqref="I13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413</v>
      </c>
      <c r="B1" s="1" t="s">
        <v>404</v>
      </c>
      <c r="C1" s="1" t="s">
        <v>0</v>
      </c>
      <c r="D1" s="1" t="s">
        <v>405</v>
      </c>
      <c r="E1" s="1" t="s">
        <v>400</v>
      </c>
      <c r="F1" s="1" t="s">
        <v>406</v>
      </c>
      <c r="G1" s="1" t="s">
        <v>407</v>
      </c>
      <c r="H1" s="1" t="s">
        <v>392</v>
      </c>
      <c r="I1" s="1" t="s">
        <v>408</v>
      </c>
      <c r="J1" s="1" t="s">
        <v>409</v>
      </c>
      <c r="K1" s="1" t="s">
        <v>410</v>
      </c>
    </row>
    <row r="2" spans="1:11" x14ac:dyDescent="0.2">
      <c r="A2" s="1" t="s">
        <v>414</v>
      </c>
      <c r="B2" s="1" t="s">
        <v>411</v>
      </c>
      <c r="C2" s="1" t="s">
        <v>2</v>
      </c>
      <c r="D2" s="1">
        <v>2800</v>
      </c>
      <c r="E2" s="1">
        <v>1.111</v>
      </c>
      <c r="F2" s="1">
        <v>171</v>
      </c>
      <c r="G2" s="1" t="s">
        <v>445</v>
      </c>
      <c r="H2" s="11" t="s">
        <v>415</v>
      </c>
      <c r="I2" s="1" t="s">
        <v>465</v>
      </c>
      <c r="J2" s="1" t="s">
        <v>387</v>
      </c>
      <c r="K2" s="1">
        <v>7.5</v>
      </c>
    </row>
    <row r="3" spans="1:11" x14ac:dyDescent="0.2">
      <c r="A3" s="1" t="s">
        <v>414</v>
      </c>
      <c r="B3" s="1" t="s">
        <v>411</v>
      </c>
      <c r="C3" s="1" t="s">
        <v>30</v>
      </c>
      <c r="D3" s="1">
        <v>2000</v>
      </c>
      <c r="E3" s="1">
        <v>1.58</v>
      </c>
      <c r="F3" s="1">
        <v>3619</v>
      </c>
      <c r="G3" s="1" t="s">
        <v>445</v>
      </c>
      <c r="H3" s="11" t="s">
        <v>416</v>
      </c>
      <c r="J3" s="1" t="s">
        <v>388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414</v>
      </c>
      <c r="B4" s="1" t="s">
        <v>411</v>
      </c>
      <c r="C4" s="1" t="s">
        <v>13</v>
      </c>
      <c r="D4" s="1">
        <v>7000</v>
      </c>
      <c r="E4" s="1">
        <v>0.45</v>
      </c>
      <c r="F4" s="1">
        <v>403</v>
      </c>
      <c r="G4" s="1" t="s">
        <v>445</v>
      </c>
      <c r="H4" s="11" t="s">
        <v>416</v>
      </c>
      <c r="I4" s="1" t="s">
        <v>465</v>
      </c>
      <c r="J4" s="1" t="s">
        <v>387</v>
      </c>
      <c r="K4" s="1">
        <v>7.5</v>
      </c>
    </row>
    <row r="5" spans="1:11" x14ac:dyDescent="0.2">
      <c r="A5" s="1" t="s">
        <v>414</v>
      </c>
      <c r="B5" s="1" t="s">
        <v>411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445</v>
      </c>
      <c r="H5" s="11" t="s">
        <v>416</v>
      </c>
      <c r="J5" s="1" t="s">
        <v>388</v>
      </c>
      <c r="K5" s="1">
        <f t="shared" si="0"/>
        <v>-0.15</v>
      </c>
    </row>
    <row r="6" spans="1:11" x14ac:dyDescent="0.2">
      <c r="A6" s="1" t="s">
        <v>414</v>
      </c>
      <c r="B6" s="1" t="s">
        <v>443</v>
      </c>
      <c r="C6" s="1" t="s">
        <v>9</v>
      </c>
      <c r="D6" s="1">
        <v>816</v>
      </c>
      <c r="E6" s="1">
        <v>0.85</v>
      </c>
      <c r="F6" s="1">
        <v>468</v>
      </c>
      <c r="G6" s="1" t="s">
        <v>445</v>
      </c>
      <c r="H6" s="1" t="s">
        <v>468</v>
      </c>
      <c r="J6" s="1" t="s">
        <v>388</v>
      </c>
      <c r="K6" s="1">
        <f t="shared" si="0"/>
        <v>-0.85</v>
      </c>
    </row>
    <row r="7" spans="1:11" x14ac:dyDescent="0.2">
      <c r="A7" s="1" t="s">
        <v>414</v>
      </c>
      <c r="B7" s="1" t="s">
        <v>444</v>
      </c>
      <c r="C7" s="1" t="s">
        <v>10</v>
      </c>
      <c r="D7" s="1">
        <v>1725</v>
      </c>
      <c r="E7" s="1">
        <v>0.45</v>
      </c>
      <c r="F7" s="1">
        <v>265</v>
      </c>
      <c r="G7" s="1" t="s">
        <v>445</v>
      </c>
      <c r="H7" s="1" t="s">
        <v>468</v>
      </c>
      <c r="J7" s="1" t="s">
        <v>388</v>
      </c>
      <c r="K7" s="1">
        <f t="shared" si="0"/>
        <v>-0.45</v>
      </c>
    </row>
    <row r="8" spans="1:11" x14ac:dyDescent="0.2">
      <c r="A8" s="1" t="s">
        <v>414</v>
      </c>
      <c r="B8" s="1" t="s">
        <v>446</v>
      </c>
      <c r="C8" s="1" t="s">
        <v>23</v>
      </c>
      <c r="D8" s="1">
        <v>281</v>
      </c>
      <c r="E8" s="1">
        <v>0.65</v>
      </c>
      <c r="F8" s="1">
        <v>281</v>
      </c>
      <c r="G8" s="1" t="s">
        <v>445</v>
      </c>
      <c r="H8" s="1" t="s">
        <v>469</v>
      </c>
      <c r="J8" s="1" t="s">
        <v>388</v>
      </c>
      <c r="K8" s="1">
        <f t="shared" si="0"/>
        <v>-0.65</v>
      </c>
    </row>
    <row r="9" spans="1:11" x14ac:dyDescent="0.2">
      <c r="A9" s="1" t="s">
        <v>414</v>
      </c>
      <c r="B9" s="1" t="s">
        <v>446</v>
      </c>
      <c r="C9" s="1" t="s">
        <v>10</v>
      </c>
      <c r="D9" s="1">
        <v>155</v>
      </c>
      <c r="E9" s="1">
        <v>1</v>
      </c>
      <c r="F9" s="1">
        <v>155</v>
      </c>
      <c r="G9" s="1" t="s">
        <v>445</v>
      </c>
      <c r="H9" s="1" t="s">
        <v>469</v>
      </c>
      <c r="J9" s="1" t="s">
        <v>387</v>
      </c>
      <c r="K9" s="1">
        <f t="shared" si="0"/>
        <v>1.55</v>
      </c>
    </row>
    <row r="10" spans="1:11" x14ac:dyDescent="0.2">
      <c r="A10" s="1" t="s">
        <v>414</v>
      </c>
      <c r="B10" s="1" t="s">
        <v>447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445</v>
      </c>
      <c r="H10" s="1" t="s">
        <v>469</v>
      </c>
      <c r="J10" s="1" t="s">
        <v>387</v>
      </c>
      <c r="K10" s="1">
        <f t="shared" si="0"/>
        <v>0.55500000000000005</v>
      </c>
    </row>
    <row r="11" spans="1:11" x14ac:dyDescent="0.2">
      <c r="A11" s="1" t="s">
        <v>414</v>
      </c>
      <c r="B11" s="1" t="s">
        <v>446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445</v>
      </c>
      <c r="H11" s="1" t="s">
        <v>469</v>
      </c>
      <c r="J11" s="1" t="s">
        <v>387</v>
      </c>
      <c r="K11" s="1">
        <f t="shared" si="0"/>
        <v>0.99999999999999989</v>
      </c>
    </row>
    <row r="12" spans="1:11" x14ac:dyDescent="0.2">
      <c r="A12" s="1" t="s">
        <v>414</v>
      </c>
      <c r="B12" s="1" t="s">
        <v>447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445</v>
      </c>
      <c r="H12" s="1" t="s">
        <v>469</v>
      </c>
      <c r="J12" s="1" t="s">
        <v>388</v>
      </c>
      <c r="K12" s="1">
        <f t="shared" si="0"/>
        <v>-1.0649999999999999</v>
      </c>
    </row>
    <row r="13" spans="1:11" x14ac:dyDescent="0.2">
      <c r="A13" s="1" t="s">
        <v>414</v>
      </c>
      <c r="B13" s="1" t="s">
        <v>444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445</v>
      </c>
      <c r="H13" s="1" t="s">
        <v>468</v>
      </c>
      <c r="I13" s="1" t="s">
        <v>464</v>
      </c>
      <c r="J13" s="1" t="s">
        <v>387</v>
      </c>
      <c r="K13" s="1">
        <f t="shared" ref="K13" si="1">IF(J13=0,0,IF(J13="P",0,IF(J13="L",-E13,IF(D13&lt;0,E13*(100/-D13),E13*(D13/100)))/1))</f>
        <v>1.9369135802469135</v>
      </c>
    </row>
    <row r="14" spans="1:11" x14ac:dyDescent="0.2">
      <c r="A14" s="1" t="s">
        <v>466</v>
      </c>
      <c r="B14" s="1" t="s">
        <v>411</v>
      </c>
      <c r="C14" s="1" t="s">
        <v>25</v>
      </c>
      <c r="D14" s="1">
        <v>6000</v>
      </c>
      <c r="E14" s="1">
        <v>0.66666999999999998</v>
      </c>
      <c r="F14" s="1">
        <v>1600</v>
      </c>
      <c r="G14" s="1" t="s">
        <v>412</v>
      </c>
      <c r="H14" s="1" t="s">
        <v>467</v>
      </c>
    </row>
    <row r="15" spans="1:11" x14ac:dyDescent="0.2">
      <c r="A15" s="1" t="s">
        <v>466</v>
      </c>
      <c r="B15" s="1" t="s">
        <v>411</v>
      </c>
      <c r="C15" s="1" t="s">
        <v>471</v>
      </c>
      <c r="D15" s="1">
        <v>8000</v>
      </c>
      <c r="E15" s="1">
        <v>0.5</v>
      </c>
      <c r="F15" s="1">
        <v>5000</v>
      </c>
      <c r="G15" s="1" t="s">
        <v>412</v>
      </c>
      <c r="H15" s="1" t="s">
        <v>470</v>
      </c>
    </row>
    <row r="16" spans="1:11" x14ac:dyDescent="0.2">
      <c r="A16" s="1" t="s">
        <v>466</v>
      </c>
      <c r="B16" s="1" t="s">
        <v>411</v>
      </c>
      <c r="C16" s="1" t="s">
        <v>5</v>
      </c>
      <c r="D16" s="1">
        <v>3500</v>
      </c>
      <c r="E16" s="1">
        <v>1.143</v>
      </c>
      <c r="F16" s="1">
        <v>3500</v>
      </c>
      <c r="G16" s="1" t="s">
        <v>412</v>
      </c>
      <c r="H16" s="1" t="s">
        <v>472</v>
      </c>
    </row>
    <row r="17" spans="1:8" x14ac:dyDescent="0.2">
      <c r="A17" s="1" t="s">
        <v>466</v>
      </c>
      <c r="B17" s="1" t="s">
        <v>411</v>
      </c>
      <c r="C17" s="1" t="s">
        <v>12</v>
      </c>
      <c r="D17" s="1">
        <v>3000</v>
      </c>
      <c r="E17" s="1">
        <v>1.3340000000000001</v>
      </c>
      <c r="F17" s="1">
        <v>4000</v>
      </c>
      <c r="G17" s="1" t="s">
        <v>412</v>
      </c>
      <c r="H17" s="1" t="s">
        <v>473</v>
      </c>
    </row>
    <row r="18" spans="1:8" x14ac:dyDescent="0.2">
      <c r="A18" s="1" t="s">
        <v>466</v>
      </c>
      <c r="B18" s="1" t="s">
        <v>474</v>
      </c>
      <c r="C18" s="1" t="s">
        <v>475</v>
      </c>
      <c r="D18" s="1">
        <v>6000</v>
      </c>
      <c r="E18" s="1">
        <v>0.3</v>
      </c>
      <c r="F18" s="1">
        <v>6000</v>
      </c>
      <c r="G18" s="1" t="s">
        <v>412</v>
      </c>
      <c r="H18" s="1" t="s">
        <v>476</v>
      </c>
    </row>
    <row r="19" spans="1:8" x14ac:dyDescent="0.2">
      <c r="A19" s="1" t="s">
        <v>466</v>
      </c>
      <c r="B19" s="1" t="s">
        <v>474</v>
      </c>
      <c r="C19" s="1" t="s">
        <v>477</v>
      </c>
      <c r="D19" s="1">
        <v>5000</v>
      </c>
      <c r="E19" s="1">
        <v>0.8</v>
      </c>
      <c r="F19" s="1">
        <v>5000</v>
      </c>
      <c r="G19" s="1" t="s">
        <v>412</v>
      </c>
      <c r="H19" s="1" t="s">
        <v>478</v>
      </c>
    </row>
    <row r="20" spans="1:8" x14ac:dyDescent="0.2">
      <c r="A20" s="1" t="s">
        <v>466</v>
      </c>
      <c r="B20" s="1" t="s">
        <v>411</v>
      </c>
      <c r="C20" s="1" t="s">
        <v>15</v>
      </c>
      <c r="D20" s="1">
        <v>6500</v>
      </c>
      <c r="E20" s="1">
        <v>0.8</v>
      </c>
      <c r="F20" s="1">
        <v>6500</v>
      </c>
      <c r="G20" s="1" t="s">
        <v>412</v>
      </c>
      <c r="H20" s="1" t="s">
        <v>479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H366"/>
  <sheetViews>
    <sheetView tabSelected="1" workbookViewId="0">
      <selection activeCell="E2" sqref="E2"/>
    </sheetView>
  </sheetViews>
  <sheetFormatPr baseColWidth="10" defaultRowHeight="16" x14ac:dyDescent="0.2"/>
  <cols>
    <col min="1" max="4" width="10.83203125" style="1"/>
  </cols>
  <sheetData>
    <row r="1" spans="1:8" x14ac:dyDescent="0.2">
      <c r="A1" s="2" t="s">
        <v>0</v>
      </c>
      <c r="B1" s="2" t="s">
        <v>366</v>
      </c>
      <c r="C1" s="2" t="s">
        <v>365</v>
      </c>
      <c r="D1" s="2" t="s">
        <v>403</v>
      </c>
      <c r="E1" s="2" t="s">
        <v>480</v>
      </c>
      <c r="F1" s="2" t="s">
        <v>482</v>
      </c>
      <c r="H1" s="1" t="s">
        <v>481</v>
      </c>
    </row>
    <row r="2" spans="1:8" x14ac:dyDescent="0.2">
      <c r="A2" s="1" t="s">
        <v>4</v>
      </c>
      <c r="B2" s="3">
        <f ca="1">VLOOKUP(A2,[1]TeamRtg!$A$3:$G$367,7,FALSE)</f>
        <v>2.7072115318255499</v>
      </c>
      <c r="C2" s="1">
        <f t="shared" ref="C2:C65" ca="1" si="0">RANK(B2,$B$2:$B$366)</f>
        <v>1</v>
      </c>
      <c r="D2" s="1">
        <f ca="1">C2</f>
        <v>1</v>
      </c>
      <c r="E2" s="1">
        <f>VLOOKUP($A2,[2]TeamRtg!$A$2:$E$366,4,FALSE)</f>
        <v>2.5</v>
      </c>
      <c r="F2" s="1">
        <f>VLOOKUP($A2,[2]TeamRtg!$A$2:$E$366,5,FALSE)</f>
        <v>3.9</v>
      </c>
      <c r="H2" s="1">
        <v>25</v>
      </c>
    </row>
    <row r="3" spans="1:8" x14ac:dyDescent="0.2">
      <c r="A3" s="1" t="s">
        <v>1</v>
      </c>
      <c r="B3" s="3">
        <f ca="1">VLOOKUP(A3,[1]TeamRtg!$A$3:$G$367,7,FALSE)</f>
        <v>2.5534949585769553</v>
      </c>
      <c r="C3" s="1">
        <f t="shared" ca="1" si="0"/>
        <v>2</v>
      </c>
      <c r="D3" s="1">
        <f t="shared" ref="D3:D66" ca="1" si="1">C3</f>
        <v>2</v>
      </c>
      <c r="E3" s="1">
        <f>VLOOKUP($A3,[2]TeamRtg!$A$2:$E$366,4,FALSE)</f>
        <v>1.0029999999999999</v>
      </c>
      <c r="F3" s="1">
        <f>VLOOKUP($A3,[2]TeamRtg!$A$2:$E$366,5,FALSE)</f>
        <v>3.9</v>
      </c>
    </row>
    <row r="4" spans="1:8" x14ac:dyDescent="0.2">
      <c r="A4" s="1" t="s">
        <v>13</v>
      </c>
      <c r="B4" s="3">
        <f ca="1">VLOOKUP(A4,[1]TeamRtg!$A$3:$G$367,7,FALSE)</f>
        <v>2.4385769242182698</v>
      </c>
      <c r="C4" s="1">
        <f t="shared" ca="1" si="0"/>
        <v>3</v>
      </c>
      <c r="D4" s="1">
        <f t="shared" ca="1" si="1"/>
        <v>3</v>
      </c>
      <c r="E4" s="1">
        <f>VLOOKUP($A4,[2]TeamRtg!$A$2:$E$366,4,FALSE)</f>
        <v>2.3889999999999998</v>
      </c>
      <c r="F4" s="1">
        <f>VLOOKUP($A4,[2]TeamRtg!$A$2:$E$366,5,FALSE)</f>
        <v>3.9</v>
      </c>
    </row>
    <row r="5" spans="1:8" x14ac:dyDescent="0.2">
      <c r="A5" s="1" t="s">
        <v>6</v>
      </c>
      <c r="B5" s="3">
        <f ca="1">VLOOKUP(A5,[1]TeamRtg!$A$3:$G$367,7,FALSE)</f>
        <v>2.3715788616021056</v>
      </c>
      <c r="C5" s="1">
        <f t="shared" ca="1" si="0"/>
        <v>4</v>
      </c>
      <c r="D5" s="1">
        <f t="shared" ca="1" si="1"/>
        <v>4</v>
      </c>
      <c r="E5" s="1">
        <f>VLOOKUP($A5,[2]TeamRtg!$A$2:$E$366,4,FALSE)</f>
        <v>2.1720000000000002</v>
      </c>
      <c r="F5" s="1">
        <f>VLOOKUP($A5,[2]TeamRtg!$A$2:$E$366,5,FALSE)</f>
        <v>3.7719999999999998</v>
      </c>
    </row>
    <row r="6" spans="1:8" x14ac:dyDescent="0.2">
      <c r="A6" s="1" t="s">
        <v>5</v>
      </c>
      <c r="B6" s="3">
        <f ca="1">VLOOKUP(A6,[1]TeamRtg!$A$3:$G$367,7,FALSE)</f>
        <v>2.3681732486219933</v>
      </c>
      <c r="C6" s="1">
        <f t="shared" ca="1" si="0"/>
        <v>5</v>
      </c>
      <c r="D6" s="1">
        <f t="shared" ca="1" si="1"/>
        <v>5</v>
      </c>
      <c r="E6" s="1">
        <f>VLOOKUP($A6,[2]TeamRtg!$A$2:$E$366,4,FALSE)</f>
        <v>1.1180000000000001</v>
      </c>
      <c r="F6" s="1">
        <f>VLOOKUP($A6,[2]TeamRtg!$A$2:$E$366,5,FALSE)</f>
        <v>3.9</v>
      </c>
    </row>
    <row r="7" spans="1:8" x14ac:dyDescent="0.2">
      <c r="A7" s="1" t="s">
        <v>16</v>
      </c>
      <c r="B7" s="3">
        <f ca="1">VLOOKUP(A7,[1]TeamRtg!$A$3:$G$367,7,FALSE)</f>
        <v>2.2701806292898912</v>
      </c>
      <c r="C7" s="1">
        <f t="shared" ca="1" si="0"/>
        <v>6</v>
      </c>
      <c r="D7" s="1">
        <f t="shared" ca="1" si="1"/>
        <v>6</v>
      </c>
      <c r="E7" s="1">
        <f>VLOOKUP($A7,[2]TeamRtg!$A$2:$E$366,4,FALSE)</f>
        <v>1.57</v>
      </c>
      <c r="F7" s="1">
        <f>VLOOKUP($A7,[2]TeamRtg!$A$2:$E$366,5,FALSE)</f>
        <v>3.9</v>
      </c>
    </row>
    <row r="8" spans="1:8" x14ac:dyDescent="0.2">
      <c r="A8" s="1" t="s">
        <v>2</v>
      </c>
      <c r="B8" s="3">
        <f ca="1">VLOOKUP(A8,[1]TeamRtg!$A$3:$G$367,7,FALSE)</f>
        <v>2.257510504308081</v>
      </c>
      <c r="C8" s="1">
        <f t="shared" ca="1" si="0"/>
        <v>7</v>
      </c>
      <c r="D8" s="1">
        <f t="shared" ca="1" si="1"/>
        <v>7</v>
      </c>
      <c r="E8" s="1">
        <f>VLOOKUP($A8,[2]TeamRtg!$A$2:$E$366,4,FALSE)</f>
        <v>1.958</v>
      </c>
      <c r="F8" s="1">
        <f>VLOOKUP($A8,[2]TeamRtg!$A$2:$E$366,5,FALSE)</f>
        <v>3.6080000000000001</v>
      </c>
    </row>
    <row r="9" spans="1:8" x14ac:dyDescent="0.2">
      <c r="A9" s="1" t="s">
        <v>25</v>
      </c>
      <c r="B9" s="3">
        <f ca="1">VLOOKUP(A9,[1]TeamRtg!$A$3:$G$367,7,FALSE)</f>
        <v>2.1752504414944926</v>
      </c>
      <c r="C9" s="1">
        <f t="shared" ca="1" si="0"/>
        <v>8</v>
      </c>
      <c r="D9" s="1">
        <f t="shared" ca="1" si="1"/>
        <v>8</v>
      </c>
      <c r="E9" s="1">
        <f>VLOOKUP($A9,[2]TeamRtg!$A$2:$E$366,4,FALSE)</f>
        <v>1.125</v>
      </c>
      <c r="F9" s="1">
        <f>VLOOKUP($A9,[2]TeamRtg!$A$2:$E$366,5,FALSE)</f>
        <v>3.9</v>
      </c>
    </row>
    <row r="10" spans="1:8" x14ac:dyDescent="0.2">
      <c r="A10" s="1" t="s">
        <v>9</v>
      </c>
      <c r="B10" s="3">
        <f ca="1">VLOOKUP(A10,[1]TeamRtg!$A$3:$G$367,7,FALSE)</f>
        <v>2.1153940882886539</v>
      </c>
      <c r="C10" s="1">
        <f t="shared" ca="1" si="0"/>
        <v>9</v>
      </c>
      <c r="D10" s="1">
        <f t="shared" ca="1" si="1"/>
        <v>9</v>
      </c>
      <c r="E10" s="1">
        <f>VLOOKUP($A10,[2]TeamRtg!$A$2:$E$366,4,FALSE)</f>
        <v>2.0649999999999999</v>
      </c>
      <c r="F10" s="1">
        <f>VLOOKUP($A10,[2]TeamRtg!$A$2:$E$366,5,FALSE)</f>
        <v>2.665</v>
      </c>
    </row>
    <row r="11" spans="1:8" x14ac:dyDescent="0.2">
      <c r="A11" s="1" t="s">
        <v>12</v>
      </c>
      <c r="B11" s="3">
        <f ca="1">VLOOKUP(A11,[1]TeamRtg!$A$3:$G$367,7,FALSE)</f>
        <v>2.108959144091954</v>
      </c>
      <c r="C11" s="1">
        <f t="shared" ca="1" si="0"/>
        <v>10</v>
      </c>
      <c r="D11" s="1">
        <f t="shared" ca="1" si="1"/>
        <v>10</v>
      </c>
      <c r="E11" s="1">
        <f>VLOOKUP($A11,[2]TeamRtg!$A$2:$E$366,4,FALSE)</f>
        <v>1.159</v>
      </c>
      <c r="F11" s="1">
        <f>VLOOKUP($A11,[2]TeamRtg!$A$2:$E$366,5,FALSE)</f>
        <v>3.9</v>
      </c>
    </row>
    <row r="12" spans="1:8" x14ac:dyDescent="0.2">
      <c r="A12" s="1" t="s">
        <v>15</v>
      </c>
      <c r="B12" s="3">
        <f ca="1">VLOOKUP(A12,[1]TeamRtg!$A$3:$G$367,7,FALSE)</f>
        <v>1.9337632816406789</v>
      </c>
      <c r="C12" s="1">
        <f t="shared" ca="1" si="0"/>
        <v>11</v>
      </c>
      <c r="D12" s="1">
        <f t="shared" ca="1" si="1"/>
        <v>11</v>
      </c>
      <c r="E12" s="1">
        <f>VLOOKUP($A12,[2]TeamRtg!$A$2:$E$366,4,FALSE)</f>
        <v>1.784</v>
      </c>
      <c r="F12" s="1">
        <f>VLOOKUP($A12,[2]TeamRtg!$A$2:$E$366,5,FALSE)</f>
        <v>2.9340000000000002</v>
      </c>
    </row>
    <row r="13" spans="1:8" x14ac:dyDescent="0.2">
      <c r="A13" s="1" t="s">
        <v>3</v>
      </c>
      <c r="B13" s="3">
        <f ca="1">VLOOKUP(A13,[1]TeamRtg!$A$3:$G$367,7,FALSE)</f>
        <v>1.9288572415796723</v>
      </c>
      <c r="C13" s="1">
        <f t="shared" ca="1" si="0"/>
        <v>12</v>
      </c>
      <c r="D13" s="1">
        <f t="shared" ca="1" si="1"/>
        <v>12</v>
      </c>
      <c r="E13" s="1">
        <f>VLOOKUP($A13,[2]TeamRtg!$A$2:$E$366,4,FALSE)</f>
        <v>0.97899999999999998</v>
      </c>
      <c r="F13" s="1">
        <f>VLOOKUP($A13,[2]TeamRtg!$A$2:$E$366,5,FALSE)</f>
        <v>2.4790000000000001</v>
      </c>
    </row>
    <row r="14" spans="1:8" x14ac:dyDescent="0.2">
      <c r="A14" s="1" t="s">
        <v>20</v>
      </c>
      <c r="B14" s="3">
        <f ca="1">VLOOKUP(A14,[1]TeamRtg!$A$3:$G$367,7,FALSE)</f>
        <v>1.9136027354561493</v>
      </c>
      <c r="C14" s="1">
        <f t="shared" ca="1" si="0"/>
        <v>13</v>
      </c>
      <c r="D14" s="1">
        <f t="shared" ca="1" si="1"/>
        <v>13</v>
      </c>
      <c r="E14" s="1">
        <f>VLOOKUP($A14,[2]TeamRtg!$A$2:$E$366,4,FALSE)</f>
        <v>1.1140000000000001</v>
      </c>
      <c r="F14" s="1">
        <f>VLOOKUP($A14,[2]TeamRtg!$A$2:$E$366,5,FALSE)</f>
        <v>3.3639999999999999</v>
      </c>
    </row>
    <row r="15" spans="1:8" x14ac:dyDescent="0.2">
      <c r="A15" s="1" t="s">
        <v>40</v>
      </c>
      <c r="B15" s="3">
        <f ca="1">VLOOKUP(A15,[1]TeamRtg!$A$3:$G$367,7,FALSE)</f>
        <v>1.9106419724457366</v>
      </c>
      <c r="C15" s="1">
        <f t="shared" ca="1" si="0"/>
        <v>14</v>
      </c>
      <c r="D15" s="1">
        <f t="shared" ca="1" si="1"/>
        <v>14</v>
      </c>
      <c r="E15" s="1">
        <f>VLOOKUP($A15,[2]TeamRtg!$A$2:$E$366,4,FALSE)</f>
        <v>1.4610000000000001</v>
      </c>
      <c r="F15" s="1">
        <f>VLOOKUP($A15,[2]TeamRtg!$A$2:$E$366,5,FALSE)</f>
        <v>2.2610000000000001</v>
      </c>
    </row>
    <row r="16" spans="1:8" x14ac:dyDescent="0.2">
      <c r="A16" s="1" t="s">
        <v>11</v>
      </c>
      <c r="B16" s="3">
        <f ca="1">VLOOKUP(A16,[1]TeamRtg!$A$3:$G$367,7,FALSE)</f>
        <v>1.8907836320222451</v>
      </c>
      <c r="C16" s="1">
        <f t="shared" ca="1" si="0"/>
        <v>15</v>
      </c>
      <c r="D16" s="1">
        <f t="shared" ca="1" si="1"/>
        <v>15</v>
      </c>
      <c r="E16" s="1">
        <f>VLOOKUP($A16,[2]TeamRtg!$A$2:$E$366,4,FALSE)</f>
        <v>9.0999999999999998E-2</v>
      </c>
      <c r="F16" s="1">
        <f>VLOOKUP($A16,[2]TeamRtg!$A$2:$E$366,5,FALSE)</f>
        <v>2.9910000000000001</v>
      </c>
    </row>
    <row r="17" spans="1:6" x14ac:dyDescent="0.2">
      <c r="A17" s="1" t="s">
        <v>8</v>
      </c>
      <c r="B17" s="3">
        <f ca="1">VLOOKUP(A17,[1]TeamRtg!$A$3:$G$367,7,FALSE)</f>
        <v>1.8901599040877128</v>
      </c>
      <c r="C17" s="1">
        <f t="shared" ca="1" si="0"/>
        <v>16</v>
      </c>
      <c r="D17" s="1">
        <f t="shared" ca="1" si="1"/>
        <v>16</v>
      </c>
      <c r="E17" s="1">
        <f>VLOOKUP($A17,[2]TeamRtg!$A$2:$E$366,4,FALSE)</f>
        <v>0.74</v>
      </c>
      <c r="F17" s="1">
        <f>VLOOKUP($A17,[2]TeamRtg!$A$2:$E$366,5,FALSE)</f>
        <v>3.04</v>
      </c>
    </row>
    <row r="18" spans="1:6" x14ac:dyDescent="0.2">
      <c r="A18" s="1" t="s">
        <v>24</v>
      </c>
      <c r="B18" s="3">
        <f ca="1">VLOOKUP(A18,[1]TeamRtg!$A$3:$G$367,7,FALSE)</f>
        <v>1.8824751662496515</v>
      </c>
      <c r="C18" s="1">
        <f t="shared" ca="1" si="0"/>
        <v>17</v>
      </c>
      <c r="D18" s="1">
        <f t="shared" ca="1" si="1"/>
        <v>17</v>
      </c>
      <c r="E18" s="1">
        <f>VLOOKUP($A18,[2]TeamRtg!$A$2:$E$366,4,FALSE)</f>
        <v>1.6819999999999999</v>
      </c>
      <c r="F18" s="1">
        <f>VLOOKUP($A18,[2]TeamRtg!$A$2:$E$366,5,FALSE)</f>
        <v>3.1320000000000001</v>
      </c>
    </row>
    <row r="19" spans="1:6" x14ac:dyDescent="0.2">
      <c r="A19" s="1" t="s">
        <v>29</v>
      </c>
      <c r="B19" s="3">
        <f ca="1">VLOOKUP(A19,[1]TeamRtg!$A$3:$G$367,7,FALSE)</f>
        <v>1.8615184677396033</v>
      </c>
      <c r="C19" s="1">
        <f t="shared" ca="1" si="0"/>
        <v>18</v>
      </c>
      <c r="D19" s="1">
        <f t="shared" ca="1" si="1"/>
        <v>18</v>
      </c>
      <c r="E19" s="1">
        <f>VLOOKUP($A19,[2]TeamRtg!$A$2:$E$366,4,FALSE)</f>
        <v>1.1120000000000001</v>
      </c>
      <c r="F19" s="1">
        <f>VLOOKUP($A19,[2]TeamRtg!$A$2:$E$366,5,FALSE)</f>
        <v>3.1120000000000001</v>
      </c>
    </row>
    <row r="20" spans="1:6" x14ac:dyDescent="0.2">
      <c r="A20" s="1" t="s">
        <v>17</v>
      </c>
      <c r="B20" s="3">
        <f ca="1">VLOOKUP(A20,[1]TeamRtg!$A$3:$G$367,7,FALSE)</f>
        <v>1.8588872507032237</v>
      </c>
      <c r="C20" s="1">
        <f t="shared" ca="1" si="0"/>
        <v>19</v>
      </c>
      <c r="D20" s="1">
        <f t="shared" ca="1" si="1"/>
        <v>19</v>
      </c>
      <c r="E20" s="1">
        <f>VLOOKUP($A20,[2]TeamRtg!$A$2:$E$366,4,FALSE)</f>
        <v>1.159</v>
      </c>
      <c r="F20" s="1">
        <f>VLOOKUP($A20,[2]TeamRtg!$A$2:$E$366,5,FALSE)</f>
        <v>3.1589999999999998</v>
      </c>
    </row>
    <row r="21" spans="1:6" x14ac:dyDescent="0.2">
      <c r="A21" s="1" t="s">
        <v>14</v>
      </c>
      <c r="B21" s="3">
        <f ca="1">VLOOKUP(A21,[1]TeamRtg!$A$3:$G$367,7,FALSE)</f>
        <v>1.8100684914515035</v>
      </c>
      <c r="C21" s="1">
        <f t="shared" ca="1" si="0"/>
        <v>20</v>
      </c>
      <c r="D21" s="1">
        <f t="shared" ca="1" si="1"/>
        <v>20</v>
      </c>
      <c r="E21" s="1">
        <f>VLOOKUP($A21,[2]TeamRtg!$A$2:$E$366,4,FALSE)</f>
        <v>1.51</v>
      </c>
      <c r="F21" s="1">
        <f>VLOOKUP($A21,[2]TeamRtg!$A$2:$E$366,5,FALSE)</f>
        <v>2.2599999999999998</v>
      </c>
    </row>
    <row r="22" spans="1:6" x14ac:dyDescent="0.2">
      <c r="A22" s="1" t="s">
        <v>10</v>
      </c>
      <c r="B22" s="3">
        <f ca="1">VLOOKUP(A22,[1]TeamRtg!$A$3:$G$367,7,FALSE)</f>
        <v>1.7976451934539073</v>
      </c>
      <c r="C22" s="1">
        <f t="shared" ca="1" si="0"/>
        <v>21</v>
      </c>
      <c r="D22" s="1">
        <f t="shared" ca="1" si="1"/>
        <v>21</v>
      </c>
      <c r="E22" s="1">
        <f>VLOOKUP($A22,[2]TeamRtg!$A$2:$E$366,4,FALSE)</f>
        <v>0.64800000000000002</v>
      </c>
      <c r="F22" s="1">
        <f>VLOOKUP($A22,[2]TeamRtg!$A$2:$E$366,5,FALSE)</f>
        <v>2.4980000000000002</v>
      </c>
    </row>
    <row r="23" spans="1:6" x14ac:dyDescent="0.2">
      <c r="A23" s="1" t="s">
        <v>18</v>
      </c>
      <c r="B23" s="3">
        <f ca="1">VLOOKUP(A23,[1]TeamRtg!$A$3:$G$367,7,FALSE)</f>
        <v>1.7970545793877815</v>
      </c>
      <c r="C23" s="1">
        <f t="shared" ca="1" si="0"/>
        <v>22</v>
      </c>
      <c r="D23" s="1">
        <f t="shared" ca="1" si="1"/>
        <v>22</v>
      </c>
      <c r="E23" s="1">
        <f>VLOOKUP($A23,[2]TeamRtg!$A$2:$E$366,4,FALSE)</f>
        <v>0.247</v>
      </c>
      <c r="F23" s="1">
        <f>VLOOKUP($A23,[2]TeamRtg!$A$2:$E$366,5,FALSE)</f>
        <v>2.4969999999999999</v>
      </c>
    </row>
    <row r="24" spans="1:6" x14ac:dyDescent="0.2">
      <c r="A24" s="1" t="s">
        <v>44</v>
      </c>
      <c r="B24" s="3">
        <f ca="1">VLOOKUP(A24,[1]TeamRtg!$A$3:$G$367,7,FALSE)</f>
        <v>1.7647567283128143</v>
      </c>
      <c r="C24" s="1">
        <f t="shared" ca="1" si="0"/>
        <v>23</v>
      </c>
      <c r="D24" s="1">
        <f t="shared" ca="1" si="1"/>
        <v>23</v>
      </c>
      <c r="E24" s="1">
        <f>VLOOKUP($A24,[2]TeamRtg!$A$2:$E$366,4,FALSE)</f>
        <v>1.415</v>
      </c>
      <c r="F24" s="1">
        <f>VLOOKUP($A24,[2]TeamRtg!$A$2:$E$366,5,FALSE)</f>
        <v>2.8149999999999999</v>
      </c>
    </row>
    <row r="25" spans="1:6" x14ac:dyDescent="0.2">
      <c r="A25" s="1" t="s">
        <v>22</v>
      </c>
      <c r="B25" s="3">
        <f ca="1">VLOOKUP(A25,[1]TeamRtg!$A$3:$G$367,7,FALSE)</f>
        <v>1.7395282860626655</v>
      </c>
      <c r="C25" s="1">
        <f t="shared" ca="1" si="0"/>
        <v>24</v>
      </c>
      <c r="D25" s="1">
        <f t="shared" ca="1" si="1"/>
        <v>24</v>
      </c>
      <c r="E25" s="1">
        <f>VLOOKUP($A25,[2]TeamRtg!$A$2:$E$366,4,FALSE)</f>
        <v>1.34</v>
      </c>
      <c r="F25" s="1">
        <f>VLOOKUP($A25,[2]TeamRtg!$A$2:$E$366,5,FALSE)</f>
        <v>3.04</v>
      </c>
    </row>
    <row r="26" spans="1:6" x14ac:dyDescent="0.2">
      <c r="A26" s="1" t="s">
        <v>30</v>
      </c>
      <c r="B26" s="3">
        <f ca="1">VLOOKUP(A26,[1]TeamRtg!$A$3:$G$367,7,FALSE)</f>
        <v>1.7140972169328756</v>
      </c>
      <c r="C26" s="1">
        <f t="shared" ca="1" si="0"/>
        <v>25</v>
      </c>
      <c r="D26" s="1">
        <f t="shared" ca="1" si="1"/>
        <v>25</v>
      </c>
      <c r="E26" s="1">
        <f>VLOOKUP($A26,[2]TeamRtg!$A$2:$E$366,4,FALSE)</f>
        <v>1.214</v>
      </c>
      <c r="F26" s="1">
        <f>VLOOKUP($A26,[2]TeamRtg!$A$2:$E$366,5,FALSE)</f>
        <v>2.6640000000000001</v>
      </c>
    </row>
    <row r="27" spans="1:6" x14ac:dyDescent="0.2">
      <c r="A27" s="1" t="s">
        <v>61</v>
      </c>
      <c r="B27" s="3">
        <f ca="1">VLOOKUP(A27,[1]TeamRtg!$A$3:$G$367,7,FALSE)</f>
        <v>1.6891132498804788</v>
      </c>
      <c r="C27" s="1">
        <f t="shared" ca="1" si="0"/>
        <v>26</v>
      </c>
      <c r="D27" s="1">
        <f t="shared" ca="1" si="1"/>
        <v>26</v>
      </c>
      <c r="E27" s="1">
        <f>VLOOKUP($A27,[2]TeamRtg!$A$2:$E$366,4,FALSE)</f>
        <v>-0.26100000000000001</v>
      </c>
      <c r="F27" s="1">
        <f>VLOOKUP($A27,[2]TeamRtg!$A$2:$E$366,5,FALSE)</f>
        <v>3.339</v>
      </c>
    </row>
    <row r="28" spans="1:6" x14ac:dyDescent="0.2">
      <c r="A28" s="1" t="s">
        <v>53</v>
      </c>
      <c r="B28" s="3">
        <f ca="1">VLOOKUP(A28,[1]TeamRtg!$A$3:$G$367,7,FALSE)</f>
        <v>1.6627120101940653</v>
      </c>
      <c r="C28" s="1">
        <f t="shared" ca="1" si="0"/>
        <v>27</v>
      </c>
      <c r="D28" s="1">
        <f t="shared" ca="1" si="1"/>
        <v>27</v>
      </c>
      <c r="E28" s="1">
        <f>VLOOKUP($A28,[2]TeamRtg!$A$2:$E$366,4,FALSE)</f>
        <v>1.113</v>
      </c>
      <c r="F28" s="1">
        <f>VLOOKUP($A28,[2]TeamRtg!$A$2:$E$366,5,FALSE)</f>
        <v>2.7130000000000001</v>
      </c>
    </row>
    <row r="29" spans="1:6" x14ac:dyDescent="0.2">
      <c r="A29" s="1" t="s">
        <v>23</v>
      </c>
      <c r="B29" s="3">
        <f ca="1">VLOOKUP(A29,[1]TeamRtg!$A$3:$G$367,7,FALSE)</f>
        <v>1.6471853557046638</v>
      </c>
      <c r="C29" s="1">
        <f t="shared" ca="1" si="0"/>
        <v>28</v>
      </c>
      <c r="D29" s="1">
        <f t="shared" ca="1" si="1"/>
        <v>28</v>
      </c>
      <c r="E29" s="1">
        <f>VLOOKUP($A29,[2]TeamRtg!$A$2:$E$366,4,FALSE)</f>
        <v>0.89700000000000002</v>
      </c>
      <c r="F29" s="1">
        <f>VLOOKUP($A29,[2]TeamRtg!$A$2:$E$366,5,FALSE)</f>
        <v>2.6469999999999998</v>
      </c>
    </row>
    <row r="30" spans="1:6" x14ac:dyDescent="0.2">
      <c r="A30" s="1" t="s">
        <v>36</v>
      </c>
      <c r="B30" s="3">
        <f ca="1">VLOOKUP(A30,[1]TeamRtg!$A$3:$G$367,7,FALSE)</f>
        <v>1.6423570532625884</v>
      </c>
      <c r="C30" s="1">
        <f t="shared" ca="1" si="0"/>
        <v>29</v>
      </c>
      <c r="D30" s="1">
        <f t="shared" ca="1" si="1"/>
        <v>29</v>
      </c>
      <c r="E30" s="1">
        <f>VLOOKUP($A30,[2]TeamRtg!$A$2:$E$366,4,FALSE)</f>
        <v>0.79200000000000004</v>
      </c>
      <c r="F30" s="1">
        <f>VLOOKUP($A30,[2]TeamRtg!$A$2:$E$366,5,FALSE)</f>
        <v>2.3919999999999999</v>
      </c>
    </row>
    <row r="31" spans="1:6" x14ac:dyDescent="0.2">
      <c r="A31" s="1" t="s">
        <v>7</v>
      </c>
      <c r="B31" s="3">
        <f ca="1">VLOOKUP(A31,[1]TeamRtg!$A$3:$G$367,7,FALSE)</f>
        <v>1.6256873623051904</v>
      </c>
      <c r="C31" s="1">
        <f t="shared" ca="1" si="0"/>
        <v>30</v>
      </c>
      <c r="D31" s="1">
        <f t="shared" ca="1" si="1"/>
        <v>30</v>
      </c>
      <c r="E31" s="1">
        <f>VLOOKUP($A31,[2]TeamRtg!$A$2:$E$366,4,FALSE)</f>
        <v>1.6259999999999999</v>
      </c>
      <c r="F31" s="1">
        <f>VLOOKUP($A31,[2]TeamRtg!$A$2:$E$366,5,FALSE)</f>
        <v>2.3759999999999999</v>
      </c>
    </row>
    <row r="32" spans="1:6" x14ac:dyDescent="0.2">
      <c r="A32" s="1" t="s">
        <v>33</v>
      </c>
      <c r="B32" s="3">
        <f ca="1">VLOOKUP(A32,[1]TeamRtg!$A$3:$G$367,7,FALSE)</f>
        <v>1.6234522869088932</v>
      </c>
      <c r="C32" s="1">
        <f t="shared" ca="1" si="0"/>
        <v>31</v>
      </c>
      <c r="D32" s="1">
        <f t="shared" ca="1" si="1"/>
        <v>31</v>
      </c>
      <c r="E32" s="1">
        <f>VLOOKUP($A32,[2]TeamRtg!$A$2:$E$366,4,FALSE)</f>
        <v>1.423</v>
      </c>
      <c r="F32" s="1">
        <f>VLOOKUP($A32,[2]TeamRtg!$A$2:$E$366,5,FALSE)</f>
        <v>2.423</v>
      </c>
    </row>
    <row r="33" spans="1:6" x14ac:dyDescent="0.2">
      <c r="A33" s="1" t="s">
        <v>26</v>
      </c>
      <c r="B33" s="3">
        <f ca="1">VLOOKUP(A33,[1]TeamRtg!$A$3:$G$367,7,FALSE)</f>
        <v>1.6148597705904719</v>
      </c>
      <c r="C33" s="1">
        <f t="shared" ca="1" si="0"/>
        <v>32</v>
      </c>
      <c r="D33" s="1">
        <f t="shared" ca="1" si="1"/>
        <v>32</v>
      </c>
      <c r="E33" s="1">
        <f>VLOOKUP($A33,[2]TeamRtg!$A$2:$E$366,4,FALSE)</f>
        <v>1.415</v>
      </c>
      <c r="F33" s="1">
        <f>VLOOKUP($A33,[2]TeamRtg!$A$2:$E$366,5,FALSE)</f>
        <v>2.8650000000000002</v>
      </c>
    </row>
    <row r="34" spans="1:6" x14ac:dyDescent="0.2">
      <c r="A34" s="1" t="s">
        <v>49</v>
      </c>
      <c r="B34" s="3">
        <f ca="1">VLOOKUP(A34,[1]TeamRtg!$A$3:$G$367,7,FALSE)</f>
        <v>1.6041769651497806</v>
      </c>
      <c r="C34" s="1">
        <f t="shared" ca="1" si="0"/>
        <v>33</v>
      </c>
      <c r="D34" s="1">
        <f t="shared" ca="1" si="1"/>
        <v>33</v>
      </c>
      <c r="E34" s="1">
        <f>VLOOKUP($A34,[2]TeamRtg!$A$2:$E$366,4,FALSE)</f>
        <v>0.35399999999999998</v>
      </c>
      <c r="F34" s="1">
        <f>VLOOKUP($A34,[2]TeamRtg!$A$2:$E$366,5,FALSE)</f>
        <v>2.2040000000000002</v>
      </c>
    </row>
    <row r="35" spans="1:6" x14ac:dyDescent="0.2">
      <c r="A35" s="1" t="s">
        <v>124</v>
      </c>
      <c r="B35" s="3">
        <f ca="1">VLOOKUP(A35,[1]TeamRtg!$A$3:$G$367,7,FALSE)</f>
        <v>1.5931153967325526</v>
      </c>
      <c r="C35" s="1">
        <f t="shared" ca="1" si="0"/>
        <v>34</v>
      </c>
      <c r="D35" s="1">
        <f t="shared" ca="1" si="1"/>
        <v>34</v>
      </c>
      <c r="E35" s="1">
        <f>VLOOKUP($A35,[2]TeamRtg!$A$2:$E$366,4,FALSE)</f>
        <v>1.4430000000000001</v>
      </c>
      <c r="F35" s="1">
        <f>VLOOKUP($A35,[2]TeamRtg!$A$2:$E$366,5,FALSE)</f>
        <v>2.1429999999999998</v>
      </c>
    </row>
    <row r="36" spans="1:6" x14ac:dyDescent="0.2">
      <c r="A36" s="1" t="s">
        <v>42</v>
      </c>
      <c r="B36" s="3">
        <f ca="1">VLOOKUP(A36,[1]TeamRtg!$A$3:$G$367,7,FALSE)</f>
        <v>1.5790962710231715</v>
      </c>
      <c r="C36" s="1">
        <f t="shared" ca="1" si="0"/>
        <v>35</v>
      </c>
      <c r="D36" s="1">
        <f t="shared" ca="1" si="1"/>
        <v>35</v>
      </c>
      <c r="E36" s="1">
        <f>VLOOKUP($A36,[2]TeamRtg!$A$2:$E$366,4,FALSE)</f>
        <v>0.72899999999999998</v>
      </c>
      <c r="F36" s="1">
        <f>VLOOKUP($A36,[2]TeamRtg!$A$2:$E$366,5,FALSE)</f>
        <v>2.4289999999999998</v>
      </c>
    </row>
    <row r="37" spans="1:6" x14ac:dyDescent="0.2">
      <c r="A37" s="1" t="s">
        <v>46</v>
      </c>
      <c r="B37" s="3">
        <f ca="1">VLOOKUP(A37,[1]TeamRtg!$A$3:$G$367,7,FALSE)</f>
        <v>1.5676898992201169</v>
      </c>
      <c r="C37" s="1">
        <f t="shared" ca="1" si="0"/>
        <v>36</v>
      </c>
      <c r="D37" s="1">
        <f t="shared" ca="1" si="1"/>
        <v>36</v>
      </c>
      <c r="E37" s="1">
        <f>VLOOKUP($A37,[2]TeamRtg!$A$2:$E$366,4,FALSE)</f>
        <v>1.0680000000000001</v>
      </c>
      <c r="F37" s="1">
        <f>VLOOKUP($A37,[2]TeamRtg!$A$2:$E$366,5,FALSE)</f>
        <v>2.5179999999999998</v>
      </c>
    </row>
    <row r="38" spans="1:6" x14ac:dyDescent="0.2">
      <c r="A38" s="1" t="s">
        <v>63</v>
      </c>
      <c r="B38" s="3">
        <f ca="1">VLOOKUP(A38,[1]TeamRtg!$A$3:$G$367,7,FALSE)</f>
        <v>1.5481933095598852</v>
      </c>
      <c r="C38" s="1">
        <f t="shared" ca="1" si="0"/>
        <v>37</v>
      </c>
      <c r="D38" s="1">
        <f t="shared" ca="1" si="1"/>
        <v>37</v>
      </c>
      <c r="E38" s="1">
        <f>VLOOKUP($A38,[2]TeamRtg!$A$2:$E$366,4,FALSE)</f>
        <v>1.3979999999999999</v>
      </c>
      <c r="F38" s="1">
        <f>VLOOKUP($A38,[2]TeamRtg!$A$2:$E$366,5,FALSE)</f>
        <v>2.048</v>
      </c>
    </row>
    <row r="39" spans="1:6" x14ac:dyDescent="0.2">
      <c r="A39" s="1" t="s">
        <v>19</v>
      </c>
      <c r="B39" s="3">
        <f ca="1">VLOOKUP(A39,[1]TeamRtg!$A$3:$G$367,7,FALSE)</f>
        <v>1.5454340849646031</v>
      </c>
      <c r="C39" s="1">
        <f t="shared" ca="1" si="0"/>
        <v>38</v>
      </c>
      <c r="D39" s="1">
        <f t="shared" ca="1" si="1"/>
        <v>38</v>
      </c>
      <c r="E39" s="1">
        <f>VLOOKUP($A39,[2]TeamRtg!$A$2:$E$366,4,FALSE)</f>
        <v>0.69499999999999995</v>
      </c>
      <c r="F39" s="1">
        <f>VLOOKUP($A39,[2]TeamRtg!$A$2:$E$366,5,FALSE)</f>
        <v>2.3450000000000002</v>
      </c>
    </row>
    <row r="40" spans="1:6" x14ac:dyDescent="0.2">
      <c r="A40" s="1" t="s">
        <v>35</v>
      </c>
      <c r="B40" s="3">
        <f ca="1">VLOOKUP(A40,[1]TeamRtg!$A$3:$G$367,7,FALSE)</f>
        <v>1.5289081422407498</v>
      </c>
      <c r="C40" s="1">
        <f t="shared" ca="1" si="0"/>
        <v>39</v>
      </c>
      <c r="D40" s="1">
        <f t="shared" ca="1" si="1"/>
        <v>39</v>
      </c>
      <c r="E40" s="1">
        <f>VLOOKUP($A40,[2]TeamRtg!$A$2:$E$366,4,FALSE)</f>
        <v>0.57899999999999996</v>
      </c>
      <c r="F40" s="1">
        <f>VLOOKUP($A40,[2]TeamRtg!$A$2:$E$366,5,FALSE)</f>
        <v>2.0790000000000002</v>
      </c>
    </row>
    <row r="41" spans="1:6" x14ac:dyDescent="0.2">
      <c r="A41" s="1" t="s">
        <v>73</v>
      </c>
      <c r="B41" s="3">
        <f ca="1">VLOOKUP(A41,[1]TeamRtg!$A$3:$G$367,7,FALSE)</f>
        <v>1.5190669668424432</v>
      </c>
      <c r="C41" s="1">
        <f t="shared" ca="1" si="0"/>
        <v>40</v>
      </c>
      <c r="D41" s="1">
        <f t="shared" ca="1" si="1"/>
        <v>40</v>
      </c>
      <c r="E41" s="1">
        <f>VLOOKUP($A41,[2]TeamRtg!$A$2:$E$366,4,FALSE)</f>
        <v>1.0189999999999999</v>
      </c>
      <c r="F41" s="1">
        <f>VLOOKUP($A41,[2]TeamRtg!$A$2:$E$366,5,FALSE)</f>
        <v>2.4689999999999999</v>
      </c>
    </row>
    <row r="42" spans="1:6" x14ac:dyDescent="0.2">
      <c r="A42" s="1" t="s">
        <v>115</v>
      </c>
      <c r="B42" s="3">
        <f ca="1">VLOOKUP(A42,[1]TeamRtg!$A$3:$G$367,7,FALSE)</f>
        <v>1.5136223503509743</v>
      </c>
      <c r="C42" s="1">
        <f t="shared" ca="1" si="0"/>
        <v>41</v>
      </c>
      <c r="D42" s="1">
        <f t="shared" ca="1" si="1"/>
        <v>41</v>
      </c>
      <c r="E42" s="1">
        <f>VLOOKUP($A42,[2]TeamRtg!$A$2:$E$366,4,FALSE)</f>
        <v>1.214</v>
      </c>
      <c r="F42" s="1">
        <f>VLOOKUP($A42,[2]TeamRtg!$A$2:$E$366,5,FALSE)</f>
        <v>1.964</v>
      </c>
    </row>
    <row r="43" spans="1:6" x14ac:dyDescent="0.2">
      <c r="A43" s="1" t="s">
        <v>76</v>
      </c>
      <c r="B43" s="3">
        <f ca="1">VLOOKUP(A43,[1]TeamRtg!$A$3:$G$367,7,FALSE)</f>
        <v>1.4943097428269185</v>
      </c>
      <c r="C43" s="1">
        <f t="shared" ca="1" si="0"/>
        <v>42</v>
      </c>
      <c r="D43" s="1">
        <f t="shared" ca="1" si="1"/>
        <v>42</v>
      </c>
      <c r="E43" s="1">
        <f>VLOOKUP($A43,[2]TeamRtg!$A$2:$E$366,4,FALSE)</f>
        <v>1.494</v>
      </c>
      <c r="F43" s="1">
        <f>VLOOKUP($A43,[2]TeamRtg!$A$2:$E$366,5,FALSE)</f>
        <v>2.2440000000000002</v>
      </c>
    </row>
    <row r="44" spans="1:6" x14ac:dyDescent="0.2">
      <c r="A44" s="1" t="s">
        <v>88</v>
      </c>
      <c r="B44" s="3">
        <f ca="1">VLOOKUP(A44,[1]TeamRtg!$A$3:$G$367,7,FALSE)</f>
        <v>1.4800629187270713</v>
      </c>
      <c r="C44" s="1">
        <f t="shared" ca="1" si="0"/>
        <v>43</v>
      </c>
      <c r="D44" s="1">
        <f t="shared" ca="1" si="1"/>
        <v>43</v>
      </c>
      <c r="E44" s="1">
        <f>VLOOKUP($A44,[2]TeamRtg!$A$2:$E$366,4,FALSE)</f>
        <v>1.18</v>
      </c>
      <c r="F44" s="1">
        <f>VLOOKUP($A44,[2]TeamRtg!$A$2:$E$366,5,FALSE)</f>
        <v>1.93</v>
      </c>
    </row>
    <row r="45" spans="1:6" x14ac:dyDescent="0.2">
      <c r="A45" s="1" t="s">
        <v>45</v>
      </c>
      <c r="B45" s="3">
        <f ca="1">VLOOKUP(A45,[1]TeamRtg!$A$3:$G$367,7,FALSE)</f>
        <v>1.4620304214185744</v>
      </c>
      <c r="C45" s="1">
        <f t="shared" ca="1" si="0"/>
        <v>44</v>
      </c>
      <c r="D45" s="1">
        <f t="shared" ca="1" si="1"/>
        <v>44</v>
      </c>
      <c r="E45" s="1">
        <f>VLOOKUP($A45,[2]TeamRtg!$A$2:$E$366,4,FALSE)</f>
        <v>1.1619999999999999</v>
      </c>
      <c r="F45" s="1">
        <f>VLOOKUP($A45,[2]TeamRtg!$A$2:$E$366,5,FALSE)</f>
        <v>1.9119999999999999</v>
      </c>
    </row>
    <row r="46" spans="1:6" x14ac:dyDescent="0.2">
      <c r="A46" s="1" t="s">
        <v>47</v>
      </c>
      <c r="B46" s="3">
        <f ca="1">VLOOKUP(A46,[1]TeamRtg!$A$3:$G$367,7,FALSE)</f>
        <v>1.4553809441536736</v>
      </c>
      <c r="C46" s="1">
        <f t="shared" ca="1" si="0"/>
        <v>45</v>
      </c>
      <c r="D46" s="1">
        <f t="shared" ca="1" si="1"/>
        <v>45</v>
      </c>
      <c r="E46" s="1">
        <f>VLOOKUP($A46,[2]TeamRtg!$A$2:$E$366,4,FALSE)</f>
        <v>1.155</v>
      </c>
      <c r="F46" s="1">
        <f>VLOOKUP($A46,[2]TeamRtg!$A$2:$E$366,5,FALSE)</f>
        <v>1.905</v>
      </c>
    </row>
    <row r="47" spans="1:6" x14ac:dyDescent="0.2">
      <c r="A47" s="1" t="s">
        <v>41</v>
      </c>
      <c r="B47" s="3">
        <f ca="1">VLOOKUP(A47,[1]TeamRtg!$A$3:$G$367,7,FALSE)</f>
        <v>1.4468133226710682</v>
      </c>
      <c r="C47" s="1">
        <f t="shared" ca="1" si="0"/>
        <v>46</v>
      </c>
      <c r="D47" s="1">
        <f t="shared" ca="1" si="1"/>
        <v>46</v>
      </c>
      <c r="E47" s="1">
        <f>VLOOKUP($A47,[2]TeamRtg!$A$2:$E$366,4,FALSE)</f>
        <v>1.2470000000000001</v>
      </c>
      <c r="F47" s="1">
        <f>VLOOKUP($A47,[2]TeamRtg!$A$2:$E$366,5,FALSE)</f>
        <v>2.4969999999999999</v>
      </c>
    </row>
    <row r="48" spans="1:6" x14ac:dyDescent="0.2">
      <c r="A48" s="1" t="s">
        <v>28</v>
      </c>
      <c r="B48" s="3">
        <f ca="1">VLOOKUP(A48,[1]TeamRtg!$A$3:$G$367,7,FALSE)</f>
        <v>1.4281553127584199</v>
      </c>
      <c r="C48" s="1">
        <f t="shared" ca="1" si="0"/>
        <v>47</v>
      </c>
      <c r="D48" s="1">
        <f t="shared" ca="1" si="1"/>
        <v>47</v>
      </c>
      <c r="E48" s="1">
        <f>VLOOKUP($A48,[2]TeamRtg!$A$2:$E$366,4,FALSE)</f>
        <v>1.4279999999999999</v>
      </c>
      <c r="F48" s="1">
        <f>VLOOKUP($A48,[2]TeamRtg!$A$2:$E$366,5,FALSE)</f>
        <v>2.1779999999999999</v>
      </c>
    </row>
    <row r="49" spans="1:6" x14ac:dyDescent="0.2">
      <c r="A49" s="1" t="s">
        <v>39</v>
      </c>
      <c r="B49" s="3">
        <f ca="1">VLOOKUP(A49,[1]TeamRtg!$A$3:$G$367,7,FALSE)</f>
        <v>1.4227566901966584</v>
      </c>
      <c r="C49" s="1">
        <f t="shared" ca="1" si="0"/>
        <v>48</v>
      </c>
      <c r="D49" s="1">
        <f t="shared" ca="1" si="1"/>
        <v>48</v>
      </c>
      <c r="E49" s="1">
        <f>VLOOKUP($A49,[2]TeamRtg!$A$2:$E$366,4,FALSE)</f>
        <v>0.623</v>
      </c>
      <c r="F49" s="1">
        <f>VLOOKUP($A49,[2]TeamRtg!$A$2:$E$366,5,FALSE)</f>
        <v>2.173</v>
      </c>
    </row>
    <row r="50" spans="1:6" x14ac:dyDescent="0.2">
      <c r="A50" s="1" t="s">
        <v>56</v>
      </c>
      <c r="B50" s="3">
        <f ca="1">VLOOKUP(A50,[1]TeamRtg!$A$3:$G$367,7,FALSE)</f>
        <v>1.4101211723321863</v>
      </c>
      <c r="C50" s="1">
        <f t="shared" ca="1" si="0"/>
        <v>49</v>
      </c>
      <c r="D50" s="1">
        <f t="shared" ca="1" si="1"/>
        <v>49</v>
      </c>
      <c r="E50" s="1">
        <f>VLOOKUP($A50,[2]TeamRtg!$A$2:$E$366,4,FALSE)</f>
        <v>1.1100000000000001</v>
      </c>
      <c r="F50" s="1">
        <f>VLOOKUP($A50,[2]TeamRtg!$A$2:$E$366,5,FALSE)</f>
        <v>1.86</v>
      </c>
    </row>
    <row r="51" spans="1:6" x14ac:dyDescent="0.2">
      <c r="A51" s="1" t="s">
        <v>50</v>
      </c>
      <c r="B51" s="3">
        <f ca="1">VLOOKUP(A51,[1]TeamRtg!$A$3:$G$367,7,FALSE)</f>
        <v>1.3843853009357632</v>
      </c>
      <c r="C51" s="1">
        <f t="shared" ca="1" si="0"/>
        <v>50</v>
      </c>
      <c r="D51" s="1">
        <f t="shared" ca="1" si="1"/>
        <v>50</v>
      </c>
      <c r="E51" s="1">
        <f>VLOOKUP($A51,[2]TeamRtg!$A$2:$E$366,4,FALSE)</f>
        <v>1.0840000000000001</v>
      </c>
      <c r="F51" s="1">
        <f>VLOOKUP($A51,[2]TeamRtg!$A$2:$E$366,5,FALSE)</f>
        <v>1.8340000000000001</v>
      </c>
    </row>
    <row r="52" spans="1:6" x14ac:dyDescent="0.2">
      <c r="A52" s="1" t="s">
        <v>37</v>
      </c>
      <c r="B52" s="3">
        <f ca="1">VLOOKUP(A52,[1]TeamRtg!$A$3:$G$367,7,FALSE)</f>
        <v>1.3308740887019646</v>
      </c>
      <c r="C52" s="1">
        <f t="shared" ca="1" si="0"/>
        <v>51</v>
      </c>
      <c r="D52" s="1">
        <f t="shared" ca="1" si="1"/>
        <v>51</v>
      </c>
      <c r="E52" s="1">
        <f>VLOOKUP($A52,[2]TeamRtg!$A$2:$E$366,4,FALSE)</f>
        <v>1.0309999999999999</v>
      </c>
      <c r="F52" s="1">
        <f>VLOOKUP($A52,[2]TeamRtg!$A$2:$E$366,5,FALSE)</f>
        <v>1.7809999999999999</v>
      </c>
    </row>
    <row r="53" spans="1:6" x14ac:dyDescent="0.2">
      <c r="A53" s="1" t="s">
        <v>38</v>
      </c>
      <c r="B53" s="3">
        <f ca="1">VLOOKUP(A53,[1]TeamRtg!$A$3:$G$367,7,FALSE)</f>
        <v>1.2961952799207701</v>
      </c>
      <c r="C53" s="1">
        <f t="shared" ca="1" si="0"/>
        <v>52</v>
      </c>
      <c r="D53" s="1">
        <f t="shared" ca="1" si="1"/>
        <v>52</v>
      </c>
      <c r="E53" s="1">
        <f>VLOOKUP($A53,[2]TeamRtg!$A$2:$E$366,4,FALSE)</f>
        <v>0.996</v>
      </c>
      <c r="F53" s="1">
        <f>VLOOKUP($A53,[2]TeamRtg!$A$2:$E$366,5,FALSE)</f>
        <v>1.746</v>
      </c>
    </row>
    <row r="54" spans="1:6" x14ac:dyDescent="0.2">
      <c r="A54" s="1" t="s">
        <v>21</v>
      </c>
      <c r="B54" s="3">
        <f ca="1">VLOOKUP(A54,[1]TeamRtg!$A$3:$G$367,7,FALSE)</f>
        <v>1.28566670604472</v>
      </c>
      <c r="C54" s="1">
        <f t="shared" ca="1" si="0"/>
        <v>53</v>
      </c>
      <c r="D54" s="1">
        <f t="shared" ca="1" si="1"/>
        <v>53</v>
      </c>
      <c r="E54" s="1">
        <f>VLOOKUP($A54,[2]TeamRtg!$A$2:$E$366,4,FALSE)</f>
        <v>0.98599999999999999</v>
      </c>
      <c r="F54" s="1">
        <f>VLOOKUP($A54,[2]TeamRtg!$A$2:$E$366,5,FALSE)</f>
        <v>1.736</v>
      </c>
    </row>
    <row r="55" spans="1:6" x14ac:dyDescent="0.2">
      <c r="A55" s="1" t="s">
        <v>82</v>
      </c>
      <c r="B55" s="3">
        <f ca="1">VLOOKUP(A55,[1]TeamRtg!$A$3:$G$367,7,FALSE)</f>
        <v>1.2593887827673822</v>
      </c>
      <c r="C55" s="1">
        <f t="shared" ca="1" si="0"/>
        <v>54</v>
      </c>
      <c r="D55" s="1">
        <f t="shared" ca="1" si="1"/>
        <v>54</v>
      </c>
      <c r="E55" s="1">
        <f>VLOOKUP($A55,[2]TeamRtg!$A$2:$E$366,4,FALSE)</f>
        <v>0.95899999999999996</v>
      </c>
      <c r="F55" s="1">
        <f>VLOOKUP($A55,[2]TeamRtg!$A$2:$E$366,5,FALSE)</f>
        <v>1.7090000000000001</v>
      </c>
    </row>
    <row r="56" spans="1:6" x14ac:dyDescent="0.2">
      <c r="A56" s="1" t="s">
        <v>93</v>
      </c>
      <c r="B56" s="3">
        <f ca="1">VLOOKUP(A56,[1]TeamRtg!$A$3:$G$367,7,FALSE)</f>
        <v>1.2506631628916818</v>
      </c>
      <c r="C56" s="1">
        <f t="shared" ca="1" si="0"/>
        <v>55</v>
      </c>
      <c r="D56" s="1">
        <f t="shared" ca="1" si="1"/>
        <v>55</v>
      </c>
      <c r="E56" s="1">
        <f>VLOOKUP($A56,[2]TeamRtg!$A$2:$E$366,4,FALSE)</f>
        <v>0.95099999999999996</v>
      </c>
      <c r="F56" s="1">
        <f>VLOOKUP($A56,[2]TeamRtg!$A$2:$E$366,5,FALSE)</f>
        <v>1.7010000000000001</v>
      </c>
    </row>
    <row r="57" spans="1:6" x14ac:dyDescent="0.2">
      <c r="A57" s="1" t="s">
        <v>72</v>
      </c>
      <c r="B57" s="3">
        <f ca="1">VLOOKUP(A57,[1]TeamRtg!$A$3:$G$367,7,FALSE)</f>
        <v>1.2003751745414064</v>
      </c>
      <c r="C57" s="1">
        <f t="shared" ca="1" si="0"/>
        <v>56</v>
      </c>
      <c r="D57" s="1">
        <f t="shared" ca="1" si="1"/>
        <v>56</v>
      </c>
      <c r="E57" s="1">
        <f>VLOOKUP($A57,[2]TeamRtg!$A$2:$E$366,4,FALSE)</f>
        <v>0.9</v>
      </c>
      <c r="F57" s="1">
        <f>VLOOKUP($A57,[2]TeamRtg!$A$2:$E$366,5,FALSE)</f>
        <v>1.65</v>
      </c>
    </row>
    <row r="58" spans="1:6" x14ac:dyDescent="0.2">
      <c r="A58" s="1" t="s">
        <v>59</v>
      </c>
      <c r="B58" s="3">
        <f ca="1">VLOOKUP(A58,[1]TeamRtg!$A$3:$G$367,7,FALSE)</f>
        <v>1.1934560577426656</v>
      </c>
      <c r="C58" s="1">
        <f t="shared" ca="1" si="0"/>
        <v>57</v>
      </c>
      <c r="D58" s="1">
        <f t="shared" ca="1" si="1"/>
        <v>57</v>
      </c>
      <c r="E58" s="1">
        <f>VLOOKUP($A58,[2]TeamRtg!$A$2:$E$366,4,FALSE)</f>
        <v>0.89300000000000002</v>
      </c>
      <c r="F58" s="1">
        <f>VLOOKUP($A58,[2]TeamRtg!$A$2:$E$366,5,FALSE)</f>
        <v>1.643</v>
      </c>
    </row>
    <row r="59" spans="1:6" x14ac:dyDescent="0.2">
      <c r="A59" s="1" t="s">
        <v>97</v>
      </c>
      <c r="B59" s="3">
        <f ca="1">VLOOKUP(A59,[1]TeamRtg!$A$3:$G$367,7,FALSE)</f>
        <v>1.1691089666233196</v>
      </c>
      <c r="C59" s="1">
        <f t="shared" ca="1" si="0"/>
        <v>58</v>
      </c>
      <c r="D59" s="1">
        <f t="shared" ca="1" si="1"/>
        <v>58</v>
      </c>
      <c r="E59" s="1">
        <f>VLOOKUP($A59,[2]TeamRtg!$A$2:$E$366,4,FALSE)</f>
        <v>0.86899999999999999</v>
      </c>
      <c r="F59" s="1">
        <f>VLOOKUP($A59,[2]TeamRtg!$A$2:$E$366,5,FALSE)</f>
        <v>1.619</v>
      </c>
    </row>
    <row r="60" spans="1:6" x14ac:dyDescent="0.2">
      <c r="A60" s="1" t="s">
        <v>54</v>
      </c>
      <c r="B60" s="3">
        <f ca="1">VLOOKUP(A60,[1]TeamRtg!$A$3:$G$367,7,FALSE)</f>
        <v>1.1410884244457067</v>
      </c>
      <c r="C60" s="1">
        <f t="shared" ca="1" si="0"/>
        <v>59</v>
      </c>
      <c r="D60" s="1">
        <f t="shared" ca="1" si="1"/>
        <v>59</v>
      </c>
      <c r="E60" s="1">
        <f>VLOOKUP($A60,[2]TeamRtg!$A$2:$E$366,4,FALSE)</f>
        <v>0.84099999999999997</v>
      </c>
      <c r="F60" s="1">
        <f>VLOOKUP($A60,[2]TeamRtg!$A$2:$E$366,5,FALSE)</f>
        <v>1.591</v>
      </c>
    </row>
    <row r="61" spans="1:6" x14ac:dyDescent="0.2">
      <c r="A61" s="1" t="s">
        <v>90</v>
      </c>
      <c r="B61" s="3">
        <f ca="1">VLOOKUP(A61,[1]TeamRtg!$A$3:$G$367,7,FALSE)</f>
        <v>1.0878175628526836</v>
      </c>
      <c r="C61" s="1">
        <f t="shared" ca="1" si="0"/>
        <v>60</v>
      </c>
      <c r="D61" s="1">
        <f t="shared" ca="1" si="1"/>
        <v>60</v>
      </c>
      <c r="E61" s="1">
        <f>VLOOKUP($A61,[2]TeamRtg!$A$2:$E$366,4,FALSE)</f>
        <v>0.78800000000000003</v>
      </c>
      <c r="F61" s="1">
        <f>VLOOKUP($A61,[2]TeamRtg!$A$2:$E$366,5,FALSE)</f>
        <v>1.538</v>
      </c>
    </row>
    <row r="62" spans="1:6" x14ac:dyDescent="0.2">
      <c r="A62" s="1" t="s">
        <v>118</v>
      </c>
      <c r="B62" s="3">
        <f ca="1">VLOOKUP(A62,[1]TeamRtg!$A$3:$G$367,7,FALSE)</f>
        <v>1.0725702295181265</v>
      </c>
      <c r="C62" s="1">
        <f t="shared" ca="1" si="0"/>
        <v>61</v>
      </c>
      <c r="D62" s="1">
        <f t="shared" ca="1" si="1"/>
        <v>61</v>
      </c>
      <c r="E62" s="1">
        <f>VLOOKUP($A62,[2]TeamRtg!$A$2:$E$366,4,FALSE)</f>
        <v>0.77300000000000002</v>
      </c>
      <c r="F62" s="1">
        <f>VLOOKUP($A62,[2]TeamRtg!$A$2:$E$366,5,FALSE)</f>
        <v>1.5229999999999999</v>
      </c>
    </row>
    <row r="63" spans="1:6" x14ac:dyDescent="0.2">
      <c r="A63" s="1" t="s">
        <v>34</v>
      </c>
      <c r="B63" s="3">
        <f ca="1">VLOOKUP(A63,[1]TeamRtg!$A$3:$G$367,7,FALSE)</f>
        <v>1.0236111762953817</v>
      </c>
      <c r="C63" s="1">
        <f t="shared" ca="1" si="0"/>
        <v>62</v>
      </c>
      <c r="D63" s="1">
        <f t="shared" ca="1" si="1"/>
        <v>62</v>
      </c>
      <c r="E63" s="1">
        <f>VLOOKUP($A63,[2]TeamRtg!$A$2:$E$366,4,FALSE)</f>
        <v>0.72399999999999998</v>
      </c>
      <c r="F63" s="1">
        <f>VLOOKUP($A63,[2]TeamRtg!$A$2:$E$366,5,FALSE)</f>
        <v>1.474</v>
      </c>
    </row>
    <row r="64" spans="1:6" x14ac:dyDescent="0.2">
      <c r="A64" s="1" t="s">
        <v>43</v>
      </c>
      <c r="B64" s="3">
        <f ca="1">VLOOKUP(A64,[1]TeamRtg!$A$3:$G$367,7,FALSE)</f>
        <v>1.0222346576135168</v>
      </c>
      <c r="C64" s="1">
        <f t="shared" ca="1" si="0"/>
        <v>63</v>
      </c>
      <c r="D64" s="1">
        <f t="shared" ca="1" si="1"/>
        <v>63</v>
      </c>
      <c r="E64" s="1">
        <f>VLOOKUP($A64,[2]TeamRtg!$A$2:$E$366,4,FALSE)</f>
        <v>0.72199999999999998</v>
      </c>
      <c r="F64" s="1">
        <f>VLOOKUP($A64,[2]TeamRtg!$A$2:$E$366,5,FALSE)</f>
        <v>1.472</v>
      </c>
    </row>
    <row r="65" spans="1:6" x14ac:dyDescent="0.2">
      <c r="A65" s="1" t="s">
        <v>102</v>
      </c>
      <c r="B65" s="3">
        <f ca="1">VLOOKUP(A65,[1]TeamRtg!$A$3:$G$367,7,FALSE)</f>
        <v>1.009156894369591</v>
      </c>
      <c r="C65" s="1">
        <f t="shared" ca="1" si="0"/>
        <v>64</v>
      </c>
      <c r="D65" s="1">
        <f t="shared" ca="1" si="1"/>
        <v>64</v>
      </c>
      <c r="E65" s="1">
        <f>VLOOKUP($A65,[2]TeamRtg!$A$2:$E$366,4,FALSE)</f>
        <v>0.70899999999999996</v>
      </c>
      <c r="F65" s="1">
        <f>VLOOKUP($A65,[2]TeamRtg!$A$2:$E$366,5,FALSE)</f>
        <v>1.4590000000000001</v>
      </c>
    </row>
    <row r="66" spans="1:6" x14ac:dyDescent="0.2">
      <c r="A66" s="1" t="s">
        <v>84</v>
      </c>
      <c r="B66" s="3">
        <f ca="1">VLOOKUP(A66,[1]TeamRtg!$A$3:$G$367,7,FALSE)</f>
        <v>0.97452707157449325</v>
      </c>
      <c r="C66" s="1">
        <f t="shared" ref="C66:C129" ca="1" si="2">RANK(B66,$B$2:$B$366)</f>
        <v>65</v>
      </c>
      <c r="D66" s="1">
        <f t="shared" ca="1" si="1"/>
        <v>65</v>
      </c>
      <c r="E66" s="1">
        <f>VLOOKUP($A66,[2]TeamRtg!$A$2:$E$366,4,FALSE)</f>
        <v>0.67500000000000004</v>
      </c>
      <c r="F66" s="1">
        <f>VLOOKUP($A66,[2]TeamRtg!$A$2:$E$366,5,FALSE)</f>
        <v>1.425</v>
      </c>
    </row>
    <row r="67" spans="1:6" x14ac:dyDescent="0.2">
      <c r="A67" s="1" t="s">
        <v>99</v>
      </c>
      <c r="B67" s="3">
        <f ca="1">VLOOKUP(A67,[1]TeamRtg!$A$3:$G$367,7,FALSE)</f>
        <v>0.97379180508159502</v>
      </c>
      <c r="C67" s="1">
        <f t="shared" ca="1" si="2"/>
        <v>66</v>
      </c>
      <c r="D67" s="1">
        <f t="shared" ref="D67:D130" ca="1" si="3">C67</f>
        <v>66</v>
      </c>
      <c r="E67" s="1">
        <f>VLOOKUP($A67,[2]TeamRtg!$A$2:$E$366,4,FALSE)</f>
        <v>0.67400000000000004</v>
      </c>
      <c r="F67" s="1">
        <f>VLOOKUP($A67,[2]TeamRtg!$A$2:$E$366,5,FALSE)</f>
        <v>1.4239999999999999</v>
      </c>
    </row>
    <row r="68" spans="1:6" x14ac:dyDescent="0.2">
      <c r="A68" s="1" t="s">
        <v>51</v>
      </c>
      <c r="B68" s="3">
        <f ca="1">VLOOKUP(A68,[1]TeamRtg!$A$3:$G$367,7,FALSE)</f>
        <v>0.95046341663984046</v>
      </c>
      <c r="C68" s="1">
        <f t="shared" ca="1" si="2"/>
        <v>67</v>
      </c>
      <c r="D68" s="1">
        <f t="shared" ca="1" si="3"/>
        <v>67</v>
      </c>
      <c r="E68" s="1">
        <f>VLOOKUP($A68,[2]TeamRtg!$A$2:$E$366,4,FALSE)</f>
        <v>0.65</v>
      </c>
      <c r="F68" s="1">
        <f>VLOOKUP($A68,[2]TeamRtg!$A$2:$E$366,5,FALSE)</f>
        <v>1.4</v>
      </c>
    </row>
    <row r="69" spans="1:6" x14ac:dyDescent="0.2">
      <c r="A69" s="1" t="s">
        <v>70</v>
      </c>
      <c r="B69" s="3">
        <f ca="1">VLOOKUP(A69,[1]TeamRtg!$A$3:$G$367,7,FALSE)</f>
        <v>0.94186871422330121</v>
      </c>
      <c r="C69" s="1">
        <f t="shared" ca="1" si="2"/>
        <v>68</v>
      </c>
      <c r="D69" s="1">
        <f t="shared" ca="1" si="3"/>
        <v>68</v>
      </c>
      <c r="E69" s="1">
        <f>VLOOKUP($A69,[2]TeamRtg!$A$2:$E$366,4,FALSE)</f>
        <v>0.64200000000000002</v>
      </c>
      <c r="F69" s="1">
        <f>VLOOKUP($A69,[2]TeamRtg!$A$2:$E$366,5,FALSE)</f>
        <v>1.3919999999999999</v>
      </c>
    </row>
    <row r="70" spans="1:6" x14ac:dyDescent="0.2">
      <c r="A70" s="1" t="s">
        <v>94</v>
      </c>
      <c r="B70" s="3">
        <f ca="1">VLOOKUP(A70,[1]TeamRtg!$A$3:$G$367,7,FALSE)</f>
        <v>0.93871274497332458</v>
      </c>
      <c r="C70" s="1">
        <f t="shared" ca="1" si="2"/>
        <v>69</v>
      </c>
      <c r="D70" s="1">
        <f t="shared" ca="1" si="3"/>
        <v>69</v>
      </c>
      <c r="E70" s="1">
        <f>VLOOKUP($A70,[2]TeamRtg!$A$2:$E$366,4,FALSE)</f>
        <v>0.63900000000000001</v>
      </c>
      <c r="F70" s="1">
        <f>VLOOKUP($A70,[2]TeamRtg!$A$2:$E$366,5,FALSE)</f>
        <v>1.389</v>
      </c>
    </row>
    <row r="71" spans="1:6" x14ac:dyDescent="0.2">
      <c r="A71" s="1" t="s">
        <v>31</v>
      </c>
      <c r="B71" s="3">
        <f ca="1">VLOOKUP(A71,[1]TeamRtg!$A$3:$G$367,7,FALSE)</f>
        <v>0.93030222636099824</v>
      </c>
      <c r="C71" s="1">
        <f t="shared" ca="1" si="2"/>
        <v>70</v>
      </c>
      <c r="D71" s="1">
        <f t="shared" ca="1" si="3"/>
        <v>70</v>
      </c>
      <c r="E71" s="1">
        <f>VLOOKUP($A71,[2]TeamRtg!$A$2:$E$366,4,FALSE)</f>
        <v>0.63</v>
      </c>
      <c r="F71" s="1">
        <f>VLOOKUP($A71,[2]TeamRtg!$A$2:$E$366,5,FALSE)</f>
        <v>1.38</v>
      </c>
    </row>
    <row r="72" spans="1:6" x14ac:dyDescent="0.2">
      <c r="A72" s="1" t="s">
        <v>86</v>
      </c>
      <c r="B72" s="3">
        <f ca="1">VLOOKUP(A72,[1]TeamRtg!$A$3:$G$367,7,FALSE)</f>
        <v>0.92514179551449072</v>
      </c>
      <c r="C72" s="1">
        <f t="shared" ca="1" si="2"/>
        <v>71</v>
      </c>
      <c r="D72" s="1">
        <f t="shared" ca="1" si="3"/>
        <v>71</v>
      </c>
      <c r="E72" s="1">
        <f>VLOOKUP($A72,[2]TeamRtg!$A$2:$E$366,4,FALSE)</f>
        <v>0.625</v>
      </c>
      <c r="F72" s="1">
        <f>VLOOKUP($A72,[2]TeamRtg!$A$2:$E$366,5,FALSE)</f>
        <v>1.375</v>
      </c>
    </row>
    <row r="73" spans="1:6" x14ac:dyDescent="0.2">
      <c r="A73" s="1" t="s">
        <v>66</v>
      </c>
      <c r="B73" s="3">
        <f ca="1">VLOOKUP(A73,[1]TeamRtg!$A$3:$G$367,7,FALSE)</f>
        <v>0.92467667046056701</v>
      </c>
      <c r="C73" s="1">
        <f t="shared" ca="1" si="2"/>
        <v>72</v>
      </c>
      <c r="D73" s="1">
        <f t="shared" ca="1" si="3"/>
        <v>72</v>
      </c>
      <c r="E73" s="1">
        <f>VLOOKUP($A73,[2]TeamRtg!$A$2:$E$366,4,FALSE)</f>
        <v>0.625</v>
      </c>
      <c r="F73" s="1">
        <f>VLOOKUP($A73,[2]TeamRtg!$A$2:$E$366,5,FALSE)</f>
        <v>1.375</v>
      </c>
    </row>
    <row r="74" spans="1:6" x14ac:dyDescent="0.2">
      <c r="A74" s="1" t="s">
        <v>60</v>
      </c>
      <c r="B74" s="3">
        <f ca="1">VLOOKUP(A74,[1]TeamRtg!$A$3:$G$367,7,FALSE)</f>
        <v>0.91748286562210724</v>
      </c>
      <c r="C74" s="1">
        <f t="shared" ca="1" si="2"/>
        <v>73</v>
      </c>
      <c r="D74" s="1">
        <f t="shared" ca="1" si="3"/>
        <v>73</v>
      </c>
      <c r="E74" s="1">
        <f>VLOOKUP($A74,[2]TeamRtg!$A$2:$E$366,4,FALSE)</f>
        <v>0.61699999999999999</v>
      </c>
      <c r="F74" s="1">
        <f>VLOOKUP($A74,[2]TeamRtg!$A$2:$E$366,5,FALSE)</f>
        <v>1.367</v>
      </c>
    </row>
    <row r="75" spans="1:6" x14ac:dyDescent="0.2">
      <c r="A75" s="1" t="s">
        <v>27</v>
      </c>
      <c r="B75" s="3">
        <f ca="1">VLOOKUP(A75,[1]TeamRtg!$A$3:$G$367,7,FALSE)</f>
        <v>0.90026179551813368</v>
      </c>
      <c r="C75" s="1">
        <f t="shared" ca="1" si="2"/>
        <v>74</v>
      </c>
      <c r="D75" s="1">
        <f t="shared" ca="1" si="3"/>
        <v>74</v>
      </c>
      <c r="E75" s="1">
        <f>VLOOKUP($A75,[2]TeamRtg!$A$2:$E$366,4,FALSE)</f>
        <v>0.6</v>
      </c>
      <c r="F75" s="1">
        <f>VLOOKUP($A75,[2]TeamRtg!$A$2:$E$366,5,FALSE)</f>
        <v>1.35</v>
      </c>
    </row>
    <row r="76" spans="1:6" x14ac:dyDescent="0.2">
      <c r="A76" s="1" t="s">
        <v>75</v>
      </c>
      <c r="B76" s="3">
        <f ca="1">VLOOKUP(A76,[1]TeamRtg!$A$3:$G$367,7,FALSE)</f>
        <v>0.87856043712369181</v>
      </c>
      <c r="C76" s="1">
        <f t="shared" ca="1" si="2"/>
        <v>75</v>
      </c>
      <c r="D76" s="1">
        <f t="shared" ca="1" si="3"/>
        <v>75</v>
      </c>
      <c r="E76" s="1">
        <f>VLOOKUP($A76,[2]TeamRtg!$A$2:$E$366,4,FALSE)</f>
        <v>0.57899999999999996</v>
      </c>
      <c r="F76" s="1">
        <f>VLOOKUP($A76,[2]TeamRtg!$A$2:$E$366,5,FALSE)</f>
        <v>1.329</v>
      </c>
    </row>
    <row r="77" spans="1:6" x14ac:dyDescent="0.2">
      <c r="A77" s="1" t="s">
        <v>96</v>
      </c>
      <c r="B77" s="3">
        <f ca="1">VLOOKUP(A77,[1]TeamRtg!$A$3:$G$367,7,FALSE)</f>
        <v>0.87562200000709278</v>
      </c>
      <c r="C77" s="1">
        <f t="shared" ca="1" si="2"/>
        <v>76</v>
      </c>
      <c r="D77" s="1">
        <f t="shared" ca="1" si="3"/>
        <v>76</v>
      </c>
      <c r="E77" s="1">
        <f>VLOOKUP($A77,[2]TeamRtg!$A$2:$E$366,4,FALSE)</f>
        <v>0.57599999999999996</v>
      </c>
      <c r="F77" s="1">
        <f>VLOOKUP($A77,[2]TeamRtg!$A$2:$E$366,5,FALSE)</f>
        <v>1.3260000000000001</v>
      </c>
    </row>
    <row r="78" spans="1:6" x14ac:dyDescent="0.2">
      <c r="A78" s="1" t="s">
        <v>221</v>
      </c>
      <c r="B78" s="3">
        <f ca="1">VLOOKUP(A78,[1]TeamRtg!$A$3:$G$367,7,FALSE)</f>
        <v>0.86566107012481819</v>
      </c>
      <c r="C78" s="1">
        <f t="shared" ca="1" si="2"/>
        <v>77</v>
      </c>
      <c r="D78" s="1">
        <f t="shared" ca="1" si="3"/>
        <v>77</v>
      </c>
      <c r="E78" s="1">
        <f>VLOOKUP($A78,[2]TeamRtg!$A$2:$E$366,4,FALSE)</f>
        <v>0.56599999999999995</v>
      </c>
      <c r="F78" s="1">
        <f>VLOOKUP($A78,[2]TeamRtg!$A$2:$E$366,5,FALSE)</f>
        <v>1.3160000000000001</v>
      </c>
    </row>
    <row r="79" spans="1:6" x14ac:dyDescent="0.2">
      <c r="A79" s="1" t="s">
        <v>127</v>
      </c>
      <c r="B79" s="3">
        <f ca="1">VLOOKUP(A79,[1]TeamRtg!$A$3:$G$367,7,FALSE)</f>
        <v>0.85202455551180079</v>
      </c>
      <c r="C79" s="1">
        <f t="shared" ca="1" si="2"/>
        <v>78</v>
      </c>
      <c r="D79" s="1">
        <f t="shared" ca="1" si="3"/>
        <v>78</v>
      </c>
      <c r="E79" s="1">
        <f>VLOOKUP($A79,[2]TeamRtg!$A$2:$E$366,4,FALSE)</f>
        <v>0.55200000000000005</v>
      </c>
      <c r="F79" s="1">
        <f>VLOOKUP($A79,[2]TeamRtg!$A$2:$E$366,5,FALSE)</f>
        <v>1.302</v>
      </c>
    </row>
    <row r="80" spans="1:6" x14ac:dyDescent="0.2">
      <c r="A80" s="1" t="s">
        <v>119</v>
      </c>
      <c r="B80" s="3">
        <f ca="1">VLOOKUP(A80,[1]TeamRtg!$A$3:$G$367,7,FALSE)</f>
        <v>0.8419604227544133</v>
      </c>
      <c r="C80" s="1">
        <f t="shared" ca="1" si="2"/>
        <v>79</v>
      </c>
      <c r="D80" s="1">
        <f t="shared" ca="1" si="3"/>
        <v>79</v>
      </c>
      <c r="E80" s="1">
        <f>VLOOKUP($A80,[2]TeamRtg!$A$2:$E$366,4,FALSE)</f>
        <v>0.54200000000000004</v>
      </c>
      <c r="F80" s="1">
        <f>VLOOKUP($A80,[2]TeamRtg!$A$2:$E$366,5,FALSE)</f>
        <v>1.292</v>
      </c>
    </row>
    <row r="81" spans="1:6" x14ac:dyDescent="0.2">
      <c r="A81" s="1" t="s">
        <v>80</v>
      </c>
      <c r="B81" s="3">
        <f ca="1">VLOOKUP(A81,[1]TeamRtg!$A$3:$G$367,7,FALSE)</f>
        <v>0.82050273632137383</v>
      </c>
      <c r="C81" s="1">
        <f t="shared" ca="1" si="2"/>
        <v>80</v>
      </c>
      <c r="D81" s="1">
        <f t="shared" ca="1" si="3"/>
        <v>80</v>
      </c>
      <c r="E81" s="1">
        <f>VLOOKUP($A81,[2]TeamRtg!$A$2:$E$366,4,FALSE)</f>
        <v>0.52100000000000002</v>
      </c>
      <c r="F81" s="1">
        <f>VLOOKUP($A81,[2]TeamRtg!$A$2:$E$366,5,FALSE)</f>
        <v>1.2709999999999999</v>
      </c>
    </row>
    <row r="82" spans="1:6" x14ac:dyDescent="0.2">
      <c r="A82" s="1" t="s">
        <v>105</v>
      </c>
      <c r="B82" s="3">
        <f ca="1">VLOOKUP(A82,[1]TeamRtg!$A$3:$G$367,7,FALSE)</f>
        <v>0.78708204922350478</v>
      </c>
      <c r="C82" s="1">
        <f t="shared" ca="1" si="2"/>
        <v>81</v>
      </c>
      <c r="D82" s="1">
        <f t="shared" ca="1" si="3"/>
        <v>81</v>
      </c>
      <c r="E82" s="1">
        <f>VLOOKUP($A82,[2]TeamRtg!$A$2:$E$366,4,FALSE)</f>
        <v>0.48699999999999999</v>
      </c>
      <c r="F82" s="1">
        <f>VLOOKUP($A82,[2]TeamRtg!$A$2:$E$366,5,FALSE)</f>
        <v>1.2370000000000001</v>
      </c>
    </row>
    <row r="83" spans="1:6" x14ac:dyDescent="0.2">
      <c r="A83" s="1" t="s">
        <v>114</v>
      </c>
      <c r="B83" s="3">
        <f ca="1">VLOOKUP(A83,[1]TeamRtg!$A$3:$G$367,7,FALSE)</f>
        <v>0.77442121252581775</v>
      </c>
      <c r="C83" s="1">
        <f t="shared" ca="1" si="2"/>
        <v>82</v>
      </c>
      <c r="D83" s="1">
        <f t="shared" ca="1" si="3"/>
        <v>82</v>
      </c>
      <c r="E83" s="1">
        <f>VLOOKUP($A83,[2]TeamRtg!$A$2:$E$366,4,FALSE)</f>
        <v>0.47399999999999998</v>
      </c>
      <c r="F83" s="1">
        <f>VLOOKUP($A83,[2]TeamRtg!$A$2:$E$366,5,FALSE)</f>
        <v>1.224</v>
      </c>
    </row>
    <row r="84" spans="1:6" x14ac:dyDescent="0.2">
      <c r="A84" s="1" t="s">
        <v>103</v>
      </c>
      <c r="B84" s="3">
        <f ca="1">VLOOKUP(A84,[1]TeamRtg!$A$3:$G$367,7,FALSE)</f>
        <v>0.72705720331196833</v>
      </c>
      <c r="C84" s="1">
        <f t="shared" ca="1" si="2"/>
        <v>83</v>
      </c>
      <c r="D84" s="1">
        <f t="shared" ca="1" si="3"/>
        <v>83</v>
      </c>
      <c r="E84" s="1">
        <f>VLOOKUP($A84,[2]TeamRtg!$A$2:$E$366,4,FALSE)</f>
        <v>0.42699999999999999</v>
      </c>
      <c r="F84" s="1">
        <f>VLOOKUP($A84,[2]TeamRtg!$A$2:$E$366,5,FALSE)</f>
        <v>1.177</v>
      </c>
    </row>
    <row r="85" spans="1:6" x14ac:dyDescent="0.2">
      <c r="A85" s="1" t="s">
        <v>71</v>
      </c>
      <c r="B85" s="3">
        <f ca="1">VLOOKUP(A85,[1]TeamRtg!$A$3:$G$367,7,FALSE)</f>
        <v>0.72584295662380927</v>
      </c>
      <c r="C85" s="1">
        <f t="shared" ca="1" si="2"/>
        <v>84</v>
      </c>
      <c r="D85" s="1">
        <f t="shared" ca="1" si="3"/>
        <v>84</v>
      </c>
      <c r="E85" s="1">
        <f>VLOOKUP($A85,[2]TeamRtg!$A$2:$E$366,4,FALSE)</f>
        <v>0.42599999999999999</v>
      </c>
      <c r="F85" s="1">
        <f>VLOOKUP($A85,[2]TeamRtg!$A$2:$E$366,5,FALSE)</f>
        <v>1.1759999999999999</v>
      </c>
    </row>
    <row r="86" spans="1:6" x14ac:dyDescent="0.2">
      <c r="A86" s="1" t="s">
        <v>55</v>
      </c>
      <c r="B86" s="3">
        <f ca="1">VLOOKUP(A86,[1]TeamRtg!$A$3:$G$367,7,FALSE)</f>
        <v>0.68071110536748003</v>
      </c>
      <c r="C86" s="1">
        <f t="shared" ca="1" si="2"/>
        <v>85</v>
      </c>
      <c r="D86" s="1">
        <f t="shared" ca="1" si="3"/>
        <v>85</v>
      </c>
      <c r="E86" s="1">
        <f>VLOOKUP($A86,[2]TeamRtg!$A$2:$E$366,4,FALSE)</f>
        <v>0.38100000000000001</v>
      </c>
      <c r="F86" s="1">
        <f>VLOOKUP($A86,[2]TeamRtg!$A$2:$E$366,5,FALSE)</f>
        <v>1.131</v>
      </c>
    </row>
    <row r="87" spans="1:6" x14ac:dyDescent="0.2">
      <c r="A87" s="1" t="s">
        <v>122</v>
      </c>
      <c r="B87" s="3">
        <f ca="1">VLOOKUP(A87,[1]TeamRtg!$A$3:$G$367,7,FALSE)</f>
        <v>0.66821062643471862</v>
      </c>
      <c r="C87" s="1">
        <f t="shared" ca="1" si="2"/>
        <v>86</v>
      </c>
      <c r="D87" s="1">
        <f t="shared" ca="1" si="3"/>
        <v>86</v>
      </c>
      <c r="E87" s="1">
        <f>VLOOKUP($A87,[2]TeamRtg!$A$2:$E$366,4,FALSE)</f>
        <v>0.36799999999999999</v>
      </c>
      <c r="F87" s="1">
        <f>VLOOKUP($A87,[2]TeamRtg!$A$2:$E$366,5,FALSE)</f>
        <v>1.1180000000000001</v>
      </c>
    </row>
    <row r="88" spans="1:6" x14ac:dyDescent="0.2">
      <c r="A88" s="1" t="s">
        <v>62</v>
      </c>
      <c r="B88" s="3">
        <f ca="1">VLOOKUP(A88,[1]TeamRtg!$A$3:$G$367,7,FALSE)</f>
        <v>0.64275772856661462</v>
      </c>
      <c r="C88" s="1">
        <f t="shared" ca="1" si="2"/>
        <v>87</v>
      </c>
      <c r="D88" s="1">
        <f t="shared" ca="1" si="3"/>
        <v>87</v>
      </c>
      <c r="E88" s="1">
        <f>VLOOKUP($A88,[2]TeamRtg!$A$2:$E$366,4,FALSE)</f>
        <v>0.34300000000000003</v>
      </c>
      <c r="F88" s="1">
        <f>VLOOKUP($A88,[2]TeamRtg!$A$2:$E$366,5,FALSE)</f>
        <v>1.093</v>
      </c>
    </row>
    <row r="89" spans="1:6" x14ac:dyDescent="0.2">
      <c r="A89" s="1" t="s">
        <v>87</v>
      </c>
      <c r="B89" s="3">
        <f ca="1">VLOOKUP(A89,[1]TeamRtg!$A$3:$G$367,7,FALSE)</f>
        <v>0.63885319838625987</v>
      </c>
      <c r="C89" s="1">
        <f t="shared" ca="1" si="2"/>
        <v>88</v>
      </c>
      <c r="D89" s="1">
        <f t="shared" ca="1" si="3"/>
        <v>88</v>
      </c>
      <c r="E89" s="1">
        <f>VLOOKUP($A89,[2]TeamRtg!$A$2:$E$366,4,FALSE)</f>
        <v>0.33900000000000002</v>
      </c>
      <c r="F89" s="1">
        <f>VLOOKUP($A89,[2]TeamRtg!$A$2:$E$366,5,FALSE)</f>
        <v>1.089</v>
      </c>
    </row>
    <row r="90" spans="1:6" x14ac:dyDescent="0.2">
      <c r="A90" s="1" t="s">
        <v>79</v>
      </c>
      <c r="B90" s="3">
        <f ca="1">VLOOKUP(A90,[1]TeamRtg!$A$3:$G$367,7,FALSE)</f>
        <v>0.63349682362182569</v>
      </c>
      <c r="C90" s="1">
        <f t="shared" ca="1" si="2"/>
        <v>89</v>
      </c>
      <c r="D90" s="1">
        <f t="shared" ca="1" si="3"/>
        <v>89</v>
      </c>
      <c r="E90" s="1">
        <f>VLOOKUP($A90,[2]TeamRtg!$A$2:$E$366,4,FALSE)</f>
        <v>0.33300000000000002</v>
      </c>
      <c r="F90" s="1">
        <f>VLOOKUP($A90,[2]TeamRtg!$A$2:$E$366,5,FALSE)</f>
        <v>1.083</v>
      </c>
    </row>
    <row r="91" spans="1:6" x14ac:dyDescent="0.2">
      <c r="A91" s="1" t="s">
        <v>274</v>
      </c>
      <c r="B91" s="3">
        <f ca="1">VLOOKUP(A91,[1]TeamRtg!$A$3:$G$367,7,FALSE)</f>
        <v>0.62060181976987505</v>
      </c>
      <c r="C91" s="1">
        <f t="shared" ca="1" si="2"/>
        <v>90</v>
      </c>
      <c r="D91" s="1">
        <f t="shared" ca="1" si="3"/>
        <v>90</v>
      </c>
      <c r="E91" s="1">
        <f>VLOOKUP($A91,[2]TeamRtg!$A$2:$E$366,4,FALSE)</f>
        <v>0.32100000000000001</v>
      </c>
      <c r="F91" s="1">
        <f>VLOOKUP($A91,[2]TeamRtg!$A$2:$E$366,5,FALSE)</f>
        <v>1.071</v>
      </c>
    </row>
    <row r="92" spans="1:6" x14ac:dyDescent="0.2">
      <c r="A92" s="1" t="s">
        <v>166</v>
      </c>
      <c r="B92" s="3">
        <f ca="1">VLOOKUP(A92,[1]TeamRtg!$A$3:$G$367,7,FALSE)</f>
        <v>0.61795136316289978</v>
      </c>
      <c r="C92" s="1">
        <f t="shared" ca="1" si="2"/>
        <v>91</v>
      </c>
      <c r="D92" s="1">
        <f t="shared" ca="1" si="3"/>
        <v>91</v>
      </c>
      <c r="E92" s="1">
        <f>VLOOKUP($A92,[2]TeamRtg!$A$2:$E$366,4,FALSE)</f>
        <v>0.318</v>
      </c>
      <c r="F92" s="1">
        <f>VLOOKUP($A92,[2]TeamRtg!$A$2:$E$366,5,FALSE)</f>
        <v>1.0680000000000001</v>
      </c>
    </row>
    <row r="93" spans="1:6" x14ac:dyDescent="0.2">
      <c r="A93" s="1" t="s">
        <v>151</v>
      </c>
      <c r="B93" s="3">
        <f ca="1">VLOOKUP(A93,[1]TeamRtg!$A$3:$G$367,7,FALSE)</f>
        <v>0.57729324285084027</v>
      </c>
      <c r="C93" s="1">
        <f t="shared" ca="1" si="2"/>
        <v>92</v>
      </c>
      <c r="D93" s="1">
        <f t="shared" ca="1" si="3"/>
        <v>92</v>
      </c>
      <c r="E93" s="1">
        <f>VLOOKUP($A93,[2]TeamRtg!$A$2:$E$366,4,FALSE)</f>
        <v>0.27700000000000002</v>
      </c>
      <c r="F93" s="1">
        <f>VLOOKUP($A93,[2]TeamRtg!$A$2:$E$366,5,FALSE)</f>
        <v>1.0269999999999999</v>
      </c>
    </row>
    <row r="94" spans="1:6" x14ac:dyDescent="0.2">
      <c r="A94" s="1" t="s">
        <v>142</v>
      </c>
      <c r="B94" s="3">
        <f ca="1">VLOOKUP(A94,[1]TeamRtg!$A$3:$G$367,7,FALSE)</f>
        <v>0.54636582719062332</v>
      </c>
      <c r="C94" s="1">
        <f t="shared" ca="1" si="2"/>
        <v>93</v>
      </c>
      <c r="D94" s="1">
        <f t="shared" ca="1" si="3"/>
        <v>93</v>
      </c>
      <c r="E94" s="1">
        <f>VLOOKUP($A94,[2]TeamRtg!$A$2:$E$366,4,FALSE)</f>
        <v>0.246</v>
      </c>
      <c r="F94" s="1">
        <f>VLOOKUP($A94,[2]TeamRtg!$A$2:$E$366,5,FALSE)</f>
        <v>0.996</v>
      </c>
    </row>
    <row r="95" spans="1:6" x14ac:dyDescent="0.2">
      <c r="A95" s="1" t="s">
        <v>65</v>
      </c>
      <c r="B95" s="3">
        <f ca="1">VLOOKUP(A95,[1]TeamRtg!$A$3:$G$367,7,FALSE)</f>
        <v>0.53427778745654464</v>
      </c>
      <c r="C95" s="1">
        <f t="shared" ca="1" si="2"/>
        <v>94</v>
      </c>
      <c r="D95" s="1">
        <f t="shared" ca="1" si="3"/>
        <v>94</v>
      </c>
      <c r="E95" s="1">
        <f>VLOOKUP($A95,[2]TeamRtg!$A$2:$E$366,4,FALSE)</f>
        <v>0.23400000000000001</v>
      </c>
      <c r="F95" s="1">
        <f>VLOOKUP($A95,[2]TeamRtg!$A$2:$E$366,5,FALSE)</f>
        <v>0.98399999999999999</v>
      </c>
    </row>
    <row r="96" spans="1:6" x14ac:dyDescent="0.2">
      <c r="A96" s="1" t="s">
        <v>32</v>
      </c>
      <c r="B96" s="3">
        <f ca="1">VLOOKUP(A96,[1]TeamRtg!$A$3:$G$367,7,FALSE)</f>
        <v>0.5310266347229472</v>
      </c>
      <c r="C96" s="1">
        <f t="shared" ca="1" si="2"/>
        <v>95</v>
      </c>
      <c r="D96" s="1">
        <f t="shared" ca="1" si="3"/>
        <v>95</v>
      </c>
      <c r="E96" s="1">
        <f>VLOOKUP($A96,[2]TeamRtg!$A$2:$E$366,4,FALSE)</f>
        <v>0.23100000000000001</v>
      </c>
      <c r="F96" s="1">
        <f>VLOOKUP($A96,[2]TeamRtg!$A$2:$E$366,5,FALSE)</f>
        <v>0.98099999999999998</v>
      </c>
    </row>
    <row r="97" spans="1:6" x14ac:dyDescent="0.2">
      <c r="A97" s="1" t="s">
        <v>193</v>
      </c>
      <c r="B97" s="3">
        <f ca="1">VLOOKUP(A97,[1]TeamRtg!$A$3:$G$367,7,FALSE)</f>
        <v>0.52571735716649026</v>
      </c>
      <c r="C97" s="1">
        <f t="shared" ca="1" si="2"/>
        <v>96</v>
      </c>
      <c r="D97" s="1">
        <f t="shared" ca="1" si="3"/>
        <v>96</v>
      </c>
      <c r="E97" s="1">
        <f>VLOOKUP($A97,[2]TeamRtg!$A$2:$E$366,4,FALSE)</f>
        <v>0.22600000000000001</v>
      </c>
      <c r="F97" s="1">
        <f>VLOOKUP($A97,[2]TeamRtg!$A$2:$E$366,5,FALSE)</f>
        <v>0.97599999999999998</v>
      </c>
    </row>
    <row r="98" spans="1:6" x14ac:dyDescent="0.2">
      <c r="A98" s="1" t="s">
        <v>228</v>
      </c>
      <c r="B98" s="3">
        <f ca="1">VLOOKUP(A98,[1]TeamRtg!$A$3:$G$367,7,FALSE)</f>
        <v>0.52407581645327717</v>
      </c>
      <c r="C98" s="1">
        <f t="shared" ca="1" si="2"/>
        <v>97</v>
      </c>
      <c r="D98" s="1">
        <f t="shared" ca="1" si="3"/>
        <v>97</v>
      </c>
      <c r="E98" s="1">
        <f>VLOOKUP($A98,[2]TeamRtg!$A$2:$E$366,4,FALSE)</f>
        <v>0.224</v>
      </c>
      <c r="F98" s="1">
        <f>VLOOKUP($A98,[2]TeamRtg!$A$2:$E$366,5,FALSE)</f>
        <v>0.97399999999999998</v>
      </c>
    </row>
    <row r="99" spans="1:6" x14ac:dyDescent="0.2">
      <c r="A99" s="1" t="s">
        <v>192</v>
      </c>
      <c r="B99" s="3">
        <f ca="1">VLOOKUP(A99,[1]TeamRtg!$A$3:$G$367,7,FALSE)</f>
        <v>0.5200577140918522</v>
      </c>
      <c r="C99" s="1">
        <f t="shared" ca="1" si="2"/>
        <v>98</v>
      </c>
      <c r="D99" s="1">
        <f t="shared" ca="1" si="3"/>
        <v>98</v>
      </c>
      <c r="E99" s="1">
        <f>VLOOKUP($A99,[2]TeamRtg!$A$2:$E$366,4,FALSE)</f>
        <v>0.22</v>
      </c>
      <c r="F99" s="1">
        <f>VLOOKUP($A99,[2]TeamRtg!$A$2:$E$366,5,FALSE)</f>
        <v>0.97</v>
      </c>
    </row>
    <row r="100" spans="1:6" x14ac:dyDescent="0.2">
      <c r="A100" s="1" t="s">
        <v>69</v>
      </c>
      <c r="B100" s="3">
        <f ca="1">VLOOKUP(A100,[1]TeamRtg!$A$3:$G$367,7,FALSE)</f>
        <v>0.50768432773451877</v>
      </c>
      <c r="C100" s="1">
        <f t="shared" ca="1" si="2"/>
        <v>99</v>
      </c>
      <c r="D100" s="1">
        <f t="shared" ca="1" si="3"/>
        <v>99</v>
      </c>
      <c r="E100" s="1">
        <f>VLOOKUP($A100,[2]TeamRtg!$A$2:$E$366,4,FALSE)</f>
        <v>0.20799999999999999</v>
      </c>
      <c r="F100" s="1">
        <f>VLOOKUP($A100,[2]TeamRtg!$A$2:$E$366,5,FALSE)</f>
        <v>0.95799999999999996</v>
      </c>
    </row>
    <row r="101" spans="1:6" x14ac:dyDescent="0.2">
      <c r="A101" s="1" t="s">
        <v>68</v>
      </c>
      <c r="B101" s="3">
        <f ca="1">VLOOKUP(A101,[1]TeamRtg!$A$3:$G$367,7,FALSE)</f>
        <v>0.48976681530859723</v>
      </c>
      <c r="C101" s="1">
        <f t="shared" ca="1" si="2"/>
        <v>100</v>
      </c>
      <c r="D101" s="1">
        <f t="shared" ca="1" si="3"/>
        <v>100</v>
      </c>
      <c r="E101" s="1">
        <f>VLOOKUP($A101,[2]TeamRtg!$A$2:$E$366,4,FALSE)</f>
        <v>0.19</v>
      </c>
      <c r="F101" s="1">
        <f>VLOOKUP($A101,[2]TeamRtg!$A$2:$E$366,5,FALSE)</f>
        <v>0.94</v>
      </c>
    </row>
    <row r="102" spans="1:6" x14ac:dyDescent="0.2">
      <c r="A102" s="1" t="s">
        <v>153</v>
      </c>
      <c r="B102" s="3">
        <f ca="1">VLOOKUP(A102,[1]TeamRtg!$A$3:$G$367,7,FALSE)</f>
        <v>0.47588436185200911</v>
      </c>
      <c r="C102" s="1">
        <f t="shared" ca="1" si="2"/>
        <v>101</v>
      </c>
      <c r="D102" s="1">
        <f t="shared" ca="1" si="3"/>
        <v>101</v>
      </c>
      <c r="E102" s="1">
        <f>VLOOKUP($A102,[2]TeamRtg!$A$2:$E$366,4,FALSE)</f>
        <v>0.17599999999999999</v>
      </c>
      <c r="F102" s="1">
        <f>VLOOKUP($A102,[2]TeamRtg!$A$2:$E$366,5,FALSE)</f>
        <v>0.92600000000000005</v>
      </c>
    </row>
    <row r="103" spans="1:6" x14ac:dyDescent="0.2">
      <c r="A103" s="1" t="s">
        <v>64</v>
      </c>
      <c r="B103" s="3">
        <f ca="1">VLOOKUP(A103,[1]TeamRtg!$A$3:$G$367,7,FALSE)</f>
        <v>0.46954659637055918</v>
      </c>
      <c r="C103" s="1">
        <f t="shared" ca="1" si="2"/>
        <v>102</v>
      </c>
      <c r="D103" s="1">
        <f t="shared" ca="1" si="3"/>
        <v>102</v>
      </c>
      <c r="E103" s="1">
        <f>VLOOKUP($A103,[2]TeamRtg!$A$2:$E$366,4,FALSE)</f>
        <v>0.17</v>
      </c>
      <c r="F103" s="1">
        <f>VLOOKUP($A103,[2]TeamRtg!$A$2:$E$366,5,FALSE)</f>
        <v>0.92</v>
      </c>
    </row>
    <row r="104" spans="1:6" x14ac:dyDescent="0.2">
      <c r="A104" s="1" t="s">
        <v>140</v>
      </c>
      <c r="B104" s="3">
        <f ca="1">VLOOKUP(A104,[1]TeamRtg!$A$3:$G$367,7,FALSE)</f>
        <v>0.46658380948655515</v>
      </c>
      <c r="C104" s="1">
        <f t="shared" ca="1" si="2"/>
        <v>103</v>
      </c>
      <c r="D104" s="1">
        <f t="shared" ca="1" si="3"/>
        <v>103</v>
      </c>
      <c r="E104" s="1">
        <f>VLOOKUP($A104,[2]TeamRtg!$A$2:$E$366,4,FALSE)</f>
        <v>0.16700000000000001</v>
      </c>
      <c r="F104" s="1">
        <f>VLOOKUP($A104,[2]TeamRtg!$A$2:$E$366,5,FALSE)</f>
        <v>0.91700000000000004</v>
      </c>
    </row>
    <row r="105" spans="1:6" x14ac:dyDescent="0.2">
      <c r="A105" s="1" t="s">
        <v>101</v>
      </c>
      <c r="B105" s="3">
        <f ca="1">VLOOKUP(A105,[1]TeamRtg!$A$3:$G$367,7,FALSE)</f>
        <v>0.46211568319080809</v>
      </c>
      <c r="C105" s="1">
        <f t="shared" ca="1" si="2"/>
        <v>104</v>
      </c>
      <c r="D105" s="1">
        <f t="shared" ca="1" si="3"/>
        <v>104</v>
      </c>
      <c r="E105" s="1">
        <f>VLOOKUP($A105,[2]TeamRtg!$A$2:$E$366,4,FALSE)</f>
        <v>0.16200000000000001</v>
      </c>
      <c r="F105" s="1">
        <f>VLOOKUP($A105,[2]TeamRtg!$A$2:$E$366,5,FALSE)</f>
        <v>0.91200000000000003</v>
      </c>
    </row>
    <row r="106" spans="1:6" x14ac:dyDescent="0.2">
      <c r="A106" s="1" t="s">
        <v>210</v>
      </c>
      <c r="B106" s="3">
        <f ca="1">VLOOKUP(A106,[1]TeamRtg!$A$3:$G$367,7,FALSE)</f>
        <v>0.45514158847522557</v>
      </c>
      <c r="C106" s="1">
        <f t="shared" ca="1" si="2"/>
        <v>105</v>
      </c>
      <c r="D106" s="1">
        <f t="shared" ca="1" si="3"/>
        <v>105</v>
      </c>
      <c r="E106" s="1">
        <f>VLOOKUP($A106,[2]TeamRtg!$A$2:$E$366,4,FALSE)</f>
        <v>0.155</v>
      </c>
      <c r="F106" s="1">
        <f>VLOOKUP($A106,[2]TeamRtg!$A$2:$E$366,5,FALSE)</f>
        <v>0.90500000000000003</v>
      </c>
    </row>
    <row r="107" spans="1:6" x14ac:dyDescent="0.2">
      <c r="A107" s="1" t="s">
        <v>125</v>
      </c>
      <c r="B107" s="3">
        <f ca="1">VLOOKUP(A107,[1]TeamRtg!$A$3:$G$367,7,FALSE)</f>
        <v>0.45502819353268231</v>
      </c>
      <c r="C107" s="1">
        <f t="shared" ca="1" si="2"/>
        <v>106</v>
      </c>
      <c r="D107" s="1">
        <f t="shared" ca="1" si="3"/>
        <v>106</v>
      </c>
      <c r="E107" s="1">
        <f>VLOOKUP($A107,[2]TeamRtg!$A$2:$E$366,4,FALSE)</f>
        <v>0.155</v>
      </c>
      <c r="F107" s="1">
        <f>VLOOKUP($A107,[2]TeamRtg!$A$2:$E$366,5,FALSE)</f>
        <v>0.90500000000000003</v>
      </c>
    </row>
    <row r="108" spans="1:6" x14ac:dyDescent="0.2">
      <c r="A108" s="1" t="s">
        <v>159</v>
      </c>
      <c r="B108" s="3">
        <f ca="1">VLOOKUP(A108,[1]TeamRtg!$A$3:$G$367,7,FALSE)</f>
        <v>0.42976400051398467</v>
      </c>
      <c r="C108" s="1">
        <f t="shared" ca="1" si="2"/>
        <v>107</v>
      </c>
      <c r="D108" s="1">
        <f t="shared" ca="1" si="3"/>
        <v>107</v>
      </c>
      <c r="E108" s="1">
        <f>VLOOKUP($A108,[2]TeamRtg!$A$2:$E$366,4,FALSE)</f>
        <v>0.13</v>
      </c>
      <c r="F108" s="1">
        <f>VLOOKUP($A108,[2]TeamRtg!$A$2:$E$366,5,FALSE)</f>
        <v>0.88</v>
      </c>
    </row>
    <row r="109" spans="1:6" x14ac:dyDescent="0.2">
      <c r="A109" s="1" t="s">
        <v>95</v>
      </c>
      <c r="B109" s="3">
        <f ca="1">VLOOKUP(A109,[1]TeamRtg!$A$3:$G$367,7,FALSE)</f>
        <v>0.42132209066138621</v>
      </c>
      <c r="C109" s="1">
        <f t="shared" ca="1" si="2"/>
        <v>108</v>
      </c>
      <c r="D109" s="1">
        <f t="shared" ca="1" si="3"/>
        <v>108</v>
      </c>
      <c r="E109" s="1">
        <f>VLOOKUP($A109,[2]TeamRtg!$A$2:$E$366,4,FALSE)</f>
        <v>0.121</v>
      </c>
      <c r="F109" s="1">
        <f>VLOOKUP($A109,[2]TeamRtg!$A$2:$E$366,5,FALSE)</f>
        <v>0.871</v>
      </c>
    </row>
    <row r="110" spans="1:6" x14ac:dyDescent="0.2">
      <c r="A110" s="1" t="s">
        <v>224</v>
      </c>
      <c r="B110" s="3">
        <f ca="1">VLOOKUP(A110,[1]TeamRtg!$A$3:$G$367,7,FALSE)</f>
        <v>0.42114975138990601</v>
      </c>
      <c r="C110" s="1">
        <f t="shared" ca="1" si="2"/>
        <v>109</v>
      </c>
      <c r="D110" s="1">
        <f t="shared" ca="1" si="3"/>
        <v>109</v>
      </c>
      <c r="E110" s="1">
        <f>VLOOKUP($A110,[2]TeamRtg!$A$2:$E$366,4,FALSE)</f>
        <v>0.121</v>
      </c>
      <c r="F110" s="1">
        <f>VLOOKUP($A110,[2]TeamRtg!$A$2:$E$366,5,FALSE)</f>
        <v>0.871</v>
      </c>
    </row>
    <row r="111" spans="1:6" x14ac:dyDescent="0.2">
      <c r="A111" s="1" t="s">
        <v>116</v>
      </c>
      <c r="B111" s="3">
        <f ca="1">VLOOKUP(A111,[1]TeamRtg!$A$3:$G$367,7,FALSE)</f>
        <v>0.40829510132233371</v>
      </c>
      <c r="C111" s="1">
        <f t="shared" ca="1" si="2"/>
        <v>110</v>
      </c>
      <c r="D111" s="1">
        <f t="shared" ca="1" si="3"/>
        <v>110</v>
      </c>
      <c r="E111" s="1">
        <f>VLOOKUP($A111,[2]TeamRtg!$A$2:$E$366,4,FALSE)</f>
        <v>0.108</v>
      </c>
      <c r="F111" s="1">
        <f>VLOOKUP($A111,[2]TeamRtg!$A$2:$E$366,5,FALSE)</f>
        <v>0.85799999999999998</v>
      </c>
    </row>
    <row r="112" spans="1:6" x14ac:dyDescent="0.2">
      <c r="A112" s="1" t="s">
        <v>89</v>
      </c>
      <c r="B112" s="3">
        <f ca="1">VLOOKUP(A112,[1]TeamRtg!$A$3:$G$367,7,FALSE)</f>
        <v>0.40660344574227408</v>
      </c>
      <c r="C112" s="1">
        <f t="shared" ca="1" si="2"/>
        <v>111</v>
      </c>
      <c r="D112" s="1">
        <f t="shared" ca="1" si="3"/>
        <v>111</v>
      </c>
      <c r="E112" s="1">
        <f>VLOOKUP($A112,[2]TeamRtg!$A$2:$E$366,4,FALSE)</f>
        <v>0.107</v>
      </c>
      <c r="F112" s="1">
        <f>VLOOKUP($A112,[2]TeamRtg!$A$2:$E$366,5,FALSE)</f>
        <v>0.85699999999999998</v>
      </c>
    </row>
    <row r="113" spans="1:6" x14ac:dyDescent="0.2">
      <c r="A113" s="1" t="s">
        <v>108</v>
      </c>
      <c r="B113" s="3">
        <f ca="1">VLOOKUP(A113,[1]TeamRtg!$A$3:$G$367,7,FALSE)</f>
        <v>0.40075817516887052</v>
      </c>
      <c r="C113" s="1">
        <f t="shared" ca="1" si="2"/>
        <v>112</v>
      </c>
      <c r="D113" s="1">
        <f t="shared" ca="1" si="3"/>
        <v>112</v>
      </c>
      <c r="E113" s="1">
        <f>VLOOKUP($A113,[2]TeamRtg!$A$2:$E$366,4,FALSE)</f>
        <v>0.10100000000000001</v>
      </c>
      <c r="F113" s="1">
        <f>VLOOKUP($A113,[2]TeamRtg!$A$2:$E$366,5,FALSE)</f>
        <v>0.85099999999999998</v>
      </c>
    </row>
    <row r="114" spans="1:6" x14ac:dyDescent="0.2">
      <c r="A114" s="1" t="s">
        <v>74</v>
      </c>
      <c r="B114" s="3">
        <f ca="1">VLOOKUP(A114,[1]TeamRtg!$A$3:$G$367,7,FALSE)</f>
        <v>0.38428897901705983</v>
      </c>
      <c r="C114" s="1">
        <f t="shared" ca="1" si="2"/>
        <v>113</v>
      </c>
      <c r="D114" s="1">
        <f t="shared" ca="1" si="3"/>
        <v>113</v>
      </c>
      <c r="E114" s="1">
        <f>VLOOKUP($A114,[2]TeamRtg!$A$2:$E$366,4,FALSE)</f>
        <v>8.4000000000000005E-2</v>
      </c>
      <c r="F114" s="1">
        <f>VLOOKUP($A114,[2]TeamRtg!$A$2:$E$366,5,FALSE)</f>
        <v>0.83399999999999996</v>
      </c>
    </row>
    <row r="115" spans="1:6" x14ac:dyDescent="0.2">
      <c r="A115" s="1" t="s">
        <v>109</v>
      </c>
      <c r="B115" s="3">
        <f ca="1">VLOOKUP(A115,[1]TeamRtg!$A$3:$G$367,7,FALSE)</f>
        <v>0.38182596739673086</v>
      </c>
      <c r="C115" s="1">
        <f t="shared" ca="1" si="2"/>
        <v>114</v>
      </c>
      <c r="D115" s="1">
        <f t="shared" ca="1" si="3"/>
        <v>114</v>
      </c>
      <c r="E115" s="1">
        <f>VLOOKUP($A115,[2]TeamRtg!$A$2:$E$366,4,FALSE)</f>
        <v>8.2000000000000003E-2</v>
      </c>
      <c r="F115" s="1">
        <f>VLOOKUP($A115,[2]TeamRtg!$A$2:$E$366,5,FALSE)</f>
        <v>0.83199999999999996</v>
      </c>
    </row>
    <row r="116" spans="1:6" x14ac:dyDescent="0.2">
      <c r="A116" s="1" t="s">
        <v>48</v>
      </c>
      <c r="B116" s="3">
        <f ca="1">VLOOKUP(A116,[1]TeamRtg!$A$3:$G$367,7,FALSE)</f>
        <v>0.37373853920084665</v>
      </c>
      <c r="C116" s="1">
        <f t="shared" ca="1" si="2"/>
        <v>115</v>
      </c>
      <c r="D116" s="1">
        <f t="shared" ca="1" si="3"/>
        <v>115</v>
      </c>
      <c r="E116" s="1">
        <f>VLOOKUP($A116,[2]TeamRtg!$A$2:$E$366,4,FALSE)</f>
        <v>7.3999999999999996E-2</v>
      </c>
      <c r="F116" s="1">
        <f>VLOOKUP($A116,[2]TeamRtg!$A$2:$E$366,5,FALSE)</f>
        <v>0.82399999999999995</v>
      </c>
    </row>
    <row r="117" spans="1:6" x14ac:dyDescent="0.2">
      <c r="A117" s="1" t="s">
        <v>123</v>
      </c>
      <c r="B117" s="3">
        <f ca="1">VLOOKUP(A117,[1]TeamRtg!$A$3:$G$367,7,FALSE)</f>
        <v>0.37115156251091741</v>
      </c>
      <c r="C117" s="1">
        <f t="shared" ca="1" si="2"/>
        <v>116</v>
      </c>
      <c r="D117" s="1">
        <f t="shared" ca="1" si="3"/>
        <v>116</v>
      </c>
      <c r="E117" s="1">
        <f>VLOOKUP($A117,[2]TeamRtg!$A$2:$E$366,4,FALSE)</f>
        <v>7.0999999999999994E-2</v>
      </c>
      <c r="F117" s="1">
        <f>VLOOKUP($A117,[2]TeamRtg!$A$2:$E$366,5,FALSE)</f>
        <v>0.82099999999999995</v>
      </c>
    </row>
    <row r="118" spans="1:6" x14ac:dyDescent="0.2">
      <c r="A118" s="1" t="s">
        <v>57</v>
      </c>
      <c r="B118" s="3">
        <f ca="1">VLOOKUP(A118,[1]TeamRtg!$A$3:$G$367,7,FALSE)</f>
        <v>0.365998873584162</v>
      </c>
      <c r="C118" s="1">
        <f t="shared" ca="1" si="2"/>
        <v>117</v>
      </c>
      <c r="D118" s="1">
        <f t="shared" ca="1" si="3"/>
        <v>117</v>
      </c>
      <c r="E118" s="1">
        <f>VLOOKUP($A118,[2]TeamRtg!$A$2:$E$366,4,FALSE)</f>
        <v>6.6000000000000003E-2</v>
      </c>
      <c r="F118" s="1">
        <f>VLOOKUP($A118,[2]TeamRtg!$A$2:$E$366,5,FALSE)</f>
        <v>0.81599999999999995</v>
      </c>
    </row>
    <row r="119" spans="1:6" x14ac:dyDescent="0.2">
      <c r="A119" s="1" t="s">
        <v>83</v>
      </c>
      <c r="B119" s="3">
        <f ca="1">VLOOKUP(A119,[1]TeamRtg!$A$3:$G$367,7,FALSE)</f>
        <v>0.36588085026810641</v>
      </c>
      <c r="C119" s="1">
        <f t="shared" ca="1" si="2"/>
        <v>118</v>
      </c>
      <c r="D119" s="1">
        <f t="shared" ca="1" si="3"/>
        <v>118</v>
      </c>
      <c r="E119" s="1">
        <f>VLOOKUP($A119,[2]TeamRtg!$A$2:$E$366,4,FALSE)</f>
        <v>6.6000000000000003E-2</v>
      </c>
      <c r="F119" s="1">
        <f>VLOOKUP($A119,[2]TeamRtg!$A$2:$E$366,5,FALSE)</f>
        <v>0.81599999999999995</v>
      </c>
    </row>
    <row r="120" spans="1:6" x14ac:dyDescent="0.2">
      <c r="A120" s="1" t="s">
        <v>184</v>
      </c>
      <c r="B120" s="3">
        <f ca="1">VLOOKUP(A120,[1]TeamRtg!$A$3:$G$367,7,FALSE)</f>
        <v>0.36392324181138608</v>
      </c>
      <c r="C120" s="1">
        <f t="shared" ca="1" si="2"/>
        <v>119</v>
      </c>
      <c r="D120" s="1">
        <f t="shared" ca="1" si="3"/>
        <v>119</v>
      </c>
      <c r="E120" s="1">
        <f>VLOOKUP($A120,[2]TeamRtg!$A$2:$E$366,4,FALSE)</f>
        <v>6.4000000000000001E-2</v>
      </c>
      <c r="F120" s="1">
        <f>VLOOKUP($A120,[2]TeamRtg!$A$2:$E$366,5,FALSE)</f>
        <v>0.81399999999999995</v>
      </c>
    </row>
    <row r="121" spans="1:6" x14ac:dyDescent="0.2">
      <c r="A121" s="1" t="s">
        <v>252</v>
      </c>
      <c r="B121" s="3">
        <f ca="1">VLOOKUP(A121,[1]TeamRtg!$A$3:$G$367,7,FALSE)</f>
        <v>0.35766149059257352</v>
      </c>
      <c r="C121" s="1">
        <f t="shared" ca="1" si="2"/>
        <v>120</v>
      </c>
      <c r="D121" s="1">
        <f t="shared" ca="1" si="3"/>
        <v>120</v>
      </c>
      <c r="E121" s="1">
        <f>VLOOKUP($A121,[2]TeamRtg!$A$2:$E$366,4,FALSE)</f>
        <v>5.8000000000000003E-2</v>
      </c>
      <c r="F121" s="1">
        <f>VLOOKUP($A121,[2]TeamRtg!$A$2:$E$366,5,FALSE)</f>
        <v>0.80800000000000005</v>
      </c>
    </row>
    <row r="122" spans="1:6" x14ac:dyDescent="0.2">
      <c r="A122" s="1" t="s">
        <v>129</v>
      </c>
      <c r="B122" s="3">
        <f ca="1">VLOOKUP(A122,[1]TeamRtg!$A$3:$G$367,7,FALSE)</f>
        <v>0.32755844072798745</v>
      </c>
      <c r="C122" s="1">
        <f t="shared" ca="1" si="2"/>
        <v>121</v>
      </c>
      <c r="D122" s="1">
        <f t="shared" ca="1" si="3"/>
        <v>121</v>
      </c>
      <c r="E122" s="1">
        <f>VLOOKUP($A122,[2]TeamRtg!$A$2:$E$366,4,FALSE)</f>
        <v>2.8000000000000001E-2</v>
      </c>
      <c r="F122" s="1">
        <f>VLOOKUP($A122,[2]TeamRtg!$A$2:$E$366,5,FALSE)</f>
        <v>0.77800000000000002</v>
      </c>
    </row>
    <row r="123" spans="1:6" x14ac:dyDescent="0.2">
      <c r="A123" s="1" t="s">
        <v>131</v>
      </c>
      <c r="B123" s="3">
        <f ca="1">VLOOKUP(A123,[1]TeamRtg!$A$3:$G$367,7,FALSE)</f>
        <v>0.31891956010119049</v>
      </c>
      <c r="C123" s="1">
        <f t="shared" ca="1" si="2"/>
        <v>122</v>
      </c>
      <c r="D123" s="1">
        <f t="shared" ca="1" si="3"/>
        <v>122</v>
      </c>
      <c r="E123" s="1">
        <f>VLOOKUP($A123,[2]TeamRtg!$A$2:$E$366,4,FALSE)</f>
        <v>1.9E-2</v>
      </c>
      <c r="F123" s="1">
        <f>VLOOKUP($A123,[2]TeamRtg!$A$2:$E$366,5,FALSE)</f>
        <v>0.76900000000000002</v>
      </c>
    </row>
    <row r="124" spans="1:6" x14ac:dyDescent="0.2">
      <c r="A124" s="1" t="s">
        <v>207</v>
      </c>
      <c r="B124" s="3">
        <f ca="1">VLOOKUP(A124,[1]TeamRtg!$A$3:$G$367,7,FALSE)</f>
        <v>0.31545421611974622</v>
      </c>
      <c r="C124" s="1">
        <f t="shared" ca="1" si="2"/>
        <v>123</v>
      </c>
      <c r="D124" s="1">
        <f t="shared" ca="1" si="3"/>
        <v>123</v>
      </c>
      <c r="E124" s="1">
        <f>VLOOKUP($A124,[2]TeamRtg!$A$2:$E$366,4,FALSE)</f>
        <v>1.4999999999999999E-2</v>
      </c>
      <c r="F124" s="1">
        <f>VLOOKUP($A124,[2]TeamRtg!$A$2:$E$366,5,FALSE)</f>
        <v>0.76500000000000001</v>
      </c>
    </row>
    <row r="125" spans="1:6" x14ac:dyDescent="0.2">
      <c r="A125" s="1" t="s">
        <v>245</v>
      </c>
      <c r="B125" s="3">
        <f ca="1">VLOOKUP(A125,[1]TeamRtg!$A$3:$G$367,7,FALSE)</f>
        <v>0.30800571727780551</v>
      </c>
      <c r="C125" s="1">
        <f t="shared" ca="1" si="2"/>
        <v>124</v>
      </c>
      <c r="D125" s="1">
        <f t="shared" ca="1" si="3"/>
        <v>124</v>
      </c>
      <c r="E125" s="1">
        <f>VLOOKUP($A125,[2]TeamRtg!$A$2:$E$366,4,FALSE)</f>
        <v>8.0000000000000002E-3</v>
      </c>
      <c r="F125" s="1">
        <f>VLOOKUP($A125,[2]TeamRtg!$A$2:$E$366,5,FALSE)</f>
        <v>0.75800000000000001</v>
      </c>
    </row>
    <row r="126" spans="1:6" x14ac:dyDescent="0.2">
      <c r="A126" s="1" t="s">
        <v>156</v>
      </c>
      <c r="B126" s="3">
        <f ca="1">VLOOKUP(A126,[1]TeamRtg!$A$3:$G$367,7,FALSE)</f>
        <v>0.30346794737391314</v>
      </c>
      <c r="C126" s="1">
        <f t="shared" ca="1" si="2"/>
        <v>125</v>
      </c>
      <c r="D126" s="1">
        <f t="shared" ca="1" si="3"/>
        <v>125</v>
      </c>
      <c r="E126" s="1">
        <f>VLOOKUP($A126,[2]TeamRtg!$A$2:$E$366,4,FALSE)</f>
        <v>3.0000000000000001E-3</v>
      </c>
      <c r="F126" s="1">
        <f>VLOOKUP($A126,[2]TeamRtg!$A$2:$E$366,5,FALSE)</f>
        <v>0.753</v>
      </c>
    </row>
    <row r="127" spans="1:6" x14ac:dyDescent="0.2">
      <c r="A127" s="1" t="s">
        <v>137</v>
      </c>
      <c r="B127" s="3">
        <f ca="1">VLOOKUP(A127,[1]TeamRtg!$A$3:$G$367,7,FALSE)</f>
        <v>0.28415929175074439</v>
      </c>
      <c r="C127" s="1">
        <f t="shared" ca="1" si="2"/>
        <v>126</v>
      </c>
      <c r="D127" s="1">
        <f t="shared" ca="1" si="3"/>
        <v>126</v>
      </c>
      <c r="E127" s="1">
        <f>VLOOKUP($A127,[2]TeamRtg!$A$2:$E$366,4,FALSE)</f>
        <v>-1.6E-2</v>
      </c>
      <c r="F127" s="1">
        <f>VLOOKUP($A127,[2]TeamRtg!$A$2:$E$366,5,FALSE)</f>
        <v>0.73399999999999999</v>
      </c>
    </row>
    <row r="128" spans="1:6" x14ac:dyDescent="0.2">
      <c r="A128" s="1" t="s">
        <v>126</v>
      </c>
      <c r="B128" s="3">
        <f ca="1">VLOOKUP(A128,[1]TeamRtg!$A$3:$G$367,7,FALSE)</f>
        <v>0.27411371969360077</v>
      </c>
      <c r="C128" s="1">
        <f t="shared" ca="1" si="2"/>
        <v>127</v>
      </c>
      <c r="D128" s="1">
        <f t="shared" ca="1" si="3"/>
        <v>127</v>
      </c>
      <c r="E128" s="1">
        <f>VLOOKUP($A128,[2]TeamRtg!$A$2:$E$366,4,FALSE)</f>
        <v>-2.5999999999999999E-2</v>
      </c>
      <c r="F128" s="1">
        <f>VLOOKUP($A128,[2]TeamRtg!$A$2:$E$366,5,FALSE)</f>
        <v>0.72399999999999998</v>
      </c>
    </row>
    <row r="129" spans="1:6" x14ac:dyDescent="0.2">
      <c r="A129" s="1" t="s">
        <v>78</v>
      </c>
      <c r="B129" s="3">
        <f ca="1">VLOOKUP(A129,[1]TeamRtg!$A$3:$G$367,7,FALSE)</f>
        <v>0.27305033269603801</v>
      </c>
      <c r="C129" s="1">
        <f t="shared" ca="1" si="2"/>
        <v>128</v>
      </c>
      <c r="D129" s="1">
        <f t="shared" ca="1" si="3"/>
        <v>128</v>
      </c>
      <c r="E129" s="1">
        <f>VLOOKUP($A129,[2]TeamRtg!$A$2:$E$366,4,FALSE)</f>
        <v>-2.7E-2</v>
      </c>
      <c r="F129" s="1">
        <f>VLOOKUP($A129,[2]TeamRtg!$A$2:$E$366,5,FALSE)</f>
        <v>0.72299999999999998</v>
      </c>
    </row>
    <row r="130" spans="1:6" x14ac:dyDescent="0.2">
      <c r="A130" s="1" t="s">
        <v>91</v>
      </c>
      <c r="B130" s="3">
        <f ca="1">VLOOKUP(A130,[1]TeamRtg!$A$3:$G$367,7,FALSE)</f>
        <v>0.27248153611842224</v>
      </c>
      <c r="C130" s="1">
        <f t="shared" ref="C130:C193" ca="1" si="4">RANK(B130,$B$2:$B$366)</f>
        <v>129</v>
      </c>
      <c r="D130" s="1">
        <f t="shared" ca="1" si="3"/>
        <v>129</v>
      </c>
      <c r="E130" s="1">
        <f>VLOOKUP($A130,[2]TeamRtg!$A$2:$E$366,4,FALSE)</f>
        <v>-2.8000000000000001E-2</v>
      </c>
      <c r="F130" s="1">
        <f>VLOOKUP($A130,[2]TeamRtg!$A$2:$E$366,5,FALSE)</f>
        <v>0.72199999999999998</v>
      </c>
    </row>
    <row r="131" spans="1:6" x14ac:dyDescent="0.2">
      <c r="A131" s="1" t="s">
        <v>77</v>
      </c>
      <c r="B131" s="3">
        <f ca="1">VLOOKUP(A131,[1]TeamRtg!$A$3:$G$367,7,FALSE)</f>
        <v>0.27128592811977037</v>
      </c>
      <c r="C131" s="1">
        <f t="shared" ca="1" si="4"/>
        <v>130</v>
      </c>
      <c r="D131" s="1">
        <f t="shared" ref="D131:D194" ca="1" si="5">C131</f>
        <v>130</v>
      </c>
      <c r="E131" s="1">
        <f>VLOOKUP($A131,[2]TeamRtg!$A$2:$E$366,4,FALSE)</f>
        <v>-2.9000000000000001E-2</v>
      </c>
      <c r="F131" s="1">
        <f>VLOOKUP($A131,[2]TeamRtg!$A$2:$E$366,5,FALSE)</f>
        <v>0.72099999999999997</v>
      </c>
    </row>
    <row r="132" spans="1:6" x14ac:dyDescent="0.2">
      <c r="A132" s="1" t="s">
        <v>117</v>
      </c>
      <c r="B132" s="3">
        <f ca="1">VLOOKUP(A132,[1]TeamRtg!$A$3:$G$367,7,FALSE)</f>
        <v>0.26844457448484144</v>
      </c>
      <c r="C132" s="1">
        <f t="shared" ca="1" si="4"/>
        <v>131</v>
      </c>
      <c r="D132" s="1">
        <f t="shared" ca="1" si="5"/>
        <v>131</v>
      </c>
      <c r="E132" s="1">
        <f>VLOOKUP($A132,[2]TeamRtg!$A$2:$E$366,4,FALSE)</f>
        <v>-3.2000000000000001E-2</v>
      </c>
      <c r="F132" s="1">
        <f>VLOOKUP($A132,[2]TeamRtg!$A$2:$E$366,5,FALSE)</f>
        <v>0.71799999999999997</v>
      </c>
    </row>
    <row r="133" spans="1:6" x14ac:dyDescent="0.2">
      <c r="A133" s="1" t="s">
        <v>104</v>
      </c>
      <c r="B133" s="3">
        <f ca="1">VLOOKUP(A133,[1]TeamRtg!$A$3:$G$367,7,FALSE)</f>
        <v>0.2450777830017441</v>
      </c>
      <c r="C133" s="1">
        <f t="shared" ca="1" si="4"/>
        <v>132</v>
      </c>
      <c r="D133" s="1">
        <f t="shared" ca="1" si="5"/>
        <v>132</v>
      </c>
      <c r="E133" s="1">
        <f>VLOOKUP($A133,[2]TeamRtg!$A$2:$E$366,4,FALSE)</f>
        <v>-5.5E-2</v>
      </c>
      <c r="F133" s="1">
        <f>VLOOKUP($A133,[2]TeamRtg!$A$2:$E$366,5,FALSE)</f>
        <v>0.69499999999999995</v>
      </c>
    </row>
    <row r="134" spans="1:6" x14ac:dyDescent="0.2">
      <c r="A134" s="1" t="s">
        <v>128</v>
      </c>
      <c r="B134" s="3">
        <f ca="1">VLOOKUP(A134,[1]TeamRtg!$A$3:$G$367,7,FALSE)</f>
        <v>0.23919469302835419</v>
      </c>
      <c r="C134" s="1">
        <f t="shared" ca="1" si="4"/>
        <v>133</v>
      </c>
      <c r="D134" s="1">
        <f t="shared" ca="1" si="5"/>
        <v>133</v>
      </c>
      <c r="E134" s="1">
        <f>VLOOKUP($A134,[2]TeamRtg!$A$2:$E$366,4,FALSE)</f>
        <v>-6.0999999999999999E-2</v>
      </c>
      <c r="F134" s="1">
        <f>VLOOKUP($A134,[2]TeamRtg!$A$2:$E$366,5,FALSE)</f>
        <v>0.68899999999999995</v>
      </c>
    </row>
    <row r="135" spans="1:6" x14ac:dyDescent="0.2">
      <c r="A135" s="1" t="s">
        <v>81</v>
      </c>
      <c r="B135" s="3">
        <f ca="1">VLOOKUP(A135,[1]TeamRtg!$A$3:$G$367,7,FALSE)</f>
        <v>0.22817715899068383</v>
      </c>
      <c r="C135" s="1">
        <f t="shared" ca="1" si="4"/>
        <v>134</v>
      </c>
      <c r="D135" s="1">
        <f t="shared" ca="1" si="5"/>
        <v>134</v>
      </c>
      <c r="E135" s="1">
        <f>VLOOKUP($A135,[2]TeamRtg!$A$2:$E$366,4,FALSE)</f>
        <v>-7.1999999999999995E-2</v>
      </c>
      <c r="F135" s="1">
        <f>VLOOKUP($A135,[2]TeamRtg!$A$2:$E$366,5,FALSE)</f>
        <v>0.67800000000000005</v>
      </c>
    </row>
    <row r="136" spans="1:6" x14ac:dyDescent="0.2">
      <c r="A136" s="1" t="s">
        <v>98</v>
      </c>
      <c r="B136" s="3">
        <f ca="1">VLOOKUP(A136,[1]TeamRtg!$A$3:$G$367,7,FALSE)</f>
        <v>0.20296723381345999</v>
      </c>
      <c r="C136" s="1">
        <f t="shared" ca="1" si="4"/>
        <v>135</v>
      </c>
      <c r="D136" s="1">
        <f t="shared" ca="1" si="5"/>
        <v>135</v>
      </c>
      <c r="E136" s="1">
        <f>VLOOKUP($A136,[2]TeamRtg!$A$2:$E$366,4,FALSE)</f>
        <v>-9.7000000000000003E-2</v>
      </c>
      <c r="F136" s="1">
        <f>VLOOKUP($A136,[2]TeamRtg!$A$2:$E$366,5,FALSE)</f>
        <v>0.65300000000000002</v>
      </c>
    </row>
    <row r="137" spans="1:6" x14ac:dyDescent="0.2">
      <c r="A137" s="1" t="s">
        <v>135</v>
      </c>
      <c r="B137" s="3">
        <f ca="1">VLOOKUP(A137,[1]TeamRtg!$A$3:$G$367,7,FALSE)</f>
        <v>0.20110653150445656</v>
      </c>
      <c r="C137" s="1">
        <f t="shared" ca="1" si="4"/>
        <v>136</v>
      </c>
      <c r="D137" s="1">
        <f t="shared" ca="1" si="5"/>
        <v>136</v>
      </c>
      <c r="E137" s="1">
        <f>VLOOKUP($A137,[2]TeamRtg!$A$2:$E$366,4,FALSE)</f>
        <v>-9.9000000000000005E-2</v>
      </c>
      <c r="F137" s="1">
        <f>VLOOKUP($A137,[2]TeamRtg!$A$2:$E$366,5,FALSE)</f>
        <v>0.65100000000000002</v>
      </c>
    </row>
    <row r="138" spans="1:6" x14ac:dyDescent="0.2">
      <c r="A138" s="1" t="s">
        <v>197</v>
      </c>
      <c r="B138" s="3">
        <f ca="1">VLOOKUP(A138,[1]TeamRtg!$A$3:$G$367,7,FALSE)</f>
        <v>0.18237424576136604</v>
      </c>
      <c r="C138" s="1">
        <f t="shared" ca="1" si="4"/>
        <v>137</v>
      </c>
      <c r="D138" s="1">
        <f t="shared" ca="1" si="5"/>
        <v>137</v>
      </c>
      <c r="E138" s="1">
        <f>VLOOKUP($A138,[2]TeamRtg!$A$2:$E$366,4,FALSE)</f>
        <v>-0.11799999999999999</v>
      </c>
      <c r="F138" s="1">
        <f>VLOOKUP($A138,[2]TeamRtg!$A$2:$E$366,5,FALSE)</f>
        <v>0.63200000000000001</v>
      </c>
    </row>
    <row r="139" spans="1:6" x14ac:dyDescent="0.2">
      <c r="A139" s="1" t="s">
        <v>287</v>
      </c>
      <c r="B139" s="3">
        <f ca="1">VLOOKUP(A139,[1]TeamRtg!$A$3:$G$367,7,FALSE)</f>
        <v>0.18235546014028745</v>
      </c>
      <c r="C139" s="1">
        <f t="shared" ca="1" si="4"/>
        <v>138</v>
      </c>
      <c r="D139" s="1">
        <f t="shared" ca="1" si="5"/>
        <v>138</v>
      </c>
      <c r="E139" s="1">
        <f>VLOOKUP($A139,[2]TeamRtg!$A$2:$E$366,4,FALSE)</f>
        <v>-0.11799999999999999</v>
      </c>
      <c r="F139" s="1">
        <f>VLOOKUP($A139,[2]TeamRtg!$A$2:$E$366,5,FALSE)</f>
        <v>0.63200000000000001</v>
      </c>
    </row>
    <row r="140" spans="1:6" x14ac:dyDescent="0.2">
      <c r="A140" s="1" t="s">
        <v>52</v>
      </c>
      <c r="B140" s="3">
        <f ca="1">VLOOKUP(A140,[1]TeamRtg!$A$3:$G$367,7,FALSE)</f>
        <v>0.17491822893933268</v>
      </c>
      <c r="C140" s="1">
        <f t="shared" ca="1" si="4"/>
        <v>139</v>
      </c>
      <c r="D140" s="1">
        <f t="shared" ca="1" si="5"/>
        <v>139</v>
      </c>
      <c r="E140" s="1">
        <f>VLOOKUP($A140,[2]TeamRtg!$A$2:$E$366,4,FALSE)</f>
        <v>-0.125</v>
      </c>
      <c r="F140" s="1">
        <f>VLOOKUP($A140,[2]TeamRtg!$A$2:$E$366,5,FALSE)</f>
        <v>0.625</v>
      </c>
    </row>
    <row r="141" spans="1:6" x14ac:dyDescent="0.2">
      <c r="A141" s="1" t="s">
        <v>149</v>
      </c>
      <c r="B141" s="3">
        <f ca="1">VLOOKUP(A141,[1]TeamRtg!$A$3:$G$367,7,FALSE)</f>
        <v>0.16196677285242403</v>
      </c>
      <c r="C141" s="1">
        <f t="shared" ca="1" si="4"/>
        <v>140</v>
      </c>
      <c r="D141" s="1">
        <f t="shared" ca="1" si="5"/>
        <v>140</v>
      </c>
      <c r="E141" s="1">
        <f>VLOOKUP($A141,[2]TeamRtg!$A$2:$E$366,4,FALSE)</f>
        <v>-0.13800000000000001</v>
      </c>
      <c r="F141" s="1">
        <f>VLOOKUP($A141,[2]TeamRtg!$A$2:$E$366,5,FALSE)</f>
        <v>0.61199999999999999</v>
      </c>
    </row>
    <row r="142" spans="1:6" x14ac:dyDescent="0.2">
      <c r="A142" s="1" t="s">
        <v>67</v>
      </c>
      <c r="B142" s="3">
        <f ca="1">VLOOKUP(A142,[1]TeamRtg!$A$3:$G$367,7,FALSE)</f>
        <v>0.14291434792037186</v>
      </c>
      <c r="C142" s="1">
        <f t="shared" ca="1" si="4"/>
        <v>141</v>
      </c>
      <c r="D142" s="1">
        <f t="shared" ca="1" si="5"/>
        <v>141</v>
      </c>
      <c r="E142" s="1">
        <f>VLOOKUP($A142,[2]TeamRtg!$A$2:$E$366,4,FALSE)</f>
        <v>-0.157</v>
      </c>
      <c r="F142" s="1">
        <f>VLOOKUP($A142,[2]TeamRtg!$A$2:$E$366,5,FALSE)</f>
        <v>0.59299999999999997</v>
      </c>
    </row>
    <row r="143" spans="1:6" x14ac:dyDescent="0.2">
      <c r="A143" s="1" t="s">
        <v>141</v>
      </c>
      <c r="B143" s="3">
        <f ca="1">VLOOKUP(A143,[1]TeamRtg!$A$3:$G$367,7,FALSE)</f>
        <v>0.10693302956450429</v>
      </c>
      <c r="C143" s="1">
        <f t="shared" ca="1" si="4"/>
        <v>142</v>
      </c>
      <c r="D143" s="1">
        <f t="shared" ca="1" si="5"/>
        <v>142</v>
      </c>
      <c r="E143" s="1">
        <f>VLOOKUP($A143,[2]TeamRtg!$A$2:$E$366,4,FALSE)</f>
        <v>-0.193</v>
      </c>
      <c r="F143" s="1">
        <f>VLOOKUP($A143,[2]TeamRtg!$A$2:$E$366,5,FALSE)</f>
        <v>0.55700000000000005</v>
      </c>
    </row>
    <row r="144" spans="1:6" x14ac:dyDescent="0.2">
      <c r="A144" s="1" t="s">
        <v>92</v>
      </c>
      <c r="B144" s="3">
        <f ca="1">VLOOKUP(A144,[1]TeamRtg!$A$3:$G$367,7,FALSE)</f>
        <v>0.10574341330277913</v>
      </c>
      <c r="C144" s="1">
        <f t="shared" ca="1" si="4"/>
        <v>143</v>
      </c>
      <c r="D144" s="1">
        <f t="shared" ca="1" si="5"/>
        <v>143</v>
      </c>
      <c r="E144" s="1">
        <f>VLOOKUP($A144,[2]TeamRtg!$A$2:$E$366,4,FALSE)</f>
        <v>-0.19400000000000001</v>
      </c>
      <c r="F144" s="1">
        <f>VLOOKUP($A144,[2]TeamRtg!$A$2:$E$366,5,FALSE)</f>
        <v>0.55600000000000005</v>
      </c>
    </row>
    <row r="145" spans="1:6" x14ac:dyDescent="0.2">
      <c r="A145" s="1" t="s">
        <v>100</v>
      </c>
      <c r="B145" s="3">
        <f ca="1">VLOOKUP(A145,[1]TeamRtg!$A$3:$G$367,7,FALSE)</f>
        <v>0.10385986711073883</v>
      </c>
      <c r="C145" s="1">
        <f t="shared" ca="1" si="4"/>
        <v>144</v>
      </c>
      <c r="D145" s="1">
        <f t="shared" ca="1" si="5"/>
        <v>144</v>
      </c>
      <c r="E145" s="1">
        <f>VLOOKUP($A145,[2]TeamRtg!$A$2:$E$366,4,FALSE)</f>
        <v>-0.19600000000000001</v>
      </c>
      <c r="F145" s="1">
        <f>VLOOKUP($A145,[2]TeamRtg!$A$2:$E$366,5,FALSE)</f>
        <v>0.55400000000000005</v>
      </c>
    </row>
    <row r="146" spans="1:6" x14ac:dyDescent="0.2">
      <c r="A146" s="1" t="s">
        <v>154</v>
      </c>
      <c r="B146" s="3">
        <f ca="1">VLOOKUP(A146,[1]TeamRtg!$A$3:$G$367,7,FALSE)</f>
        <v>9.9484403912357591E-2</v>
      </c>
      <c r="C146" s="1">
        <f t="shared" ca="1" si="4"/>
        <v>145</v>
      </c>
      <c r="D146" s="1">
        <f t="shared" ca="1" si="5"/>
        <v>145</v>
      </c>
      <c r="E146" s="1">
        <f>VLOOKUP($A146,[2]TeamRtg!$A$2:$E$366,4,FALSE)</f>
        <v>-0.20100000000000001</v>
      </c>
      <c r="F146" s="1">
        <f>VLOOKUP($A146,[2]TeamRtg!$A$2:$E$366,5,FALSE)</f>
        <v>0.54900000000000004</v>
      </c>
    </row>
    <row r="147" spans="1:6" x14ac:dyDescent="0.2">
      <c r="A147" s="1" t="s">
        <v>185</v>
      </c>
      <c r="B147" s="3">
        <f ca="1">VLOOKUP(A147,[1]TeamRtg!$A$3:$G$367,7,FALSE)</f>
        <v>9.3460335880992298E-2</v>
      </c>
      <c r="C147" s="1">
        <f t="shared" ca="1" si="4"/>
        <v>146</v>
      </c>
      <c r="D147" s="1">
        <f t="shared" ca="1" si="5"/>
        <v>146</v>
      </c>
      <c r="E147" s="1">
        <f>VLOOKUP($A147,[2]TeamRtg!$A$2:$E$366,4,FALSE)</f>
        <v>-0.20699999999999999</v>
      </c>
      <c r="F147" s="1">
        <f>VLOOKUP($A147,[2]TeamRtg!$A$2:$E$366,5,FALSE)</f>
        <v>0.54300000000000004</v>
      </c>
    </row>
    <row r="148" spans="1:6" x14ac:dyDescent="0.2">
      <c r="A148" s="1" t="s">
        <v>251</v>
      </c>
      <c r="B148" s="3">
        <f ca="1">VLOOKUP(A148,[1]TeamRtg!$A$3:$G$367,7,FALSE)</f>
        <v>8.6140320643519605E-2</v>
      </c>
      <c r="C148" s="1">
        <f t="shared" ca="1" si="4"/>
        <v>147</v>
      </c>
      <c r="D148" s="1">
        <f t="shared" ca="1" si="5"/>
        <v>147</v>
      </c>
      <c r="E148" s="1">
        <f>VLOOKUP($A148,[2]TeamRtg!$A$2:$E$366,4,FALSE)</f>
        <v>-0.214</v>
      </c>
      <c r="F148" s="1">
        <f>VLOOKUP($A148,[2]TeamRtg!$A$2:$E$366,5,FALSE)</f>
        <v>0.53600000000000003</v>
      </c>
    </row>
    <row r="149" spans="1:6" x14ac:dyDescent="0.2">
      <c r="A149" s="1" t="s">
        <v>134</v>
      </c>
      <c r="B149" s="3">
        <f ca="1">VLOOKUP(A149,[1]TeamRtg!$A$3:$G$367,7,FALSE)</f>
        <v>8.1060896804993468E-2</v>
      </c>
      <c r="C149" s="1">
        <f t="shared" ca="1" si="4"/>
        <v>148</v>
      </c>
      <c r="D149" s="1">
        <f t="shared" ca="1" si="5"/>
        <v>148</v>
      </c>
      <c r="E149" s="1">
        <f>VLOOKUP($A149,[2]TeamRtg!$A$2:$E$366,4,FALSE)</f>
        <v>-0.219</v>
      </c>
      <c r="F149" s="1">
        <f>VLOOKUP($A149,[2]TeamRtg!$A$2:$E$366,5,FALSE)</f>
        <v>0.53100000000000003</v>
      </c>
    </row>
    <row r="150" spans="1:6" x14ac:dyDescent="0.2">
      <c r="A150" s="1" t="s">
        <v>110</v>
      </c>
      <c r="B150" s="3">
        <f ca="1">VLOOKUP(A150,[1]TeamRtg!$A$3:$G$367,7,FALSE)</f>
        <v>7.5556774089744302E-2</v>
      </c>
      <c r="C150" s="1">
        <f t="shared" ca="1" si="4"/>
        <v>149</v>
      </c>
      <c r="D150" s="1">
        <f t="shared" ca="1" si="5"/>
        <v>149</v>
      </c>
      <c r="E150" s="1" t="e">
        <f>VLOOKUP($A150,[2]TeamRtg!$A$2:$E$366,4,FALSE)</f>
        <v>#N/A</v>
      </c>
      <c r="F150" s="1" t="e">
        <f>VLOOKUP($A150,[2]TeamRtg!$A$2:$E$366,5,FALSE)</f>
        <v>#N/A</v>
      </c>
    </row>
    <row r="151" spans="1:6" x14ac:dyDescent="0.2">
      <c r="A151" s="1" t="s">
        <v>198</v>
      </c>
      <c r="B151" s="3">
        <f ca="1">VLOOKUP(A151,[1]TeamRtg!$A$3:$G$367,7,FALSE)</f>
        <v>7.4881466283636941E-2</v>
      </c>
      <c r="C151" s="1">
        <f t="shared" ca="1" si="4"/>
        <v>150</v>
      </c>
      <c r="D151" s="1">
        <f t="shared" ca="1" si="5"/>
        <v>150</v>
      </c>
      <c r="E151" s="1" t="e">
        <f>VLOOKUP($A151,[2]TeamRtg!$A$2:$E$366,4,FALSE)</f>
        <v>#N/A</v>
      </c>
      <c r="F151" s="1" t="e">
        <f>VLOOKUP($A151,[2]TeamRtg!$A$2:$E$366,5,FALSE)</f>
        <v>#N/A</v>
      </c>
    </row>
    <row r="152" spans="1:6" x14ac:dyDescent="0.2">
      <c r="A152" s="1" t="s">
        <v>268</v>
      </c>
      <c r="B152" s="3">
        <f ca="1">VLOOKUP(A152,[1]TeamRtg!$A$3:$G$367,7,FALSE)</f>
        <v>7.2624155204782562E-2</v>
      </c>
      <c r="C152" s="1">
        <f t="shared" ca="1" si="4"/>
        <v>151</v>
      </c>
      <c r="D152" s="1">
        <f t="shared" ca="1" si="5"/>
        <v>151</v>
      </c>
      <c r="E152" s="1" t="e">
        <f>VLOOKUP($A152,[2]TeamRtg!$A$2:$E$366,4,FALSE)</f>
        <v>#N/A</v>
      </c>
      <c r="F152" s="1" t="e">
        <f>VLOOKUP($A152,[2]TeamRtg!$A$2:$E$366,5,FALSE)</f>
        <v>#N/A</v>
      </c>
    </row>
    <row r="153" spans="1:6" x14ac:dyDescent="0.2">
      <c r="A153" s="1" t="s">
        <v>168</v>
      </c>
      <c r="B153" s="3">
        <f ca="1">VLOOKUP(A153,[1]TeamRtg!$A$3:$G$367,7,FALSE)</f>
        <v>5.8520150748096134E-2</v>
      </c>
      <c r="C153" s="1">
        <f t="shared" ca="1" si="4"/>
        <v>152</v>
      </c>
      <c r="D153" s="1">
        <f t="shared" ca="1" si="5"/>
        <v>152</v>
      </c>
      <c r="E153" s="1" t="e">
        <f>VLOOKUP($A153,[2]TeamRtg!$A$2:$E$366,4,FALSE)</f>
        <v>#N/A</v>
      </c>
      <c r="F153" s="1" t="e">
        <f>VLOOKUP($A153,[2]TeamRtg!$A$2:$E$366,5,FALSE)</f>
        <v>#N/A</v>
      </c>
    </row>
    <row r="154" spans="1:6" x14ac:dyDescent="0.2">
      <c r="A154" s="1" t="s">
        <v>143</v>
      </c>
      <c r="B154" s="3">
        <f ca="1">VLOOKUP(A154,[1]TeamRtg!$A$3:$G$367,7,FALSE)</f>
        <v>5.1893572258398628E-2</v>
      </c>
      <c r="C154" s="1">
        <f t="shared" ca="1" si="4"/>
        <v>153</v>
      </c>
      <c r="D154" s="1">
        <f t="shared" ca="1" si="5"/>
        <v>153</v>
      </c>
      <c r="E154" s="1" t="e">
        <f>VLOOKUP($A154,[2]TeamRtg!$A$2:$E$366,4,FALSE)</f>
        <v>#N/A</v>
      </c>
      <c r="F154" s="1" t="e">
        <f>VLOOKUP($A154,[2]TeamRtg!$A$2:$E$366,5,FALSE)</f>
        <v>#N/A</v>
      </c>
    </row>
    <row r="155" spans="1:6" x14ac:dyDescent="0.2">
      <c r="A155" s="1" t="s">
        <v>130</v>
      </c>
      <c r="B155" s="3">
        <f ca="1">VLOOKUP(A155,[1]TeamRtg!$A$3:$G$367,7,FALSE)</f>
        <v>3.819379606185578E-2</v>
      </c>
      <c r="C155" s="1">
        <f t="shared" ca="1" si="4"/>
        <v>154</v>
      </c>
      <c r="D155" s="1">
        <f t="shared" ca="1" si="5"/>
        <v>154</v>
      </c>
      <c r="E155" s="1" t="e">
        <f>VLOOKUP($A155,[2]TeamRtg!$A$2:$E$366,4,FALSE)</f>
        <v>#N/A</v>
      </c>
      <c r="F155" s="1" t="e">
        <f>VLOOKUP($A155,[2]TeamRtg!$A$2:$E$366,5,FALSE)</f>
        <v>#N/A</v>
      </c>
    </row>
    <row r="156" spans="1:6" x14ac:dyDescent="0.2">
      <c r="A156" s="1" t="s">
        <v>194</v>
      </c>
      <c r="B156" s="3">
        <f ca="1">VLOOKUP(A156,[1]TeamRtg!$A$3:$G$367,7,FALSE)</f>
        <v>2.4907055586802229E-2</v>
      </c>
      <c r="C156" s="1">
        <f t="shared" ca="1" si="4"/>
        <v>155</v>
      </c>
      <c r="D156" s="1">
        <f t="shared" ca="1" si="5"/>
        <v>155</v>
      </c>
      <c r="E156" s="1" t="e">
        <f>VLOOKUP($A156,[2]TeamRtg!$A$2:$E$366,4,FALSE)</f>
        <v>#N/A</v>
      </c>
      <c r="F156" s="1" t="e">
        <f>VLOOKUP($A156,[2]TeamRtg!$A$2:$E$366,5,FALSE)</f>
        <v>#N/A</v>
      </c>
    </row>
    <row r="157" spans="1:6" x14ac:dyDescent="0.2">
      <c r="A157" s="1" t="s">
        <v>171</v>
      </c>
      <c r="B157" s="3">
        <f ca="1">VLOOKUP(A157,[1]TeamRtg!$A$3:$G$367,7,FALSE)</f>
        <v>2.4222942437102438E-2</v>
      </c>
      <c r="C157" s="1">
        <f t="shared" ca="1" si="4"/>
        <v>156</v>
      </c>
      <c r="D157" s="1">
        <f t="shared" ca="1" si="5"/>
        <v>156</v>
      </c>
      <c r="E157" s="1" t="e">
        <f>VLOOKUP($A157,[2]TeamRtg!$A$2:$E$366,4,FALSE)</f>
        <v>#N/A</v>
      </c>
      <c r="F157" s="1" t="e">
        <f>VLOOKUP($A157,[2]TeamRtg!$A$2:$E$366,5,FALSE)</f>
        <v>#N/A</v>
      </c>
    </row>
    <row r="158" spans="1:6" x14ac:dyDescent="0.2">
      <c r="A158" s="1" t="s">
        <v>164</v>
      </c>
      <c r="B158" s="3">
        <f ca="1">VLOOKUP(A158,[1]TeamRtg!$A$3:$G$367,7,FALSE)</f>
        <v>2.2511553507620699E-2</v>
      </c>
      <c r="C158" s="1">
        <f t="shared" ca="1" si="4"/>
        <v>157</v>
      </c>
      <c r="D158" s="1">
        <f t="shared" ca="1" si="5"/>
        <v>157</v>
      </c>
      <c r="E158" s="1" t="e">
        <f>VLOOKUP($A158,[2]TeamRtg!$A$2:$E$366,4,FALSE)</f>
        <v>#N/A</v>
      </c>
      <c r="F158" s="1" t="e">
        <f>VLOOKUP($A158,[2]TeamRtg!$A$2:$E$366,5,FALSE)</f>
        <v>#N/A</v>
      </c>
    </row>
    <row r="159" spans="1:6" x14ac:dyDescent="0.2">
      <c r="A159" s="1" t="s">
        <v>85</v>
      </c>
      <c r="B159" s="3">
        <f ca="1">VLOOKUP(A159,[1]TeamRtg!$A$3:$G$367,7,FALSE)</f>
        <v>1.7310540345955337E-2</v>
      </c>
      <c r="C159" s="1">
        <f t="shared" ca="1" si="4"/>
        <v>158</v>
      </c>
      <c r="D159" s="1">
        <f t="shared" ca="1" si="5"/>
        <v>158</v>
      </c>
      <c r="E159" s="1" t="e">
        <f>VLOOKUP($A159,[2]TeamRtg!$A$2:$E$366,4,FALSE)</f>
        <v>#N/A</v>
      </c>
      <c r="F159" s="1" t="e">
        <f>VLOOKUP($A159,[2]TeamRtg!$A$2:$E$366,5,FALSE)</f>
        <v>#N/A</v>
      </c>
    </row>
    <row r="160" spans="1:6" x14ac:dyDescent="0.2">
      <c r="A160" s="1" t="s">
        <v>191</v>
      </c>
      <c r="B160" s="3">
        <f ca="1">VLOOKUP(A160,[1]TeamRtg!$A$3:$G$367,7,FALSE)</f>
        <v>1.5170853179864349E-2</v>
      </c>
      <c r="C160" s="1">
        <f t="shared" ca="1" si="4"/>
        <v>159</v>
      </c>
      <c r="D160" s="1">
        <f t="shared" ca="1" si="5"/>
        <v>159</v>
      </c>
      <c r="E160" s="1" t="e">
        <f>VLOOKUP($A160,[2]TeamRtg!$A$2:$E$366,4,FALSE)</f>
        <v>#N/A</v>
      </c>
      <c r="F160" s="1" t="e">
        <f>VLOOKUP($A160,[2]TeamRtg!$A$2:$E$366,5,FALSE)</f>
        <v>#N/A</v>
      </c>
    </row>
    <row r="161" spans="1:6" x14ac:dyDescent="0.2">
      <c r="A161" s="1" t="s">
        <v>147</v>
      </c>
      <c r="B161" s="3">
        <f ca="1">VLOOKUP(A161,[1]TeamRtg!$A$3:$G$367,7,FALSE)</f>
        <v>1.4409395509026089E-2</v>
      </c>
      <c r="C161" s="1">
        <f t="shared" ca="1" si="4"/>
        <v>160</v>
      </c>
      <c r="D161" s="1">
        <f t="shared" ca="1" si="5"/>
        <v>160</v>
      </c>
      <c r="E161" s="1" t="e">
        <f>VLOOKUP($A161,[2]TeamRtg!$A$2:$E$366,4,FALSE)</f>
        <v>#N/A</v>
      </c>
      <c r="F161" s="1" t="e">
        <f>VLOOKUP($A161,[2]TeamRtg!$A$2:$E$366,5,FALSE)</f>
        <v>#N/A</v>
      </c>
    </row>
    <row r="162" spans="1:6" x14ac:dyDescent="0.2">
      <c r="A162" s="1" t="s">
        <v>145</v>
      </c>
      <c r="B162" s="3">
        <f ca="1">VLOOKUP(A162,[1]TeamRtg!$A$3:$G$367,7,FALSE)</f>
        <v>1.1415586635509503E-2</v>
      </c>
      <c r="C162" s="1">
        <f t="shared" ca="1" si="4"/>
        <v>161</v>
      </c>
      <c r="D162" s="1">
        <f t="shared" ca="1" si="5"/>
        <v>161</v>
      </c>
      <c r="E162" s="1" t="e">
        <f>VLOOKUP($A162,[2]TeamRtg!$A$2:$E$366,4,FALSE)</f>
        <v>#N/A</v>
      </c>
      <c r="F162" s="1" t="e">
        <f>VLOOKUP($A162,[2]TeamRtg!$A$2:$E$366,5,FALSE)</f>
        <v>#N/A</v>
      </c>
    </row>
    <row r="163" spans="1:6" x14ac:dyDescent="0.2">
      <c r="A163" s="1" t="s">
        <v>162</v>
      </c>
      <c r="B163" s="3">
        <f ca="1">VLOOKUP(A163,[1]TeamRtg!$A$3:$G$367,7,FALSE)</f>
        <v>3.7846151144048734E-3</v>
      </c>
      <c r="C163" s="1">
        <f t="shared" ca="1" si="4"/>
        <v>162</v>
      </c>
      <c r="D163" s="1">
        <f t="shared" ca="1" si="5"/>
        <v>162</v>
      </c>
      <c r="E163" s="1" t="e">
        <f>VLOOKUP($A163,[2]TeamRtg!$A$2:$E$366,4,FALSE)</f>
        <v>#N/A</v>
      </c>
      <c r="F163" s="1" t="e">
        <f>VLOOKUP($A163,[2]TeamRtg!$A$2:$E$366,5,FALSE)</f>
        <v>#N/A</v>
      </c>
    </row>
    <row r="164" spans="1:6" x14ac:dyDescent="0.2">
      <c r="A164" s="1" t="s">
        <v>150</v>
      </c>
      <c r="B164" s="3">
        <f ca="1">VLOOKUP(A164,[1]TeamRtg!$A$3:$G$367,7,FALSE)</f>
        <v>2.1495828088693176E-3</v>
      </c>
      <c r="C164" s="1">
        <f t="shared" ca="1" si="4"/>
        <v>163</v>
      </c>
      <c r="D164" s="1">
        <f t="shared" ca="1" si="5"/>
        <v>163</v>
      </c>
      <c r="E164" s="1" t="e">
        <f>VLOOKUP($A164,[2]TeamRtg!$A$2:$E$366,4,FALSE)</f>
        <v>#N/A</v>
      </c>
      <c r="F164" s="1" t="e">
        <f>VLOOKUP($A164,[2]TeamRtg!$A$2:$E$366,5,FALSE)</f>
        <v>#N/A</v>
      </c>
    </row>
    <row r="165" spans="1:6" x14ac:dyDescent="0.2">
      <c r="A165" s="1" t="s">
        <v>220</v>
      </c>
      <c r="B165" s="3">
        <f ca="1">VLOOKUP(A165,[1]TeamRtg!$A$3:$G$367,7,FALSE)</f>
        <v>-8.5803371495667244E-4</v>
      </c>
      <c r="C165" s="1">
        <f t="shared" ca="1" si="4"/>
        <v>164</v>
      </c>
      <c r="D165" s="1">
        <f t="shared" ca="1" si="5"/>
        <v>164</v>
      </c>
      <c r="E165" s="1" t="e">
        <f>VLOOKUP($A165,[2]TeamRtg!$A$2:$E$366,4,FALSE)</f>
        <v>#N/A</v>
      </c>
      <c r="F165" s="1" t="e">
        <f>VLOOKUP($A165,[2]TeamRtg!$A$2:$E$366,5,FALSE)</f>
        <v>#N/A</v>
      </c>
    </row>
    <row r="166" spans="1:6" x14ac:dyDescent="0.2">
      <c r="A166" s="1" t="s">
        <v>271</v>
      </c>
      <c r="B166" s="3">
        <f ca="1">VLOOKUP(A166,[1]TeamRtg!$A$3:$G$367,7,FALSE)</f>
        <v>-4.8525973809967274E-3</v>
      </c>
      <c r="C166" s="1">
        <f t="shared" ca="1" si="4"/>
        <v>165</v>
      </c>
      <c r="D166" s="1">
        <f t="shared" ca="1" si="5"/>
        <v>165</v>
      </c>
      <c r="E166" s="1" t="e">
        <f>VLOOKUP($A166,[2]TeamRtg!$A$2:$E$366,4,FALSE)</f>
        <v>#N/A</v>
      </c>
      <c r="F166" s="1" t="e">
        <f>VLOOKUP($A166,[2]TeamRtg!$A$2:$E$366,5,FALSE)</f>
        <v>#N/A</v>
      </c>
    </row>
    <row r="167" spans="1:6" x14ac:dyDescent="0.2">
      <c r="A167" s="1" t="s">
        <v>257</v>
      </c>
      <c r="B167" s="3">
        <f ca="1">VLOOKUP(A167,[1]TeamRtg!$A$3:$G$367,7,FALSE)</f>
        <v>-1.0985134654687555E-2</v>
      </c>
      <c r="C167" s="1">
        <f t="shared" ca="1" si="4"/>
        <v>166</v>
      </c>
      <c r="D167" s="1">
        <f t="shared" ca="1" si="5"/>
        <v>166</v>
      </c>
      <c r="E167" s="1" t="e">
        <f>VLOOKUP($A167,[2]TeamRtg!$A$2:$E$366,4,FALSE)</f>
        <v>#N/A</v>
      </c>
      <c r="F167" s="1" t="e">
        <f>VLOOKUP($A167,[2]TeamRtg!$A$2:$E$366,5,FALSE)</f>
        <v>#N/A</v>
      </c>
    </row>
    <row r="168" spans="1:6" x14ac:dyDescent="0.2">
      <c r="A168" s="1" t="s">
        <v>196</v>
      </c>
      <c r="B168" s="3">
        <f ca="1">VLOOKUP(A168,[1]TeamRtg!$A$3:$G$367,7,FALSE)</f>
        <v>-1.4856392120797195E-2</v>
      </c>
      <c r="C168" s="1">
        <f t="shared" ca="1" si="4"/>
        <v>167</v>
      </c>
      <c r="D168" s="1">
        <f t="shared" ca="1" si="5"/>
        <v>167</v>
      </c>
      <c r="E168" s="1" t="e">
        <f>VLOOKUP($A168,[2]TeamRtg!$A$2:$E$366,4,FALSE)</f>
        <v>#N/A</v>
      </c>
      <c r="F168" s="1" t="e">
        <f>VLOOKUP($A168,[2]TeamRtg!$A$2:$E$366,5,FALSE)</f>
        <v>#N/A</v>
      </c>
    </row>
    <row r="169" spans="1:6" x14ac:dyDescent="0.2">
      <c r="A169" s="1" t="s">
        <v>152</v>
      </c>
      <c r="B169" s="3">
        <f ca="1">VLOOKUP(A169,[1]TeamRtg!$A$3:$G$367,7,FALSE)</f>
        <v>-1.736377230133036E-2</v>
      </c>
      <c r="C169" s="1">
        <f t="shared" ca="1" si="4"/>
        <v>168</v>
      </c>
      <c r="D169" s="1">
        <f t="shared" ca="1" si="5"/>
        <v>168</v>
      </c>
      <c r="E169" s="1" t="e">
        <f>VLOOKUP($A169,[2]TeamRtg!$A$2:$E$366,4,FALSE)</f>
        <v>#N/A</v>
      </c>
      <c r="F169" s="1" t="e">
        <f>VLOOKUP($A169,[2]TeamRtg!$A$2:$E$366,5,FALSE)</f>
        <v>#N/A</v>
      </c>
    </row>
    <row r="170" spans="1:6" x14ac:dyDescent="0.2">
      <c r="A170" s="1" t="s">
        <v>256</v>
      </c>
      <c r="B170" s="3">
        <f ca="1">VLOOKUP(A170,[1]TeamRtg!$A$3:$G$367,7,FALSE)</f>
        <v>-3.2184127088216802E-2</v>
      </c>
      <c r="C170" s="1">
        <f t="shared" ca="1" si="4"/>
        <v>169</v>
      </c>
      <c r="D170" s="1">
        <f t="shared" ca="1" si="5"/>
        <v>169</v>
      </c>
      <c r="E170" s="1" t="e">
        <f>VLOOKUP($A170,[2]TeamRtg!$A$2:$E$366,4,FALSE)</f>
        <v>#N/A</v>
      </c>
      <c r="F170" s="1" t="e">
        <f>VLOOKUP($A170,[2]TeamRtg!$A$2:$E$366,5,FALSE)</f>
        <v>#N/A</v>
      </c>
    </row>
    <row r="171" spans="1:6" x14ac:dyDescent="0.2">
      <c r="A171" s="1" t="s">
        <v>170</v>
      </c>
      <c r="B171" s="3">
        <f ca="1">VLOOKUP(A171,[1]TeamRtg!$A$3:$G$367,7,FALSE)</f>
        <v>-4.2165884572368896E-2</v>
      </c>
      <c r="C171" s="1">
        <f t="shared" ca="1" si="4"/>
        <v>170</v>
      </c>
      <c r="D171" s="1">
        <f t="shared" ca="1" si="5"/>
        <v>170</v>
      </c>
      <c r="E171" s="1" t="e">
        <f>VLOOKUP($A171,[2]TeamRtg!$A$2:$E$366,4,FALSE)</f>
        <v>#N/A</v>
      </c>
      <c r="F171" s="1" t="e">
        <f>VLOOKUP($A171,[2]TeamRtg!$A$2:$E$366,5,FALSE)</f>
        <v>#N/A</v>
      </c>
    </row>
    <row r="172" spans="1:6" x14ac:dyDescent="0.2">
      <c r="A172" s="1" t="s">
        <v>160</v>
      </c>
      <c r="B172" s="3">
        <f ca="1">VLOOKUP(A172,[1]TeamRtg!$A$3:$G$367,7,FALSE)</f>
        <v>-5.0333884353881829E-2</v>
      </c>
      <c r="C172" s="1">
        <f t="shared" ca="1" si="4"/>
        <v>171</v>
      </c>
      <c r="D172" s="1">
        <f t="shared" ca="1" si="5"/>
        <v>171</v>
      </c>
      <c r="E172" s="1" t="e">
        <f>VLOOKUP($A172,[2]TeamRtg!$A$2:$E$366,4,FALSE)</f>
        <v>#N/A</v>
      </c>
      <c r="F172" s="1" t="e">
        <f>VLOOKUP($A172,[2]TeamRtg!$A$2:$E$366,5,FALSE)</f>
        <v>#N/A</v>
      </c>
    </row>
    <row r="173" spans="1:6" x14ac:dyDescent="0.2">
      <c r="A173" s="1" t="s">
        <v>189</v>
      </c>
      <c r="B173" s="3">
        <f ca="1">VLOOKUP(A173,[1]TeamRtg!$A$3:$G$367,7,FALSE)</f>
        <v>-8.5771807755614715E-2</v>
      </c>
      <c r="C173" s="1">
        <f t="shared" ca="1" si="4"/>
        <v>172</v>
      </c>
      <c r="D173" s="1">
        <f t="shared" ca="1" si="5"/>
        <v>172</v>
      </c>
      <c r="E173" s="1" t="e">
        <f>VLOOKUP($A173,[2]TeamRtg!$A$2:$E$366,4,FALSE)</f>
        <v>#N/A</v>
      </c>
      <c r="F173" s="1" t="e">
        <f>VLOOKUP($A173,[2]TeamRtg!$A$2:$E$366,5,FALSE)</f>
        <v>#N/A</v>
      </c>
    </row>
    <row r="174" spans="1:6" x14ac:dyDescent="0.2">
      <c r="A174" s="1" t="s">
        <v>284</v>
      </c>
      <c r="B174" s="3">
        <f ca="1">VLOOKUP(A174,[1]TeamRtg!$A$3:$G$367,7,FALSE)</f>
        <v>-9.0501035533721561E-2</v>
      </c>
      <c r="C174" s="1">
        <f t="shared" ca="1" si="4"/>
        <v>173</v>
      </c>
      <c r="D174" s="1">
        <f t="shared" ca="1" si="5"/>
        <v>173</v>
      </c>
      <c r="E174" s="1" t="e">
        <f>VLOOKUP($A174,[2]TeamRtg!$A$2:$E$366,4,FALSE)</f>
        <v>#N/A</v>
      </c>
      <c r="F174" s="1" t="e">
        <f>VLOOKUP($A174,[2]TeamRtg!$A$2:$E$366,5,FALSE)</f>
        <v>#N/A</v>
      </c>
    </row>
    <row r="175" spans="1:6" x14ac:dyDescent="0.2">
      <c r="A175" s="1" t="s">
        <v>293</v>
      </c>
      <c r="B175" s="3">
        <f ca="1">VLOOKUP(A175,[1]TeamRtg!$A$3:$G$367,7,FALSE)</f>
        <v>-0.10234883321037813</v>
      </c>
      <c r="C175" s="1">
        <f t="shared" ca="1" si="4"/>
        <v>174</v>
      </c>
      <c r="D175" s="1">
        <f t="shared" ca="1" si="5"/>
        <v>174</v>
      </c>
      <c r="E175" s="1" t="e">
        <f>VLOOKUP($A175,[2]TeamRtg!$A$2:$E$366,4,FALSE)</f>
        <v>#N/A</v>
      </c>
      <c r="F175" s="1" t="e">
        <f>VLOOKUP($A175,[2]TeamRtg!$A$2:$E$366,5,FALSE)</f>
        <v>#N/A</v>
      </c>
    </row>
    <row r="176" spans="1:6" x14ac:dyDescent="0.2">
      <c r="A176" s="1" t="s">
        <v>195</v>
      </c>
      <c r="B176" s="3">
        <f ca="1">VLOOKUP(A176,[1]TeamRtg!$A$3:$G$367,7,FALSE)</f>
        <v>-0.11549892966580018</v>
      </c>
      <c r="C176" s="1">
        <f t="shared" ca="1" si="4"/>
        <v>175</v>
      </c>
      <c r="D176" s="1">
        <f t="shared" ca="1" si="5"/>
        <v>175</v>
      </c>
      <c r="E176" s="1" t="e">
        <f>VLOOKUP($A176,[2]TeamRtg!$A$2:$E$366,4,FALSE)</f>
        <v>#N/A</v>
      </c>
      <c r="F176" s="1" t="e">
        <f>VLOOKUP($A176,[2]TeamRtg!$A$2:$E$366,5,FALSE)</f>
        <v>#N/A</v>
      </c>
    </row>
    <row r="177" spans="1:6" x14ac:dyDescent="0.2">
      <c r="A177" s="1" t="s">
        <v>112</v>
      </c>
      <c r="B177" s="3">
        <f ca="1">VLOOKUP(A177,[1]TeamRtg!$A$3:$G$367,7,FALSE)</f>
        <v>-0.11817190301296608</v>
      </c>
      <c r="C177" s="1">
        <f t="shared" ca="1" si="4"/>
        <v>176</v>
      </c>
      <c r="D177" s="1">
        <f t="shared" ca="1" si="5"/>
        <v>176</v>
      </c>
      <c r="E177" s="1" t="e">
        <f>VLOOKUP($A177,[2]TeamRtg!$A$2:$E$366,4,FALSE)</f>
        <v>#N/A</v>
      </c>
      <c r="F177" s="1" t="e">
        <f>VLOOKUP($A177,[2]TeamRtg!$A$2:$E$366,5,FALSE)</f>
        <v>#N/A</v>
      </c>
    </row>
    <row r="178" spans="1:6" x14ac:dyDescent="0.2">
      <c r="A178" s="1" t="s">
        <v>138</v>
      </c>
      <c r="B178" s="3">
        <f ca="1">VLOOKUP(A178,[1]TeamRtg!$A$3:$G$367,7,FALSE)</f>
        <v>-0.12130817816751412</v>
      </c>
      <c r="C178" s="1">
        <f t="shared" ca="1" si="4"/>
        <v>177</v>
      </c>
      <c r="D178" s="1">
        <f t="shared" ca="1" si="5"/>
        <v>177</v>
      </c>
      <c r="E178" s="1" t="e">
        <f>VLOOKUP($A178,[2]TeamRtg!$A$2:$E$366,4,FALSE)</f>
        <v>#N/A</v>
      </c>
      <c r="F178" s="1" t="e">
        <f>VLOOKUP($A178,[2]TeamRtg!$A$2:$E$366,5,FALSE)</f>
        <v>#N/A</v>
      </c>
    </row>
    <row r="179" spans="1:6" x14ac:dyDescent="0.2">
      <c r="A179" s="1" t="s">
        <v>107</v>
      </c>
      <c r="B179" s="3">
        <f ca="1">VLOOKUP(A179,[1]TeamRtg!$A$3:$G$367,7,FALSE)</f>
        <v>-0.12190998206532519</v>
      </c>
      <c r="C179" s="1">
        <f t="shared" ca="1" si="4"/>
        <v>178</v>
      </c>
      <c r="D179" s="1">
        <f t="shared" ca="1" si="5"/>
        <v>178</v>
      </c>
      <c r="E179" s="1" t="e">
        <f>VLOOKUP($A179,[2]TeamRtg!$A$2:$E$366,4,FALSE)</f>
        <v>#N/A</v>
      </c>
      <c r="F179" s="1" t="e">
        <f>VLOOKUP($A179,[2]TeamRtg!$A$2:$E$366,5,FALSE)</f>
        <v>#N/A</v>
      </c>
    </row>
    <row r="180" spans="1:6" x14ac:dyDescent="0.2">
      <c r="A180" s="1" t="s">
        <v>259</v>
      </c>
      <c r="B180" s="3">
        <f ca="1">VLOOKUP(A180,[1]TeamRtg!$A$3:$G$367,7,FALSE)</f>
        <v>-0.12547370097785707</v>
      </c>
      <c r="C180" s="1">
        <f t="shared" ca="1" si="4"/>
        <v>179</v>
      </c>
      <c r="D180" s="1">
        <f t="shared" ca="1" si="5"/>
        <v>179</v>
      </c>
      <c r="E180" s="1" t="e">
        <f>VLOOKUP($A180,[2]TeamRtg!$A$2:$E$366,4,FALSE)</f>
        <v>#N/A</v>
      </c>
      <c r="F180" s="1" t="e">
        <f>VLOOKUP($A180,[2]TeamRtg!$A$2:$E$366,5,FALSE)</f>
        <v>#N/A</v>
      </c>
    </row>
    <row r="181" spans="1:6" x14ac:dyDescent="0.2">
      <c r="A181" s="1" t="s">
        <v>233</v>
      </c>
      <c r="B181" s="3">
        <f ca="1">VLOOKUP(A181,[1]TeamRtg!$A$3:$G$367,7,FALSE)</f>
        <v>-0.13145968486812062</v>
      </c>
      <c r="C181" s="1">
        <f t="shared" ca="1" si="4"/>
        <v>180</v>
      </c>
      <c r="D181" s="1">
        <f t="shared" ca="1" si="5"/>
        <v>180</v>
      </c>
      <c r="E181" s="1" t="e">
        <f>VLOOKUP($A181,[2]TeamRtg!$A$2:$E$366,4,FALSE)</f>
        <v>#N/A</v>
      </c>
      <c r="F181" s="1" t="e">
        <f>VLOOKUP($A181,[2]TeamRtg!$A$2:$E$366,5,FALSE)</f>
        <v>#N/A</v>
      </c>
    </row>
    <row r="182" spans="1:6" x14ac:dyDescent="0.2">
      <c r="A182" s="1" t="s">
        <v>286</v>
      </c>
      <c r="B182" s="3">
        <f ca="1">VLOOKUP(A182,[1]TeamRtg!$A$3:$G$367,7,FALSE)</f>
        <v>-0.13468413471550986</v>
      </c>
      <c r="C182" s="1">
        <f t="shared" ca="1" si="4"/>
        <v>181</v>
      </c>
      <c r="D182" s="1">
        <f t="shared" ca="1" si="5"/>
        <v>181</v>
      </c>
      <c r="E182" s="1" t="e">
        <f>VLOOKUP($A182,[2]TeamRtg!$A$2:$E$366,4,FALSE)</f>
        <v>#N/A</v>
      </c>
      <c r="F182" s="1" t="e">
        <f>VLOOKUP($A182,[2]TeamRtg!$A$2:$E$366,5,FALSE)</f>
        <v>#N/A</v>
      </c>
    </row>
    <row r="183" spans="1:6" x14ac:dyDescent="0.2">
      <c r="A183" s="1" t="s">
        <v>190</v>
      </c>
      <c r="B183" s="3">
        <f ca="1">VLOOKUP(A183,[1]TeamRtg!$A$3:$G$367,7,FALSE)</f>
        <v>-0.13721281815738992</v>
      </c>
      <c r="C183" s="1">
        <f t="shared" ca="1" si="4"/>
        <v>182</v>
      </c>
      <c r="D183" s="1">
        <f t="shared" ca="1" si="5"/>
        <v>182</v>
      </c>
      <c r="E183" s="1" t="e">
        <f>VLOOKUP($A183,[2]TeamRtg!$A$2:$E$366,4,FALSE)</f>
        <v>#N/A</v>
      </c>
      <c r="F183" s="1" t="e">
        <f>VLOOKUP($A183,[2]TeamRtg!$A$2:$E$366,5,FALSE)</f>
        <v>#N/A</v>
      </c>
    </row>
    <row r="184" spans="1:6" x14ac:dyDescent="0.2">
      <c r="A184" s="1" t="s">
        <v>139</v>
      </c>
      <c r="B184" s="3">
        <f ca="1">VLOOKUP(A184,[1]TeamRtg!$A$3:$G$367,7,FALSE)</f>
        <v>-0.14416275884111826</v>
      </c>
      <c r="C184" s="1">
        <f t="shared" ca="1" si="4"/>
        <v>183</v>
      </c>
      <c r="D184" s="1">
        <f t="shared" ca="1" si="5"/>
        <v>183</v>
      </c>
      <c r="E184" s="1" t="e">
        <f>VLOOKUP($A184,[2]TeamRtg!$A$2:$E$366,4,FALSE)</f>
        <v>#N/A</v>
      </c>
      <c r="F184" s="1" t="e">
        <f>VLOOKUP($A184,[2]TeamRtg!$A$2:$E$366,5,FALSE)</f>
        <v>#N/A</v>
      </c>
    </row>
    <row r="185" spans="1:6" x14ac:dyDescent="0.2">
      <c r="A185" s="1" t="s">
        <v>155</v>
      </c>
      <c r="B185" s="3">
        <f ca="1">VLOOKUP(A185,[1]TeamRtg!$A$3:$G$367,7,FALSE)</f>
        <v>-0.14689296387874312</v>
      </c>
      <c r="C185" s="1">
        <f t="shared" ca="1" si="4"/>
        <v>184</v>
      </c>
      <c r="D185" s="1">
        <f t="shared" ca="1" si="5"/>
        <v>184</v>
      </c>
      <c r="E185" s="1" t="e">
        <f>VLOOKUP($A185,[2]TeamRtg!$A$2:$E$366,4,FALSE)</f>
        <v>#N/A</v>
      </c>
      <c r="F185" s="1" t="e">
        <f>VLOOKUP($A185,[2]TeamRtg!$A$2:$E$366,5,FALSE)</f>
        <v>#N/A</v>
      </c>
    </row>
    <row r="186" spans="1:6" x14ac:dyDescent="0.2">
      <c r="A186" s="1" t="s">
        <v>181</v>
      </c>
      <c r="B186" s="3">
        <f ca="1">VLOOKUP(A186,[1]TeamRtg!$A$3:$G$367,7,FALSE)</f>
        <v>-0.15127017183653868</v>
      </c>
      <c r="C186" s="1">
        <f t="shared" ca="1" si="4"/>
        <v>185</v>
      </c>
      <c r="D186" s="1">
        <f t="shared" ca="1" si="5"/>
        <v>185</v>
      </c>
      <c r="E186" s="1" t="e">
        <f>VLOOKUP($A186,[2]TeamRtg!$A$2:$E$366,4,FALSE)</f>
        <v>#N/A</v>
      </c>
      <c r="F186" s="1" t="e">
        <f>VLOOKUP($A186,[2]TeamRtg!$A$2:$E$366,5,FALSE)</f>
        <v>#N/A</v>
      </c>
    </row>
    <row r="187" spans="1:6" x14ac:dyDescent="0.2">
      <c r="A187" s="1" t="s">
        <v>178</v>
      </c>
      <c r="B187" s="3">
        <f ca="1">VLOOKUP(A187,[1]TeamRtg!$A$3:$G$367,7,FALSE)</f>
        <v>-0.17766521761574069</v>
      </c>
      <c r="C187" s="1">
        <f t="shared" ca="1" si="4"/>
        <v>186</v>
      </c>
      <c r="D187" s="1">
        <f t="shared" ca="1" si="5"/>
        <v>186</v>
      </c>
      <c r="E187" s="1" t="e">
        <f>VLOOKUP($A187,[2]TeamRtg!$A$2:$E$366,4,FALSE)</f>
        <v>#N/A</v>
      </c>
      <c r="F187" s="1" t="e">
        <f>VLOOKUP($A187,[2]TeamRtg!$A$2:$E$366,5,FALSE)</f>
        <v>#N/A</v>
      </c>
    </row>
    <row r="188" spans="1:6" x14ac:dyDescent="0.2">
      <c r="A188" s="1" t="s">
        <v>58</v>
      </c>
      <c r="B188" s="3">
        <f ca="1">VLOOKUP(A188,[1]TeamRtg!$A$3:$G$367,7,FALSE)</f>
        <v>-0.17881272442477938</v>
      </c>
      <c r="C188" s="1">
        <f t="shared" ca="1" si="4"/>
        <v>187</v>
      </c>
      <c r="D188" s="1">
        <f t="shared" ca="1" si="5"/>
        <v>187</v>
      </c>
      <c r="E188" s="1" t="e">
        <f>VLOOKUP($A188,[2]TeamRtg!$A$2:$E$366,4,FALSE)</f>
        <v>#N/A</v>
      </c>
      <c r="F188" s="1" t="e">
        <f>VLOOKUP($A188,[2]TeamRtg!$A$2:$E$366,5,FALSE)</f>
        <v>#N/A</v>
      </c>
    </row>
    <row r="189" spans="1:6" x14ac:dyDescent="0.2">
      <c r="A189" s="1" t="s">
        <v>206</v>
      </c>
      <c r="B189" s="3">
        <f ca="1">VLOOKUP(A189,[1]TeamRtg!$A$3:$G$367,7,FALSE)</f>
        <v>-0.19000670141315187</v>
      </c>
      <c r="C189" s="1">
        <f t="shared" ca="1" si="4"/>
        <v>188</v>
      </c>
      <c r="D189" s="1">
        <f t="shared" ca="1" si="5"/>
        <v>188</v>
      </c>
      <c r="E189" s="1" t="e">
        <f>VLOOKUP($A189,[2]TeamRtg!$A$2:$E$366,4,FALSE)</f>
        <v>#N/A</v>
      </c>
      <c r="F189" s="1" t="e">
        <f>VLOOKUP($A189,[2]TeamRtg!$A$2:$E$366,5,FALSE)</f>
        <v>#N/A</v>
      </c>
    </row>
    <row r="190" spans="1:6" x14ac:dyDescent="0.2">
      <c r="A190" s="1" t="s">
        <v>165</v>
      </c>
      <c r="B190" s="3">
        <f ca="1">VLOOKUP(A190,[1]TeamRtg!$A$3:$G$367,7,FALSE)</f>
        <v>-0.20023871415577363</v>
      </c>
      <c r="C190" s="1">
        <f t="shared" ca="1" si="4"/>
        <v>189</v>
      </c>
      <c r="D190" s="1">
        <f t="shared" ca="1" si="5"/>
        <v>189</v>
      </c>
      <c r="E190" s="1" t="e">
        <f>VLOOKUP($A190,[2]TeamRtg!$A$2:$E$366,4,FALSE)</f>
        <v>#N/A</v>
      </c>
      <c r="F190" s="1" t="e">
        <f>VLOOKUP($A190,[2]TeamRtg!$A$2:$E$366,5,FALSE)</f>
        <v>#N/A</v>
      </c>
    </row>
    <row r="191" spans="1:6" x14ac:dyDescent="0.2">
      <c r="A191" s="1" t="s">
        <v>217</v>
      </c>
      <c r="B191" s="3">
        <f ca="1">VLOOKUP(A191,[1]TeamRtg!$A$3:$G$367,7,FALSE)</f>
        <v>-0.20025775165120488</v>
      </c>
      <c r="C191" s="1">
        <f t="shared" ca="1" si="4"/>
        <v>190</v>
      </c>
      <c r="D191" s="1">
        <f t="shared" ca="1" si="5"/>
        <v>190</v>
      </c>
      <c r="E191" s="1" t="e">
        <f>VLOOKUP($A191,[2]TeamRtg!$A$2:$E$366,4,FALSE)</f>
        <v>#N/A</v>
      </c>
      <c r="F191" s="1" t="e">
        <f>VLOOKUP($A191,[2]TeamRtg!$A$2:$E$366,5,FALSE)</f>
        <v>#N/A</v>
      </c>
    </row>
    <row r="192" spans="1:6" x14ac:dyDescent="0.2">
      <c r="A192" s="1" t="s">
        <v>211</v>
      </c>
      <c r="B192" s="3">
        <f ca="1">VLOOKUP(A192,[1]TeamRtg!$A$3:$G$367,7,FALSE)</f>
        <v>-0.20035469282158022</v>
      </c>
      <c r="C192" s="1">
        <f t="shared" ca="1" si="4"/>
        <v>191</v>
      </c>
      <c r="D192" s="1">
        <f t="shared" ca="1" si="5"/>
        <v>191</v>
      </c>
      <c r="E192" s="1" t="e">
        <f>VLOOKUP($A192,[2]TeamRtg!$A$2:$E$366,4,FALSE)</f>
        <v>#N/A</v>
      </c>
      <c r="F192" s="1" t="e">
        <f>VLOOKUP($A192,[2]TeamRtg!$A$2:$E$366,5,FALSE)</f>
        <v>#N/A</v>
      </c>
    </row>
    <row r="193" spans="1:6" x14ac:dyDescent="0.2">
      <c r="A193" s="1" t="s">
        <v>240</v>
      </c>
      <c r="B193" s="3">
        <f ca="1">VLOOKUP(A193,[1]TeamRtg!$A$3:$G$367,7,FALSE)</f>
        <v>-0.20469007743960158</v>
      </c>
      <c r="C193" s="1">
        <f t="shared" ca="1" si="4"/>
        <v>192</v>
      </c>
      <c r="D193" s="1">
        <f t="shared" ca="1" si="5"/>
        <v>192</v>
      </c>
      <c r="E193" s="1" t="e">
        <f>VLOOKUP($A193,[2]TeamRtg!$A$2:$E$366,4,FALSE)</f>
        <v>#N/A</v>
      </c>
      <c r="F193" s="1" t="e">
        <f>VLOOKUP($A193,[2]TeamRtg!$A$2:$E$366,5,FALSE)</f>
        <v>#N/A</v>
      </c>
    </row>
    <row r="194" spans="1:6" x14ac:dyDescent="0.2">
      <c r="A194" s="1" t="s">
        <v>175</v>
      </c>
      <c r="B194" s="3">
        <f ca="1">VLOOKUP(A194,[1]TeamRtg!$A$3:$G$367,7,FALSE)</f>
        <v>-0.20896286419833268</v>
      </c>
      <c r="C194" s="1">
        <f t="shared" ref="C194:C257" ca="1" si="6">RANK(B194,$B$2:$B$366)</f>
        <v>193</v>
      </c>
      <c r="D194" s="1">
        <f t="shared" ca="1" si="5"/>
        <v>193</v>
      </c>
      <c r="E194" s="1" t="e">
        <f>VLOOKUP($A194,[2]TeamRtg!$A$2:$E$366,4,FALSE)</f>
        <v>#N/A</v>
      </c>
      <c r="F194" s="1" t="e">
        <f>VLOOKUP($A194,[2]TeamRtg!$A$2:$E$366,5,FALSE)</f>
        <v>#N/A</v>
      </c>
    </row>
    <row r="195" spans="1:6" x14ac:dyDescent="0.2">
      <c r="A195" s="1" t="s">
        <v>306</v>
      </c>
      <c r="B195" s="3">
        <f ca="1">VLOOKUP(A195,[1]TeamRtg!$A$3:$G$367,7,FALSE)</f>
        <v>-0.22454998316887387</v>
      </c>
      <c r="C195" s="1">
        <f t="shared" ca="1" si="6"/>
        <v>194</v>
      </c>
      <c r="D195" s="1">
        <f t="shared" ref="D195:D258" ca="1" si="7">C195</f>
        <v>194</v>
      </c>
      <c r="E195" s="1" t="e">
        <f>VLOOKUP($A195,[2]TeamRtg!$A$2:$E$366,4,FALSE)</f>
        <v>#N/A</v>
      </c>
      <c r="F195" s="1" t="e">
        <f>VLOOKUP($A195,[2]TeamRtg!$A$2:$E$366,5,FALSE)</f>
        <v>#N/A</v>
      </c>
    </row>
    <row r="196" spans="1:6" x14ac:dyDescent="0.2">
      <c r="A196" s="1" t="s">
        <v>255</v>
      </c>
      <c r="B196" s="3">
        <f ca="1">VLOOKUP(A196,[1]TeamRtg!$A$3:$G$367,7,FALSE)</f>
        <v>-0.25324020594101188</v>
      </c>
      <c r="C196" s="1">
        <f t="shared" ca="1" si="6"/>
        <v>195</v>
      </c>
      <c r="D196" s="1">
        <f t="shared" ca="1" si="7"/>
        <v>195</v>
      </c>
      <c r="E196" s="1" t="e">
        <f>VLOOKUP($A196,[2]TeamRtg!$A$2:$E$366,4,FALSE)</f>
        <v>#N/A</v>
      </c>
      <c r="F196" s="1" t="e">
        <f>VLOOKUP($A196,[2]TeamRtg!$A$2:$E$366,5,FALSE)</f>
        <v>#N/A</v>
      </c>
    </row>
    <row r="197" spans="1:6" x14ac:dyDescent="0.2">
      <c r="A197" s="1" t="s">
        <v>288</v>
      </c>
      <c r="B197" s="3">
        <f ca="1">VLOOKUP(A197,[1]TeamRtg!$A$3:$G$367,7,FALSE)</f>
        <v>-0.26288326894967079</v>
      </c>
      <c r="C197" s="1">
        <f t="shared" ca="1" si="6"/>
        <v>196</v>
      </c>
      <c r="D197" s="1">
        <f t="shared" ca="1" si="7"/>
        <v>196</v>
      </c>
      <c r="E197" s="1" t="e">
        <f>VLOOKUP($A197,[2]TeamRtg!$A$2:$E$366,4,FALSE)</f>
        <v>#N/A</v>
      </c>
      <c r="F197" s="1" t="e">
        <f>VLOOKUP($A197,[2]TeamRtg!$A$2:$E$366,5,FALSE)</f>
        <v>#N/A</v>
      </c>
    </row>
    <row r="198" spans="1:6" x14ac:dyDescent="0.2">
      <c r="A198" s="1" t="s">
        <v>204</v>
      </c>
      <c r="B198" s="3">
        <f ca="1">VLOOKUP(A198,[1]TeamRtg!$A$3:$G$367,7,FALSE)</f>
        <v>-0.26446980132879766</v>
      </c>
      <c r="C198" s="1">
        <f t="shared" ca="1" si="6"/>
        <v>197</v>
      </c>
      <c r="D198" s="1">
        <f t="shared" ca="1" si="7"/>
        <v>197</v>
      </c>
      <c r="E198" s="1" t="e">
        <f>VLOOKUP($A198,[2]TeamRtg!$A$2:$E$366,4,FALSE)</f>
        <v>#N/A</v>
      </c>
      <c r="F198" s="1" t="e">
        <f>VLOOKUP($A198,[2]TeamRtg!$A$2:$E$366,5,FALSE)</f>
        <v>#N/A</v>
      </c>
    </row>
    <row r="199" spans="1:6" x14ac:dyDescent="0.2">
      <c r="A199" s="1" t="s">
        <v>294</v>
      </c>
      <c r="B199" s="3">
        <f ca="1">VLOOKUP(A199,[1]TeamRtg!$A$3:$G$367,7,FALSE)</f>
        <v>-0.2695748716653813</v>
      </c>
      <c r="C199" s="1">
        <f t="shared" ca="1" si="6"/>
        <v>198</v>
      </c>
      <c r="D199" s="1">
        <f t="shared" ca="1" si="7"/>
        <v>198</v>
      </c>
      <c r="E199" s="1" t="e">
        <f>VLOOKUP($A199,[2]TeamRtg!$A$2:$E$366,4,FALSE)</f>
        <v>#N/A</v>
      </c>
      <c r="F199" s="1" t="e">
        <f>VLOOKUP($A199,[2]TeamRtg!$A$2:$E$366,5,FALSE)</f>
        <v>#N/A</v>
      </c>
    </row>
    <row r="200" spans="1:6" x14ac:dyDescent="0.2">
      <c r="A200" s="1" t="s">
        <v>318</v>
      </c>
      <c r="B200" s="3">
        <f ca="1">VLOOKUP(A200,[1]TeamRtg!$A$3:$G$367,7,FALSE)</f>
        <v>-0.27527640928387109</v>
      </c>
      <c r="C200" s="1">
        <f t="shared" ca="1" si="6"/>
        <v>199</v>
      </c>
      <c r="D200" s="1">
        <f t="shared" ca="1" si="7"/>
        <v>199</v>
      </c>
      <c r="E200" s="1" t="e">
        <f>VLOOKUP($A200,[2]TeamRtg!$A$2:$E$366,4,FALSE)</f>
        <v>#N/A</v>
      </c>
      <c r="F200" s="1" t="e">
        <f>VLOOKUP($A200,[2]TeamRtg!$A$2:$E$366,5,FALSE)</f>
        <v>#N/A</v>
      </c>
    </row>
    <row r="201" spans="1:6" x14ac:dyDescent="0.2">
      <c r="A201" s="1" t="s">
        <v>202</v>
      </c>
      <c r="B201" s="3">
        <f ca="1">VLOOKUP(A201,[1]TeamRtg!$A$3:$G$367,7,FALSE)</f>
        <v>-0.27856072145035959</v>
      </c>
      <c r="C201" s="1">
        <f t="shared" ca="1" si="6"/>
        <v>200</v>
      </c>
      <c r="D201" s="1">
        <f t="shared" ca="1" si="7"/>
        <v>200</v>
      </c>
      <c r="E201" s="1" t="e">
        <f>VLOOKUP($A201,[2]TeamRtg!$A$2:$E$366,4,FALSE)</f>
        <v>#N/A</v>
      </c>
      <c r="F201" s="1" t="e">
        <f>VLOOKUP($A201,[2]TeamRtg!$A$2:$E$366,5,FALSE)</f>
        <v>#N/A</v>
      </c>
    </row>
    <row r="202" spans="1:6" x14ac:dyDescent="0.2">
      <c r="A202" s="1" t="s">
        <v>277</v>
      </c>
      <c r="B202" s="3">
        <f ca="1">VLOOKUP(A202,[1]TeamRtg!$A$3:$G$367,7,FALSE)</f>
        <v>-0.27913092117390464</v>
      </c>
      <c r="C202" s="1">
        <f t="shared" ca="1" si="6"/>
        <v>201</v>
      </c>
      <c r="D202" s="1">
        <f t="shared" ca="1" si="7"/>
        <v>201</v>
      </c>
      <c r="E202" s="1" t="e">
        <f>VLOOKUP($A202,[2]TeamRtg!$A$2:$E$366,4,FALSE)</f>
        <v>#N/A</v>
      </c>
      <c r="F202" s="1" t="e">
        <f>VLOOKUP($A202,[2]TeamRtg!$A$2:$E$366,5,FALSE)</f>
        <v>#N/A</v>
      </c>
    </row>
    <row r="203" spans="1:6" x14ac:dyDescent="0.2">
      <c r="A203" s="1" t="s">
        <v>236</v>
      </c>
      <c r="B203" s="3">
        <f ca="1">VLOOKUP(A203,[1]TeamRtg!$A$3:$G$367,7,FALSE)</f>
        <v>-0.28055694842784734</v>
      </c>
      <c r="C203" s="1">
        <f t="shared" ca="1" si="6"/>
        <v>202</v>
      </c>
      <c r="D203" s="1">
        <f t="shared" ca="1" si="7"/>
        <v>202</v>
      </c>
      <c r="E203" s="1" t="e">
        <f>VLOOKUP($A203,[2]TeamRtg!$A$2:$E$366,4,FALSE)</f>
        <v>#N/A</v>
      </c>
      <c r="F203" s="1" t="e">
        <f>VLOOKUP($A203,[2]TeamRtg!$A$2:$E$366,5,FALSE)</f>
        <v>#N/A</v>
      </c>
    </row>
    <row r="204" spans="1:6" x14ac:dyDescent="0.2">
      <c r="A204" s="1" t="s">
        <v>111</v>
      </c>
      <c r="B204" s="3">
        <f ca="1">VLOOKUP(A204,[1]TeamRtg!$A$3:$G$367,7,FALSE)</f>
        <v>-0.28312850070509143</v>
      </c>
      <c r="C204" s="1">
        <f t="shared" ca="1" si="6"/>
        <v>203</v>
      </c>
      <c r="D204" s="1">
        <f t="shared" ca="1" si="7"/>
        <v>203</v>
      </c>
      <c r="E204" s="1" t="e">
        <f>VLOOKUP($A204,[2]TeamRtg!$A$2:$E$366,4,FALSE)</f>
        <v>#N/A</v>
      </c>
      <c r="F204" s="1" t="e">
        <f>VLOOKUP($A204,[2]TeamRtg!$A$2:$E$366,5,FALSE)</f>
        <v>#N/A</v>
      </c>
    </row>
    <row r="205" spans="1:6" x14ac:dyDescent="0.2">
      <c r="A205" s="1" t="s">
        <v>242</v>
      </c>
      <c r="B205" s="3">
        <f ca="1">VLOOKUP(A205,[1]TeamRtg!$A$3:$G$367,7,FALSE)</f>
        <v>-0.28715211736307478</v>
      </c>
      <c r="C205" s="1">
        <f t="shared" ca="1" si="6"/>
        <v>204</v>
      </c>
      <c r="D205" s="1">
        <f t="shared" ca="1" si="7"/>
        <v>204</v>
      </c>
      <c r="E205" s="1" t="e">
        <f>VLOOKUP($A205,[2]TeamRtg!$A$2:$E$366,4,FALSE)</f>
        <v>#N/A</v>
      </c>
      <c r="F205" s="1" t="e">
        <f>VLOOKUP($A205,[2]TeamRtg!$A$2:$E$366,5,FALSE)</f>
        <v>#N/A</v>
      </c>
    </row>
    <row r="206" spans="1:6" x14ac:dyDescent="0.2">
      <c r="A206" s="1" t="s">
        <v>283</v>
      </c>
      <c r="B206" s="3">
        <f ca="1">VLOOKUP(A206,[1]TeamRtg!$A$3:$G$367,7,FALSE)</f>
        <v>-0.29202478766696277</v>
      </c>
      <c r="C206" s="1">
        <f t="shared" ca="1" si="6"/>
        <v>205</v>
      </c>
      <c r="D206" s="1">
        <f t="shared" ca="1" si="7"/>
        <v>205</v>
      </c>
      <c r="E206" s="1" t="e">
        <f>VLOOKUP($A206,[2]TeamRtg!$A$2:$E$366,4,FALSE)</f>
        <v>#N/A</v>
      </c>
      <c r="F206" s="1" t="e">
        <f>VLOOKUP($A206,[2]TeamRtg!$A$2:$E$366,5,FALSE)</f>
        <v>#N/A</v>
      </c>
    </row>
    <row r="207" spans="1:6" x14ac:dyDescent="0.2">
      <c r="A207" s="1" t="s">
        <v>161</v>
      </c>
      <c r="B207" s="3">
        <f ca="1">VLOOKUP(A207,[1]TeamRtg!$A$3:$G$367,7,FALSE)</f>
        <v>-0.29691728294072844</v>
      </c>
      <c r="C207" s="1">
        <f t="shared" ca="1" si="6"/>
        <v>206</v>
      </c>
      <c r="D207" s="1">
        <f t="shared" ca="1" si="7"/>
        <v>206</v>
      </c>
      <c r="E207" s="1" t="e">
        <f>VLOOKUP($A207,[2]TeamRtg!$A$2:$E$366,4,FALSE)</f>
        <v>#N/A</v>
      </c>
      <c r="F207" s="1" t="e">
        <f>VLOOKUP($A207,[2]TeamRtg!$A$2:$E$366,5,FALSE)</f>
        <v>#N/A</v>
      </c>
    </row>
    <row r="208" spans="1:6" x14ac:dyDescent="0.2">
      <c r="A208" s="1" t="s">
        <v>309</v>
      </c>
      <c r="B208" s="3">
        <f ca="1">VLOOKUP(A208,[1]TeamRtg!$A$3:$G$367,7,FALSE)</f>
        <v>-0.29897314510533701</v>
      </c>
      <c r="C208" s="1">
        <f t="shared" ca="1" si="6"/>
        <v>207</v>
      </c>
      <c r="D208" s="1">
        <f t="shared" ca="1" si="7"/>
        <v>207</v>
      </c>
      <c r="E208" s="1" t="e">
        <f>VLOOKUP($A208,[2]TeamRtg!$A$2:$E$366,4,FALSE)</f>
        <v>#N/A</v>
      </c>
      <c r="F208" s="1" t="e">
        <f>VLOOKUP($A208,[2]TeamRtg!$A$2:$E$366,5,FALSE)</f>
        <v>#N/A</v>
      </c>
    </row>
    <row r="209" spans="1:6" x14ac:dyDescent="0.2">
      <c r="A209" s="1" t="s">
        <v>261</v>
      </c>
      <c r="B209" s="3">
        <f ca="1">VLOOKUP(A209,[1]TeamRtg!$A$3:$G$367,7,FALSE)</f>
        <v>-0.30337991714891643</v>
      </c>
      <c r="C209" s="1">
        <f t="shared" ca="1" si="6"/>
        <v>208</v>
      </c>
      <c r="D209" s="1">
        <f t="shared" ca="1" si="7"/>
        <v>208</v>
      </c>
      <c r="E209" s="1" t="e">
        <f>VLOOKUP($A209,[2]TeamRtg!$A$2:$E$366,4,FALSE)</f>
        <v>#N/A</v>
      </c>
      <c r="F209" s="1" t="e">
        <f>VLOOKUP($A209,[2]TeamRtg!$A$2:$E$366,5,FALSE)</f>
        <v>#N/A</v>
      </c>
    </row>
    <row r="210" spans="1:6" x14ac:dyDescent="0.2">
      <c r="A210" s="1" t="s">
        <v>113</v>
      </c>
      <c r="B210" s="3">
        <f ca="1">VLOOKUP(A210,[1]TeamRtg!$A$3:$G$367,7,FALSE)</f>
        <v>-0.30421932880091879</v>
      </c>
      <c r="C210" s="1">
        <f t="shared" ca="1" si="6"/>
        <v>209</v>
      </c>
      <c r="D210" s="1">
        <f t="shared" ca="1" si="7"/>
        <v>209</v>
      </c>
      <c r="E210" s="1" t="e">
        <f>VLOOKUP($A210,[2]TeamRtg!$A$2:$E$366,4,FALSE)</f>
        <v>#N/A</v>
      </c>
      <c r="F210" s="1" t="e">
        <f>VLOOKUP($A210,[2]TeamRtg!$A$2:$E$366,5,FALSE)</f>
        <v>#N/A</v>
      </c>
    </row>
    <row r="211" spans="1:6" x14ac:dyDescent="0.2">
      <c r="A211" s="1" t="s">
        <v>226</v>
      </c>
      <c r="B211" s="3">
        <f ca="1">VLOOKUP(A211,[1]TeamRtg!$A$3:$G$367,7,FALSE)</f>
        <v>-0.30439551126483061</v>
      </c>
      <c r="C211" s="1">
        <f t="shared" ca="1" si="6"/>
        <v>210</v>
      </c>
      <c r="D211" s="1">
        <f t="shared" ca="1" si="7"/>
        <v>210</v>
      </c>
      <c r="E211" s="1" t="e">
        <f>VLOOKUP($A211,[2]TeamRtg!$A$2:$E$366,4,FALSE)</f>
        <v>#N/A</v>
      </c>
      <c r="F211" s="1" t="e">
        <f>VLOOKUP($A211,[2]TeamRtg!$A$2:$E$366,5,FALSE)</f>
        <v>#N/A</v>
      </c>
    </row>
    <row r="212" spans="1:6" x14ac:dyDescent="0.2">
      <c r="A212" s="1" t="s">
        <v>311</v>
      </c>
      <c r="B212" s="3">
        <f ca="1">VLOOKUP(A212,[1]TeamRtg!$A$3:$G$367,7,FALSE)</f>
        <v>-0.31579190068548296</v>
      </c>
      <c r="C212" s="1">
        <f t="shared" ca="1" si="6"/>
        <v>211</v>
      </c>
      <c r="D212" s="1">
        <f t="shared" ca="1" si="7"/>
        <v>211</v>
      </c>
      <c r="E212" s="1" t="e">
        <f>VLOOKUP($A212,[2]TeamRtg!$A$2:$E$366,4,FALSE)</f>
        <v>#N/A</v>
      </c>
      <c r="F212" s="1" t="e">
        <f>VLOOKUP($A212,[2]TeamRtg!$A$2:$E$366,5,FALSE)</f>
        <v>#N/A</v>
      </c>
    </row>
    <row r="213" spans="1:6" x14ac:dyDescent="0.2">
      <c r="A213" s="1" t="s">
        <v>177</v>
      </c>
      <c r="B213" s="3">
        <f ca="1">VLOOKUP(A213,[1]TeamRtg!$A$3:$G$367,7,FALSE)</f>
        <v>-0.32512599847161844</v>
      </c>
      <c r="C213" s="1">
        <f t="shared" ca="1" si="6"/>
        <v>212</v>
      </c>
      <c r="D213" s="1">
        <f t="shared" ca="1" si="7"/>
        <v>212</v>
      </c>
      <c r="E213" s="1" t="e">
        <f>VLOOKUP($A213,[2]TeamRtg!$A$2:$E$366,4,FALSE)</f>
        <v>#N/A</v>
      </c>
      <c r="F213" s="1" t="e">
        <f>VLOOKUP($A213,[2]TeamRtg!$A$2:$E$366,5,FALSE)</f>
        <v>#N/A</v>
      </c>
    </row>
    <row r="214" spans="1:6" x14ac:dyDescent="0.2">
      <c r="A214" s="1" t="s">
        <v>265</v>
      </c>
      <c r="B214" s="3">
        <f ca="1">VLOOKUP(A214,[1]TeamRtg!$A$3:$G$367,7,FALSE)</f>
        <v>-0.32912400551968324</v>
      </c>
      <c r="C214" s="1">
        <f t="shared" ca="1" si="6"/>
        <v>213</v>
      </c>
      <c r="D214" s="1">
        <f t="shared" ca="1" si="7"/>
        <v>213</v>
      </c>
      <c r="E214" s="1" t="e">
        <f>VLOOKUP($A214,[2]TeamRtg!$A$2:$E$366,4,FALSE)</f>
        <v>#N/A</v>
      </c>
      <c r="F214" s="1" t="e">
        <f>VLOOKUP($A214,[2]TeamRtg!$A$2:$E$366,5,FALSE)</f>
        <v>#N/A</v>
      </c>
    </row>
    <row r="215" spans="1:6" x14ac:dyDescent="0.2">
      <c r="A215" s="1" t="s">
        <v>132</v>
      </c>
      <c r="B215" s="3">
        <f ca="1">VLOOKUP(A215,[1]TeamRtg!$A$3:$G$367,7,FALSE)</f>
        <v>-0.34347987437201793</v>
      </c>
      <c r="C215" s="1">
        <f t="shared" ca="1" si="6"/>
        <v>214</v>
      </c>
      <c r="D215" s="1">
        <f t="shared" ca="1" si="7"/>
        <v>214</v>
      </c>
      <c r="E215" s="1" t="e">
        <f>VLOOKUP($A215,[2]TeamRtg!$A$2:$E$366,4,FALSE)</f>
        <v>#N/A</v>
      </c>
      <c r="F215" s="1" t="e">
        <f>VLOOKUP($A215,[2]TeamRtg!$A$2:$E$366,5,FALSE)</f>
        <v>#N/A</v>
      </c>
    </row>
    <row r="216" spans="1:6" x14ac:dyDescent="0.2">
      <c r="A216" s="1" t="s">
        <v>208</v>
      </c>
      <c r="B216" s="3">
        <f ca="1">VLOOKUP(A216,[1]TeamRtg!$A$3:$G$367,7,FALSE)</f>
        <v>-0.35322937384394926</v>
      </c>
      <c r="C216" s="1">
        <f t="shared" ca="1" si="6"/>
        <v>215</v>
      </c>
      <c r="D216" s="1">
        <f t="shared" ca="1" si="7"/>
        <v>215</v>
      </c>
      <c r="E216" s="1" t="e">
        <f>VLOOKUP($A216,[2]TeamRtg!$A$2:$E$366,4,FALSE)</f>
        <v>#N/A</v>
      </c>
      <c r="F216" s="1" t="e">
        <f>VLOOKUP($A216,[2]TeamRtg!$A$2:$E$366,5,FALSE)</f>
        <v>#N/A</v>
      </c>
    </row>
    <row r="217" spans="1:6" x14ac:dyDescent="0.2">
      <c r="A217" s="1" t="s">
        <v>219</v>
      </c>
      <c r="B217" s="3">
        <f ca="1">VLOOKUP(A217,[1]TeamRtg!$A$3:$G$367,7,FALSE)</f>
        <v>-0.36360955880029971</v>
      </c>
      <c r="C217" s="1">
        <f t="shared" ca="1" si="6"/>
        <v>216</v>
      </c>
      <c r="D217" s="1">
        <f t="shared" ca="1" si="7"/>
        <v>216</v>
      </c>
      <c r="E217" s="1" t="e">
        <f>VLOOKUP($A217,[2]TeamRtg!$A$2:$E$366,4,FALSE)</f>
        <v>#N/A</v>
      </c>
      <c r="F217" s="1" t="e">
        <f>VLOOKUP($A217,[2]TeamRtg!$A$2:$E$366,5,FALSE)</f>
        <v>#N/A</v>
      </c>
    </row>
    <row r="218" spans="1:6" x14ac:dyDescent="0.2">
      <c r="A218" s="1" t="s">
        <v>280</v>
      </c>
      <c r="B218" s="3">
        <f ca="1">VLOOKUP(A218,[1]TeamRtg!$A$3:$G$367,7,FALSE)</f>
        <v>-0.37122654373574687</v>
      </c>
      <c r="C218" s="1">
        <f t="shared" ca="1" si="6"/>
        <v>217</v>
      </c>
      <c r="D218" s="1">
        <f t="shared" ca="1" si="7"/>
        <v>217</v>
      </c>
      <c r="E218" s="1" t="e">
        <f>VLOOKUP($A218,[2]TeamRtg!$A$2:$E$366,4,FALSE)</f>
        <v>#N/A</v>
      </c>
      <c r="F218" s="1" t="e">
        <f>VLOOKUP($A218,[2]TeamRtg!$A$2:$E$366,5,FALSE)</f>
        <v>#N/A</v>
      </c>
    </row>
    <row r="219" spans="1:6" x14ac:dyDescent="0.2">
      <c r="A219" s="1" t="s">
        <v>328</v>
      </c>
      <c r="B219" s="3">
        <f ca="1">VLOOKUP(A219,[1]TeamRtg!$A$3:$G$367,7,FALSE)</f>
        <v>-0.3732637465773444</v>
      </c>
      <c r="C219" s="1">
        <f t="shared" ca="1" si="6"/>
        <v>218</v>
      </c>
      <c r="D219" s="1">
        <f t="shared" ca="1" si="7"/>
        <v>218</v>
      </c>
      <c r="E219" s="1" t="e">
        <f>VLOOKUP($A219,[2]TeamRtg!$A$2:$E$366,4,FALSE)</f>
        <v>#N/A</v>
      </c>
      <c r="F219" s="1" t="e">
        <f>VLOOKUP($A219,[2]TeamRtg!$A$2:$E$366,5,FALSE)</f>
        <v>#N/A</v>
      </c>
    </row>
    <row r="220" spans="1:6" x14ac:dyDescent="0.2">
      <c r="A220" s="1" t="s">
        <v>249</v>
      </c>
      <c r="B220" s="3">
        <f ca="1">VLOOKUP(A220,[1]TeamRtg!$A$3:$G$367,7,FALSE)</f>
        <v>-0.37395133150091947</v>
      </c>
      <c r="C220" s="1">
        <f t="shared" ca="1" si="6"/>
        <v>219</v>
      </c>
      <c r="D220" s="1">
        <f t="shared" ca="1" si="7"/>
        <v>219</v>
      </c>
      <c r="E220" s="1" t="e">
        <f>VLOOKUP($A220,[2]TeamRtg!$A$2:$E$366,4,FALSE)</f>
        <v>#N/A</v>
      </c>
      <c r="F220" s="1" t="e">
        <f>VLOOKUP($A220,[2]TeamRtg!$A$2:$E$366,5,FALSE)</f>
        <v>#N/A</v>
      </c>
    </row>
    <row r="221" spans="1:6" x14ac:dyDescent="0.2">
      <c r="A221" s="1" t="s">
        <v>216</v>
      </c>
      <c r="B221" s="3">
        <f ca="1">VLOOKUP(A221,[1]TeamRtg!$A$3:$G$367,7,FALSE)</f>
        <v>-0.37625944134085137</v>
      </c>
      <c r="C221" s="1">
        <f t="shared" ca="1" si="6"/>
        <v>220</v>
      </c>
      <c r="D221" s="1">
        <f t="shared" ca="1" si="7"/>
        <v>220</v>
      </c>
      <c r="E221" s="1" t="e">
        <f>VLOOKUP($A221,[2]TeamRtg!$A$2:$E$366,4,FALSE)</f>
        <v>#N/A</v>
      </c>
      <c r="F221" s="1" t="e">
        <f>VLOOKUP($A221,[2]TeamRtg!$A$2:$E$366,5,FALSE)</f>
        <v>#N/A</v>
      </c>
    </row>
    <row r="222" spans="1:6" x14ac:dyDescent="0.2">
      <c r="A222" s="1" t="s">
        <v>275</v>
      </c>
      <c r="B222" s="3">
        <f ca="1">VLOOKUP(A222,[1]TeamRtg!$A$3:$G$367,7,FALSE)</f>
        <v>-0.38665172445706625</v>
      </c>
      <c r="C222" s="1">
        <f t="shared" ca="1" si="6"/>
        <v>221</v>
      </c>
      <c r="D222" s="1">
        <f t="shared" ca="1" si="7"/>
        <v>221</v>
      </c>
      <c r="E222" s="1" t="e">
        <f>VLOOKUP($A222,[2]TeamRtg!$A$2:$E$366,4,FALSE)</f>
        <v>#N/A</v>
      </c>
      <c r="F222" s="1" t="e">
        <f>VLOOKUP($A222,[2]TeamRtg!$A$2:$E$366,5,FALSE)</f>
        <v>#N/A</v>
      </c>
    </row>
    <row r="223" spans="1:6" x14ac:dyDescent="0.2">
      <c r="A223" s="1" t="s">
        <v>326</v>
      </c>
      <c r="B223" s="3">
        <f ca="1">VLOOKUP(A223,[1]TeamRtg!$A$3:$G$367,7,FALSE)</f>
        <v>-0.40696467913269402</v>
      </c>
      <c r="C223" s="1">
        <f t="shared" ca="1" si="6"/>
        <v>222</v>
      </c>
      <c r="D223" s="1">
        <f t="shared" ca="1" si="7"/>
        <v>222</v>
      </c>
      <c r="E223" s="1" t="e">
        <f>VLOOKUP($A223,[2]TeamRtg!$A$2:$E$366,4,FALSE)</f>
        <v>#N/A</v>
      </c>
      <c r="F223" s="1" t="e">
        <f>VLOOKUP($A223,[2]TeamRtg!$A$2:$E$366,5,FALSE)</f>
        <v>#N/A</v>
      </c>
    </row>
    <row r="224" spans="1:6" x14ac:dyDescent="0.2">
      <c r="A224" s="1" t="s">
        <v>317</v>
      </c>
      <c r="B224" s="3">
        <f ca="1">VLOOKUP(A224,[1]TeamRtg!$A$3:$G$367,7,FALSE)</f>
        <v>-0.41442078476716604</v>
      </c>
      <c r="C224" s="1">
        <f t="shared" ca="1" si="6"/>
        <v>223</v>
      </c>
      <c r="D224" s="1">
        <f t="shared" ca="1" si="7"/>
        <v>223</v>
      </c>
      <c r="E224" s="1" t="e">
        <f>VLOOKUP($A224,[2]TeamRtg!$A$2:$E$366,4,FALSE)</f>
        <v>#N/A</v>
      </c>
      <c r="F224" s="1" t="e">
        <f>VLOOKUP($A224,[2]TeamRtg!$A$2:$E$366,5,FALSE)</f>
        <v>#N/A</v>
      </c>
    </row>
    <row r="225" spans="1:6" x14ac:dyDescent="0.2">
      <c r="A225" s="1" t="s">
        <v>188</v>
      </c>
      <c r="B225" s="3">
        <f ca="1">VLOOKUP(A225,[1]TeamRtg!$A$3:$G$367,7,FALSE)</f>
        <v>-0.42691311718293035</v>
      </c>
      <c r="C225" s="1">
        <f t="shared" ca="1" si="6"/>
        <v>224</v>
      </c>
      <c r="D225" s="1">
        <f t="shared" ca="1" si="7"/>
        <v>224</v>
      </c>
      <c r="E225" s="1" t="e">
        <f>VLOOKUP($A225,[2]TeamRtg!$A$2:$E$366,4,FALSE)</f>
        <v>#N/A</v>
      </c>
      <c r="F225" s="1" t="e">
        <f>VLOOKUP($A225,[2]TeamRtg!$A$2:$E$366,5,FALSE)</f>
        <v>#N/A</v>
      </c>
    </row>
    <row r="226" spans="1:6" x14ac:dyDescent="0.2">
      <c r="A226" s="1" t="s">
        <v>258</v>
      </c>
      <c r="B226" s="3">
        <f ca="1">VLOOKUP(A226,[1]TeamRtg!$A$3:$G$367,7,FALSE)</f>
        <v>-0.43206741612643207</v>
      </c>
      <c r="C226" s="1">
        <f t="shared" ca="1" si="6"/>
        <v>225</v>
      </c>
      <c r="D226" s="1">
        <f t="shared" ca="1" si="7"/>
        <v>225</v>
      </c>
      <c r="E226" s="1" t="e">
        <f>VLOOKUP($A226,[2]TeamRtg!$A$2:$E$366,4,FALSE)</f>
        <v>#N/A</v>
      </c>
      <c r="F226" s="1" t="e">
        <f>VLOOKUP($A226,[2]TeamRtg!$A$2:$E$366,5,FALSE)</f>
        <v>#N/A</v>
      </c>
    </row>
    <row r="227" spans="1:6" x14ac:dyDescent="0.2">
      <c r="A227" s="1" t="s">
        <v>273</v>
      </c>
      <c r="B227" s="3">
        <f ca="1">VLOOKUP(A227,[1]TeamRtg!$A$3:$G$367,7,FALSE)</f>
        <v>-0.43611307519106129</v>
      </c>
      <c r="C227" s="1">
        <f t="shared" ca="1" si="6"/>
        <v>226</v>
      </c>
      <c r="D227" s="1">
        <f t="shared" ca="1" si="7"/>
        <v>226</v>
      </c>
      <c r="E227" s="1" t="e">
        <f>VLOOKUP($A227,[2]TeamRtg!$A$2:$E$366,4,FALSE)</f>
        <v>#N/A</v>
      </c>
      <c r="F227" s="1" t="e">
        <f>VLOOKUP($A227,[2]TeamRtg!$A$2:$E$366,5,FALSE)</f>
        <v>#N/A</v>
      </c>
    </row>
    <row r="228" spans="1:6" x14ac:dyDescent="0.2">
      <c r="A228" s="1" t="s">
        <v>213</v>
      </c>
      <c r="B228" s="3">
        <f ca="1">VLOOKUP(A228,[1]TeamRtg!$A$3:$G$367,7,FALSE)</f>
        <v>-0.43665294881850375</v>
      </c>
      <c r="C228" s="1">
        <f t="shared" ca="1" si="6"/>
        <v>227</v>
      </c>
      <c r="D228" s="1">
        <f t="shared" ca="1" si="7"/>
        <v>227</v>
      </c>
      <c r="E228" s="1" t="e">
        <f>VLOOKUP($A228,[2]TeamRtg!$A$2:$E$366,4,FALSE)</f>
        <v>#N/A</v>
      </c>
      <c r="F228" s="1" t="e">
        <f>VLOOKUP($A228,[2]TeamRtg!$A$2:$E$366,5,FALSE)</f>
        <v>#N/A</v>
      </c>
    </row>
    <row r="229" spans="1:6" x14ac:dyDescent="0.2">
      <c r="A229" s="1" t="s">
        <v>212</v>
      </c>
      <c r="B229" s="3">
        <f ca="1">VLOOKUP(A229,[1]TeamRtg!$A$3:$G$367,7,FALSE)</f>
        <v>-0.44196251990887186</v>
      </c>
      <c r="C229" s="1">
        <f t="shared" ca="1" si="6"/>
        <v>228</v>
      </c>
      <c r="D229" s="1">
        <f t="shared" ca="1" si="7"/>
        <v>228</v>
      </c>
      <c r="E229" s="1" t="e">
        <f>VLOOKUP($A229,[2]TeamRtg!$A$2:$E$366,4,FALSE)</f>
        <v>#N/A</v>
      </c>
      <c r="F229" s="1" t="e">
        <f>VLOOKUP($A229,[2]TeamRtg!$A$2:$E$366,5,FALSE)</f>
        <v>#N/A</v>
      </c>
    </row>
    <row r="230" spans="1:6" x14ac:dyDescent="0.2">
      <c r="A230" s="1" t="s">
        <v>264</v>
      </c>
      <c r="B230" s="3">
        <f ca="1">VLOOKUP(A230,[1]TeamRtg!$A$3:$G$367,7,FALSE)</f>
        <v>-0.45925592441518492</v>
      </c>
      <c r="C230" s="1">
        <f t="shared" ca="1" si="6"/>
        <v>229</v>
      </c>
      <c r="D230" s="1">
        <f t="shared" ca="1" si="7"/>
        <v>229</v>
      </c>
      <c r="E230" s="1" t="e">
        <f>VLOOKUP($A230,[2]TeamRtg!$A$2:$E$366,4,FALSE)</f>
        <v>#N/A</v>
      </c>
      <c r="F230" s="1" t="e">
        <f>VLOOKUP($A230,[2]TeamRtg!$A$2:$E$366,5,FALSE)</f>
        <v>#N/A</v>
      </c>
    </row>
    <row r="231" spans="1:6" x14ac:dyDescent="0.2">
      <c r="A231" s="1" t="s">
        <v>148</v>
      </c>
      <c r="B231" s="3">
        <f ca="1">VLOOKUP(A231,[1]TeamRtg!$A$3:$G$367,7,FALSE)</f>
        <v>-0.45949224070283545</v>
      </c>
      <c r="C231" s="1">
        <f t="shared" ca="1" si="6"/>
        <v>230</v>
      </c>
      <c r="D231" s="1">
        <f t="shared" ca="1" si="7"/>
        <v>230</v>
      </c>
      <c r="E231" s="1" t="e">
        <f>VLOOKUP($A231,[2]TeamRtg!$A$2:$E$366,4,FALSE)</f>
        <v>#N/A</v>
      </c>
      <c r="F231" s="1" t="e">
        <f>VLOOKUP($A231,[2]TeamRtg!$A$2:$E$366,5,FALSE)</f>
        <v>#N/A</v>
      </c>
    </row>
    <row r="232" spans="1:6" x14ac:dyDescent="0.2">
      <c r="A232" s="1" t="s">
        <v>267</v>
      </c>
      <c r="B232" s="3">
        <f ca="1">VLOOKUP(A232,[1]TeamRtg!$A$3:$G$367,7,FALSE)</f>
        <v>-0.465839320956212</v>
      </c>
      <c r="C232" s="1">
        <f t="shared" ca="1" si="6"/>
        <v>231</v>
      </c>
      <c r="D232" s="1">
        <f t="shared" ca="1" si="7"/>
        <v>231</v>
      </c>
      <c r="E232" s="1" t="e">
        <f>VLOOKUP($A232,[2]TeamRtg!$A$2:$E$366,4,FALSE)</f>
        <v>#N/A</v>
      </c>
      <c r="F232" s="1" t="e">
        <f>VLOOKUP($A232,[2]TeamRtg!$A$2:$E$366,5,FALSE)</f>
        <v>#N/A</v>
      </c>
    </row>
    <row r="233" spans="1:6" x14ac:dyDescent="0.2">
      <c r="A233" s="1" t="s">
        <v>282</v>
      </c>
      <c r="B233" s="3">
        <f ca="1">VLOOKUP(A233,[1]TeamRtg!$A$3:$G$367,7,FALSE)</f>
        <v>-0.46604004712360597</v>
      </c>
      <c r="C233" s="1">
        <f t="shared" ca="1" si="6"/>
        <v>232</v>
      </c>
      <c r="D233" s="1">
        <f t="shared" ca="1" si="7"/>
        <v>232</v>
      </c>
      <c r="E233" s="1" t="e">
        <f>VLOOKUP($A233,[2]TeamRtg!$A$2:$E$366,4,FALSE)</f>
        <v>#N/A</v>
      </c>
      <c r="F233" s="1" t="e">
        <f>VLOOKUP($A233,[2]TeamRtg!$A$2:$E$366,5,FALSE)</f>
        <v>#N/A</v>
      </c>
    </row>
    <row r="234" spans="1:6" x14ac:dyDescent="0.2">
      <c r="A234" s="1" t="s">
        <v>223</v>
      </c>
      <c r="B234" s="3">
        <f ca="1">VLOOKUP(A234,[1]TeamRtg!$A$3:$G$367,7,FALSE)</f>
        <v>-0.46751935747277718</v>
      </c>
      <c r="C234" s="1">
        <f t="shared" ca="1" si="6"/>
        <v>233</v>
      </c>
      <c r="D234" s="1">
        <f t="shared" ca="1" si="7"/>
        <v>233</v>
      </c>
      <c r="E234" s="1" t="e">
        <f>VLOOKUP($A234,[2]TeamRtg!$A$2:$E$366,4,FALSE)</f>
        <v>#N/A</v>
      </c>
      <c r="F234" s="1" t="e">
        <f>VLOOKUP($A234,[2]TeamRtg!$A$2:$E$366,5,FALSE)</f>
        <v>#N/A</v>
      </c>
    </row>
    <row r="235" spans="1:6" x14ac:dyDescent="0.2">
      <c r="A235" s="1" t="s">
        <v>342</v>
      </c>
      <c r="B235" s="3">
        <f ca="1">VLOOKUP(A235,[1]TeamRtg!$A$3:$G$367,7,FALSE)</f>
        <v>-0.47696493511226368</v>
      </c>
      <c r="C235" s="1">
        <f t="shared" ca="1" si="6"/>
        <v>234</v>
      </c>
      <c r="D235" s="1">
        <f t="shared" ca="1" si="7"/>
        <v>234</v>
      </c>
      <c r="E235" s="1" t="e">
        <f>VLOOKUP($A235,[2]TeamRtg!$A$2:$E$366,4,FALSE)</f>
        <v>#N/A</v>
      </c>
      <c r="F235" s="1" t="e">
        <f>VLOOKUP($A235,[2]TeamRtg!$A$2:$E$366,5,FALSE)</f>
        <v>#N/A</v>
      </c>
    </row>
    <row r="236" spans="1:6" x14ac:dyDescent="0.2">
      <c r="A236" s="1" t="s">
        <v>238</v>
      </c>
      <c r="B236" s="3">
        <f ca="1">VLOOKUP(A236,[1]TeamRtg!$A$3:$G$367,7,FALSE)</f>
        <v>-0.48322405470008301</v>
      </c>
      <c r="C236" s="1">
        <f t="shared" ca="1" si="6"/>
        <v>235</v>
      </c>
      <c r="D236" s="1">
        <f t="shared" ca="1" si="7"/>
        <v>235</v>
      </c>
      <c r="E236" s="1" t="e">
        <f>VLOOKUP($A236,[2]TeamRtg!$A$2:$E$366,4,FALSE)</f>
        <v>#N/A</v>
      </c>
      <c r="F236" s="1" t="e">
        <f>VLOOKUP($A236,[2]TeamRtg!$A$2:$E$366,5,FALSE)</f>
        <v>#N/A</v>
      </c>
    </row>
    <row r="237" spans="1:6" x14ac:dyDescent="0.2">
      <c r="A237" s="1" t="s">
        <v>292</v>
      </c>
      <c r="B237" s="3">
        <f ca="1">VLOOKUP(A237,[1]TeamRtg!$A$3:$G$367,7,FALSE)</f>
        <v>-0.48567121779070865</v>
      </c>
      <c r="C237" s="1">
        <f t="shared" ca="1" si="6"/>
        <v>236</v>
      </c>
      <c r="D237" s="1">
        <f t="shared" ca="1" si="7"/>
        <v>236</v>
      </c>
      <c r="E237" s="1" t="e">
        <f>VLOOKUP($A237,[2]TeamRtg!$A$2:$E$366,4,FALSE)</f>
        <v>#N/A</v>
      </c>
      <c r="F237" s="1" t="e">
        <f>VLOOKUP($A237,[2]TeamRtg!$A$2:$E$366,5,FALSE)</f>
        <v>#N/A</v>
      </c>
    </row>
    <row r="238" spans="1:6" x14ac:dyDescent="0.2">
      <c r="A238" s="1" t="s">
        <v>187</v>
      </c>
      <c r="B238" s="3">
        <f ca="1">VLOOKUP(A238,[1]TeamRtg!$A$3:$G$367,7,FALSE)</f>
        <v>-0.49121385277204499</v>
      </c>
      <c r="C238" s="1">
        <f t="shared" ca="1" si="6"/>
        <v>237</v>
      </c>
      <c r="D238" s="1">
        <f t="shared" ca="1" si="7"/>
        <v>237</v>
      </c>
      <c r="E238" s="1" t="e">
        <f>VLOOKUP($A238,[2]TeamRtg!$A$2:$E$366,4,FALSE)</f>
        <v>#N/A</v>
      </c>
      <c r="F238" s="1" t="e">
        <f>VLOOKUP($A238,[2]TeamRtg!$A$2:$E$366,5,FALSE)</f>
        <v>#N/A</v>
      </c>
    </row>
    <row r="239" spans="1:6" x14ac:dyDescent="0.2">
      <c r="A239" s="1" t="s">
        <v>106</v>
      </c>
      <c r="B239" s="3">
        <f ca="1">VLOOKUP(A239,[1]TeamRtg!$A$3:$G$367,7,FALSE)</f>
        <v>-0.49862486579096255</v>
      </c>
      <c r="C239" s="1">
        <f t="shared" ca="1" si="6"/>
        <v>238</v>
      </c>
      <c r="D239" s="1">
        <f t="shared" ca="1" si="7"/>
        <v>238</v>
      </c>
      <c r="E239" s="1" t="e">
        <f>VLOOKUP($A239,[2]TeamRtg!$A$2:$E$366,4,FALSE)</f>
        <v>#N/A</v>
      </c>
      <c r="F239" s="1" t="e">
        <f>VLOOKUP($A239,[2]TeamRtg!$A$2:$E$366,5,FALSE)</f>
        <v>#N/A</v>
      </c>
    </row>
    <row r="240" spans="1:6" x14ac:dyDescent="0.2">
      <c r="A240" s="1" t="s">
        <v>179</v>
      </c>
      <c r="B240" s="3">
        <f ca="1">VLOOKUP(A240,[1]TeamRtg!$A$3:$G$367,7,FALSE)</f>
        <v>-0.50350046682799898</v>
      </c>
      <c r="C240" s="1">
        <f t="shared" ca="1" si="6"/>
        <v>239</v>
      </c>
      <c r="D240" s="1">
        <f t="shared" ca="1" si="7"/>
        <v>239</v>
      </c>
      <c r="E240" s="1" t="e">
        <f>VLOOKUP($A240,[2]TeamRtg!$A$2:$E$366,4,FALSE)</f>
        <v>#N/A</v>
      </c>
      <c r="F240" s="1" t="e">
        <f>VLOOKUP($A240,[2]TeamRtg!$A$2:$E$366,5,FALSE)</f>
        <v>#N/A</v>
      </c>
    </row>
    <row r="241" spans="1:6" x14ac:dyDescent="0.2">
      <c r="A241" s="1" t="s">
        <v>203</v>
      </c>
      <c r="B241" s="3">
        <f ca="1">VLOOKUP(A241,[1]TeamRtg!$A$3:$G$367,7,FALSE)</f>
        <v>-0.50384613759702657</v>
      </c>
      <c r="C241" s="1">
        <f t="shared" ca="1" si="6"/>
        <v>240</v>
      </c>
      <c r="D241" s="1">
        <f t="shared" ca="1" si="7"/>
        <v>240</v>
      </c>
      <c r="E241" s="1" t="e">
        <f>VLOOKUP($A241,[2]TeamRtg!$A$2:$E$366,4,FALSE)</f>
        <v>#N/A</v>
      </c>
      <c r="F241" s="1" t="e">
        <f>VLOOKUP($A241,[2]TeamRtg!$A$2:$E$366,5,FALSE)</f>
        <v>#N/A</v>
      </c>
    </row>
    <row r="242" spans="1:6" x14ac:dyDescent="0.2">
      <c r="A242" s="1" t="s">
        <v>241</v>
      </c>
      <c r="B242" s="3">
        <f ca="1">VLOOKUP(A242,[1]TeamRtg!$A$3:$G$367,7,FALSE)</f>
        <v>-0.51138092620615261</v>
      </c>
      <c r="C242" s="1">
        <f t="shared" ca="1" si="6"/>
        <v>241</v>
      </c>
      <c r="D242" s="1">
        <f t="shared" ca="1" si="7"/>
        <v>241</v>
      </c>
      <c r="E242" s="1" t="e">
        <f>VLOOKUP($A242,[2]TeamRtg!$A$2:$E$366,4,FALSE)</f>
        <v>#N/A</v>
      </c>
      <c r="F242" s="1" t="e">
        <f>VLOOKUP($A242,[2]TeamRtg!$A$2:$E$366,5,FALSE)</f>
        <v>#N/A</v>
      </c>
    </row>
    <row r="243" spans="1:6" x14ac:dyDescent="0.2">
      <c r="A243" s="1" t="s">
        <v>303</v>
      </c>
      <c r="B243" s="3">
        <f ca="1">VLOOKUP(A243,[1]TeamRtg!$A$3:$G$367,7,FALSE)</f>
        <v>-0.51315573618220101</v>
      </c>
      <c r="C243" s="1">
        <f t="shared" ca="1" si="6"/>
        <v>242</v>
      </c>
      <c r="D243" s="1">
        <f t="shared" ca="1" si="7"/>
        <v>242</v>
      </c>
      <c r="E243" s="1" t="e">
        <f>VLOOKUP($A243,[2]TeamRtg!$A$2:$E$366,4,FALSE)</f>
        <v>#N/A</v>
      </c>
      <c r="F243" s="1" t="e">
        <f>VLOOKUP($A243,[2]TeamRtg!$A$2:$E$366,5,FALSE)</f>
        <v>#N/A</v>
      </c>
    </row>
    <row r="244" spans="1:6" x14ac:dyDescent="0.2">
      <c r="A244" s="1" t="s">
        <v>186</v>
      </c>
      <c r="B244" s="3">
        <f ca="1">VLOOKUP(A244,[1]TeamRtg!$A$3:$G$367,7,FALSE)</f>
        <v>-0.51448378571406816</v>
      </c>
      <c r="C244" s="1">
        <f t="shared" ca="1" si="6"/>
        <v>243</v>
      </c>
      <c r="D244" s="1">
        <f t="shared" ca="1" si="7"/>
        <v>243</v>
      </c>
      <c r="E244" s="1" t="e">
        <f>VLOOKUP($A244,[2]TeamRtg!$A$2:$E$366,4,FALSE)</f>
        <v>#N/A</v>
      </c>
      <c r="F244" s="1" t="e">
        <f>VLOOKUP($A244,[2]TeamRtg!$A$2:$E$366,5,FALSE)</f>
        <v>#N/A</v>
      </c>
    </row>
    <row r="245" spans="1:6" x14ac:dyDescent="0.2">
      <c r="A245" s="1" t="s">
        <v>136</v>
      </c>
      <c r="B245" s="3">
        <f ca="1">VLOOKUP(A245,[1]TeamRtg!$A$3:$G$367,7,FALSE)</f>
        <v>-0.515213031043114</v>
      </c>
      <c r="C245" s="1">
        <f t="shared" ca="1" si="6"/>
        <v>244</v>
      </c>
      <c r="D245" s="1">
        <f t="shared" ca="1" si="7"/>
        <v>244</v>
      </c>
      <c r="E245" s="1" t="e">
        <f>VLOOKUP($A245,[2]TeamRtg!$A$2:$E$366,4,FALSE)</f>
        <v>#N/A</v>
      </c>
      <c r="F245" s="1" t="e">
        <f>VLOOKUP($A245,[2]TeamRtg!$A$2:$E$366,5,FALSE)</f>
        <v>#N/A</v>
      </c>
    </row>
    <row r="246" spans="1:6" x14ac:dyDescent="0.2">
      <c r="A246" s="1" t="s">
        <v>169</v>
      </c>
      <c r="B246" s="3">
        <f ca="1">VLOOKUP(A246,[1]TeamRtg!$A$3:$G$367,7,FALSE)</f>
        <v>-0.52446371015324078</v>
      </c>
      <c r="C246" s="1">
        <f t="shared" ca="1" si="6"/>
        <v>245</v>
      </c>
      <c r="D246" s="1">
        <f t="shared" ca="1" si="7"/>
        <v>245</v>
      </c>
      <c r="E246" s="1" t="e">
        <f>VLOOKUP($A246,[2]TeamRtg!$A$2:$E$366,4,FALSE)</f>
        <v>#N/A</v>
      </c>
      <c r="F246" s="1" t="e">
        <f>VLOOKUP($A246,[2]TeamRtg!$A$2:$E$366,5,FALSE)</f>
        <v>#N/A</v>
      </c>
    </row>
    <row r="247" spans="1:6" x14ac:dyDescent="0.2">
      <c r="A247" s="1" t="s">
        <v>173</v>
      </c>
      <c r="B247" s="3">
        <f ca="1">VLOOKUP(A247,[1]TeamRtg!$A$3:$G$367,7,FALSE)</f>
        <v>-0.52770356328975543</v>
      </c>
      <c r="C247" s="1">
        <f t="shared" ca="1" si="6"/>
        <v>246</v>
      </c>
      <c r="D247" s="1">
        <f t="shared" ca="1" si="7"/>
        <v>246</v>
      </c>
      <c r="E247" s="1" t="e">
        <f>VLOOKUP($A247,[2]TeamRtg!$A$2:$E$366,4,FALSE)</f>
        <v>#N/A</v>
      </c>
      <c r="F247" s="1" t="e">
        <f>VLOOKUP($A247,[2]TeamRtg!$A$2:$E$366,5,FALSE)</f>
        <v>#N/A</v>
      </c>
    </row>
    <row r="248" spans="1:6" x14ac:dyDescent="0.2">
      <c r="A248" s="1" t="s">
        <v>174</v>
      </c>
      <c r="B248" s="3">
        <f ca="1">VLOOKUP(A248,[1]TeamRtg!$A$3:$G$367,7,FALSE)</f>
        <v>-0.52882302549608373</v>
      </c>
      <c r="C248" s="1">
        <f t="shared" ca="1" si="6"/>
        <v>247</v>
      </c>
      <c r="D248" s="1">
        <f t="shared" ca="1" si="7"/>
        <v>247</v>
      </c>
      <c r="E248" s="1" t="e">
        <f>VLOOKUP($A248,[2]TeamRtg!$A$2:$E$366,4,FALSE)</f>
        <v>#N/A</v>
      </c>
      <c r="F248" s="1" t="e">
        <f>VLOOKUP($A248,[2]TeamRtg!$A$2:$E$366,5,FALSE)</f>
        <v>#N/A</v>
      </c>
    </row>
    <row r="249" spans="1:6" x14ac:dyDescent="0.2">
      <c r="A249" s="1" t="s">
        <v>235</v>
      </c>
      <c r="B249" s="3">
        <f ca="1">VLOOKUP(A249,[1]TeamRtg!$A$3:$G$367,7,FALSE)</f>
        <v>-0.53034881173489101</v>
      </c>
      <c r="C249" s="1">
        <f t="shared" ca="1" si="6"/>
        <v>248</v>
      </c>
      <c r="D249" s="1">
        <f t="shared" ca="1" si="7"/>
        <v>248</v>
      </c>
      <c r="E249" s="1" t="e">
        <f>VLOOKUP($A249,[2]TeamRtg!$A$2:$E$366,4,FALSE)</f>
        <v>#N/A</v>
      </c>
      <c r="F249" s="1" t="e">
        <f>VLOOKUP($A249,[2]TeamRtg!$A$2:$E$366,5,FALSE)</f>
        <v>#N/A</v>
      </c>
    </row>
    <row r="250" spans="1:6" x14ac:dyDescent="0.2">
      <c r="A250" s="1" t="s">
        <v>253</v>
      </c>
      <c r="B250" s="3">
        <f ca="1">VLOOKUP(A250,[1]TeamRtg!$A$3:$G$367,7,FALSE)</f>
        <v>-0.54182988598239124</v>
      </c>
      <c r="C250" s="1">
        <f t="shared" ca="1" si="6"/>
        <v>249</v>
      </c>
      <c r="D250" s="1">
        <f t="shared" ca="1" si="7"/>
        <v>249</v>
      </c>
      <c r="E250" s="1" t="e">
        <f>VLOOKUP($A250,[2]TeamRtg!$A$2:$E$366,4,FALSE)</f>
        <v>#N/A</v>
      </c>
      <c r="F250" s="1" t="e">
        <f>VLOOKUP($A250,[2]TeamRtg!$A$2:$E$366,5,FALSE)</f>
        <v>#N/A</v>
      </c>
    </row>
    <row r="251" spans="1:6" x14ac:dyDescent="0.2">
      <c r="A251" s="1" t="s">
        <v>244</v>
      </c>
      <c r="B251" s="3">
        <f ca="1">VLOOKUP(A251,[1]TeamRtg!$A$3:$G$367,7,FALSE)</f>
        <v>-0.54195532860239859</v>
      </c>
      <c r="C251" s="1">
        <f t="shared" ca="1" si="6"/>
        <v>250</v>
      </c>
      <c r="D251" s="1">
        <f t="shared" ca="1" si="7"/>
        <v>250</v>
      </c>
      <c r="E251" s="1" t="e">
        <f>VLOOKUP($A251,[2]TeamRtg!$A$2:$E$366,4,FALSE)</f>
        <v>#N/A</v>
      </c>
      <c r="F251" s="1" t="e">
        <f>VLOOKUP($A251,[2]TeamRtg!$A$2:$E$366,5,FALSE)</f>
        <v>#N/A</v>
      </c>
    </row>
    <row r="252" spans="1:6" x14ac:dyDescent="0.2">
      <c r="A252" s="1" t="s">
        <v>308</v>
      </c>
      <c r="B252" s="3">
        <f ca="1">VLOOKUP(A252,[1]TeamRtg!$A$3:$G$367,7,FALSE)</f>
        <v>-0.54427970803526937</v>
      </c>
      <c r="C252" s="1">
        <f t="shared" ca="1" si="6"/>
        <v>251</v>
      </c>
      <c r="D252" s="1">
        <f t="shared" ca="1" si="7"/>
        <v>251</v>
      </c>
      <c r="E252" s="1" t="e">
        <f>VLOOKUP($A252,[2]TeamRtg!$A$2:$E$366,4,FALSE)</f>
        <v>#N/A</v>
      </c>
      <c r="F252" s="1" t="e">
        <f>VLOOKUP($A252,[2]TeamRtg!$A$2:$E$366,5,FALSE)</f>
        <v>#N/A</v>
      </c>
    </row>
    <row r="253" spans="1:6" x14ac:dyDescent="0.2">
      <c r="A253" s="1" t="s">
        <v>218</v>
      </c>
      <c r="B253" s="3">
        <f ca="1">VLOOKUP(A253,[1]TeamRtg!$A$3:$G$367,7,FALSE)</f>
        <v>-0.55773658433734752</v>
      </c>
      <c r="C253" s="1">
        <f t="shared" ca="1" si="6"/>
        <v>252</v>
      </c>
      <c r="D253" s="1">
        <f t="shared" ca="1" si="7"/>
        <v>252</v>
      </c>
      <c r="E253" s="1" t="e">
        <f>VLOOKUP($A253,[2]TeamRtg!$A$2:$E$366,4,FALSE)</f>
        <v>#N/A</v>
      </c>
      <c r="F253" s="1" t="e">
        <f>VLOOKUP($A253,[2]TeamRtg!$A$2:$E$366,5,FALSE)</f>
        <v>#N/A</v>
      </c>
    </row>
    <row r="254" spans="1:6" x14ac:dyDescent="0.2">
      <c r="A254" s="1" t="s">
        <v>313</v>
      </c>
      <c r="B254" s="3">
        <f ca="1">VLOOKUP(A254,[1]TeamRtg!$A$3:$G$367,7,FALSE)</f>
        <v>-0.57257090416869005</v>
      </c>
      <c r="C254" s="1">
        <f t="shared" ca="1" si="6"/>
        <v>253</v>
      </c>
      <c r="D254" s="1">
        <f t="shared" ca="1" si="7"/>
        <v>253</v>
      </c>
      <c r="E254" s="1" t="e">
        <f>VLOOKUP($A254,[2]TeamRtg!$A$2:$E$366,4,FALSE)</f>
        <v>#N/A</v>
      </c>
      <c r="F254" s="1" t="e">
        <f>VLOOKUP($A254,[2]TeamRtg!$A$2:$E$366,5,FALSE)</f>
        <v>#N/A</v>
      </c>
    </row>
    <row r="255" spans="1:6" x14ac:dyDescent="0.2">
      <c r="A255" s="1" t="s">
        <v>289</v>
      </c>
      <c r="B255" s="3">
        <f ca="1">VLOOKUP(A255,[1]TeamRtg!$A$3:$G$367,7,FALSE)</f>
        <v>-0.58264802103946467</v>
      </c>
      <c r="C255" s="1">
        <f t="shared" ca="1" si="6"/>
        <v>254</v>
      </c>
      <c r="D255" s="1">
        <f t="shared" ca="1" si="7"/>
        <v>254</v>
      </c>
      <c r="E255" s="1" t="e">
        <f>VLOOKUP($A255,[2]TeamRtg!$A$2:$E$366,4,FALSE)</f>
        <v>#N/A</v>
      </c>
      <c r="F255" s="1" t="e">
        <f>VLOOKUP($A255,[2]TeamRtg!$A$2:$E$366,5,FALSE)</f>
        <v>#N/A</v>
      </c>
    </row>
    <row r="256" spans="1:6" x14ac:dyDescent="0.2">
      <c r="A256" s="1" t="s">
        <v>133</v>
      </c>
      <c r="B256" s="3">
        <f ca="1">VLOOKUP(A256,[1]TeamRtg!$A$3:$G$367,7,FALSE)</f>
        <v>-0.5860817619786759</v>
      </c>
      <c r="C256" s="1">
        <f t="shared" ca="1" si="6"/>
        <v>255</v>
      </c>
      <c r="D256" s="1">
        <f t="shared" ca="1" si="7"/>
        <v>255</v>
      </c>
      <c r="E256" s="1" t="e">
        <f>VLOOKUP($A256,[2]TeamRtg!$A$2:$E$366,4,FALSE)</f>
        <v>#N/A</v>
      </c>
      <c r="F256" s="1" t="e">
        <f>VLOOKUP($A256,[2]TeamRtg!$A$2:$E$366,5,FALSE)</f>
        <v>#N/A</v>
      </c>
    </row>
    <row r="257" spans="1:6" x14ac:dyDescent="0.2">
      <c r="A257" s="1" t="s">
        <v>272</v>
      </c>
      <c r="B257" s="3">
        <f ca="1">VLOOKUP(A257,[1]TeamRtg!$A$3:$G$367,7,FALSE)</f>
        <v>-0.58955318994081896</v>
      </c>
      <c r="C257" s="1">
        <f t="shared" ca="1" si="6"/>
        <v>256</v>
      </c>
      <c r="D257" s="1">
        <f t="shared" ca="1" si="7"/>
        <v>256</v>
      </c>
      <c r="E257" s="1" t="e">
        <f>VLOOKUP($A257,[2]TeamRtg!$A$2:$E$366,4,FALSE)</f>
        <v>#N/A</v>
      </c>
      <c r="F257" s="1" t="e">
        <f>VLOOKUP($A257,[2]TeamRtg!$A$2:$E$366,5,FALSE)</f>
        <v>#N/A</v>
      </c>
    </row>
    <row r="258" spans="1:6" x14ac:dyDescent="0.2">
      <c r="A258" s="1" t="s">
        <v>209</v>
      </c>
      <c r="B258" s="3">
        <f ca="1">VLOOKUP(A258,[1]TeamRtg!$A$3:$G$367,7,FALSE)</f>
        <v>-0.59263321572373817</v>
      </c>
      <c r="C258" s="1">
        <f t="shared" ref="C258:C321" ca="1" si="8">RANK(B258,$B$2:$B$366)</f>
        <v>257</v>
      </c>
      <c r="D258" s="1">
        <f t="shared" ca="1" si="7"/>
        <v>257</v>
      </c>
      <c r="E258" s="1" t="e">
        <f>VLOOKUP($A258,[2]TeamRtg!$A$2:$E$366,4,FALSE)</f>
        <v>#N/A</v>
      </c>
      <c r="F258" s="1" t="e">
        <f>VLOOKUP($A258,[2]TeamRtg!$A$2:$E$366,5,FALSE)</f>
        <v>#N/A</v>
      </c>
    </row>
    <row r="259" spans="1:6" x14ac:dyDescent="0.2">
      <c r="A259" s="1" t="s">
        <v>172</v>
      </c>
      <c r="B259" s="3">
        <f ca="1">VLOOKUP(A259,[1]TeamRtg!$A$3:$G$367,7,FALSE)</f>
        <v>-0.59745305577276031</v>
      </c>
      <c r="C259" s="1">
        <f t="shared" ca="1" si="8"/>
        <v>258</v>
      </c>
      <c r="D259" s="1">
        <f t="shared" ref="D259:D322" ca="1" si="9">C259</f>
        <v>258</v>
      </c>
      <c r="E259" s="1" t="e">
        <f>VLOOKUP($A259,[2]TeamRtg!$A$2:$E$366,4,FALSE)</f>
        <v>#N/A</v>
      </c>
      <c r="F259" s="1" t="e">
        <f>VLOOKUP($A259,[2]TeamRtg!$A$2:$E$366,5,FALSE)</f>
        <v>#N/A</v>
      </c>
    </row>
    <row r="260" spans="1:6" x14ac:dyDescent="0.2">
      <c r="A260" s="1" t="s">
        <v>144</v>
      </c>
      <c r="B260" s="3">
        <f ca="1">VLOOKUP(A260,[1]TeamRtg!$A$3:$G$367,7,FALSE)</f>
        <v>-0.62111707028100671</v>
      </c>
      <c r="C260" s="1">
        <f t="shared" ca="1" si="8"/>
        <v>259</v>
      </c>
      <c r="D260" s="1">
        <f t="shared" ca="1" si="9"/>
        <v>259</v>
      </c>
      <c r="E260" s="1" t="e">
        <f>VLOOKUP($A260,[2]TeamRtg!$A$2:$E$366,4,FALSE)</f>
        <v>#N/A</v>
      </c>
      <c r="F260" s="1" t="e">
        <f>VLOOKUP($A260,[2]TeamRtg!$A$2:$E$366,5,FALSE)</f>
        <v>#N/A</v>
      </c>
    </row>
    <row r="261" spans="1:6" x14ac:dyDescent="0.2">
      <c r="A261" s="1" t="s">
        <v>341</v>
      </c>
      <c r="B261" s="3">
        <f ca="1">VLOOKUP(A261,[1]TeamRtg!$A$3:$G$367,7,FALSE)</f>
        <v>-0.62349359608890231</v>
      </c>
      <c r="C261" s="1">
        <f t="shared" ca="1" si="8"/>
        <v>260</v>
      </c>
      <c r="D261" s="1">
        <f t="shared" ca="1" si="9"/>
        <v>260</v>
      </c>
      <c r="E261" s="1" t="e">
        <f>VLOOKUP($A261,[2]TeamRtg!$A$2:$E$366,4,FALSE)</f>
        <v>#N/A</v>
      </c>
      <c r="F261" s="1" t="e">
        <f>VLOOKUP($A261,[2]TeamRtg!$A$2:$E$366,5,FALSE)</f>
        <v>#N/A</v>
      </c>
    </row>
    <row r="262" spans="1:6" x14ac:dyDescent="0.2">
      <c r="A262" s="1" t="s">
        <v>262</v>
      </c>
      <c r="B262" s="3">
        <f ca="1">VLOOKUP(A262,[1]TeamRtg!$A$3:$G$367,7,FALSE)</f>
        <v>-0.63434067565139729</v>
      </c>
      <c r="C262" s="1">
        <f t="shared" ca="1" si="8"/>
        <v>261</v>
      </c>
      <c r="D262" s="1">
        <f t="shared" ca="1" si="9"/>
        <v>261</v>
      </c>
      <c r="E262" s="1" t="e">
        <f>VLOOKUP($A262,[2]TeamRtg!$A$2:$E$366,4,FALSE)</f>
        <v>#N/A</v>
      </c>
      <c r="F262" s="1" t="e">
        <f>VLOOKUP($A262,[2]TeamRtg!$A$2:$E$366,5,FALSE)</f>
        <v>#N/A</v>
      </c>
    </row>
    <row r="263" spans="1:6" x14ac:dyDescent="0.2">
      <c r="A263" s="1" t="s">
        <v>231</v>
      </c>
      <c r="B263" s="3">
        <f ca="1">VLOOKUP(A263,[1]TeamRtg!$A$3:$G$367,7,FALSE)</f>
        <v>-0.63689827911800911</v>
      </c>
      <c r="C263" s="1">
        <f t="shared" ca="1" si="8"/>
        <v>262</v>
      </c>
      <c r="D263" s="1">
        <f t="shared" ca="1" si="9"/>
        <v>262</v>
      </c>
      <c r="E263" s="1" t="e">
        <f>VLOOKUP($A263,[2]TeamRtg!$A$2:$E$366,4,FALSE)</f>
        <v>#N/A</v>
      </c>
      <c r="F263" s="1" t="e">
        <f>VLOOKUP($A263,[2]TeamRtg!$A$2:$E$366,5,FALSE)</f>
        <v>#N/A</v>
      </c>
    </row>
    <row r="264" spans="1:6" x14ac:dyDescent="0.2">
      <c r="A264" s="1" t="s">
        <v>232</v>
      </c>
      <c r="B264" s="3">
        <f ca="1">VLOOKUP(A264,[1]TeamRtg!$A$3:$G$367,7,FALSE)</f>
        <v>-0.63756797351596317</v>
      </c>
      <c r="C264" s="1">
        <f t="shared" ca="1" si="8"/>
        <v>263</v>
      </c>
      <c r="D264" s="1">
        <f t="shared" ca="1" si="9"/>
        <v>263</v>
      </c>
      <c r="E264" s="1" t="e">
        <f>VLOOKUP($A264,[2]TeamRtg!$A$2:$E$366,4,FALSE)</f>
        <v>#N/A</v>
      </c>
      <c r="F264" s="1" t="e">
        <f>VLOOKUP($A264,[2]TeamRtg!$A$2:$E$366,5,FALSE)</f>
        <v>#N/A</v>
      </c>
    </row>
    <row r="265" spans="1:6" x14ac:dyDescent="0.2">
      <c r="A265" s="1" t="s">
        <v>314</v>
      </c>
      <c r="B265" s="3">
        <f ca="1">VLOOKUP(A265,[1]TeamRtg!$A$3:$G$367,7,FALSE)</f>
        <v>-0.66785658884267141</v>
      </c>
      <c r="C265" s="1">
        <f t="shared" ca="1" si="8"/>
        <v>264</v>
      </c>
      <c r="D265" s="1">
        <f t="shared" ca="1" si="9"/>
        <v>264</v>
      </c>
      <c r="E265" s="1" t="e">
        <f>VLOOKUP($A265,[2]TeamRtg!$A$2:$E$366,4,FALSE)</f>
        <v>#N/A</v>
      </c>
      <c r="F265" s="1" t="e">
        <f>VLOOKUP($A265,[2]TeamRtg!$A$2:$E$366,5,FALSE)</f>
        <v>#N/A</v>
      </c>
    </row>
    <row r="266" spans="1:6" x14ac:dyDescent="0.2">
      <c r="A266" s="1" t="s">
        <v>320</v>
      </c>
      <c r="B266" s="3">
        <f ca="1">VLOOKUP(A266,[1]TeamRtg!$A$3:$G$367,7,FALSE)</f>
        <v>-0.67237651845972068</v>
      </c>
      <c r="C266" s="1">
        <f t="shared" ca="1" si="8"/>
        <v>265</v>
      </c>
      <c r="D266" s="1">
        <f t="shared" ca="1" si="9"/>
        <v>265</v>
      </c>
      <c r="E266" s="1" t="e">
        <f>VLOOKUP($A266,[2]TeamRtg!$A$2:$E$366,4,FALSE)</f>
        <v>#N/A</v>
      </c>
      <c r="F266" s="1" t="e">
        <f>VLOOKUP($A266,[2]TeamRtg!$A$2:$E$366,5,FALSE)</f>
        <v>#N/A</v>
      </c>
    </row>
    <row r="267" spans="1:6" x14ac:dyDescent="0.2">
      <c r="A267" s="1" t="s">
        <v>243</v>
      </c>
      <c r="B267" s="3">
        <f ca="1">VLOOKUP(A267,[1]TeamRtg!$A$3:$G$367,7,FALSE)</f>
        <v>-0.6815659413460361</v>
      </c>
      <c r="C267" s="1">
        <f t="shared" ca="1" si="8"/>
        <v>266</v>
      </c>
      <c r="D267" s="1">
        <f t="shared" ca="1" si="9"/>
        <v>266</v>
      </c>
      <c r="E267" s="1" t="e">
        <f>VLOOKUP($A267,[2]TeamRtg!$A$2:$E$366,4,FALSE)</f>
        <v>#N/A</v>
      </c>
      <c r="F267" s="1" t="e">
        <f>VLOOKUP($A267,[2]TeamRtg!$A$2:$E$366,5,FALSE)</f>
        <v>#N/A</v>
      </c>
    </row>
    <row r="268" spans="1:6" x14ac:dyDescent="0.2">
      <c r="A268" s="1" t="s">
        <v>246</v>
      </c>
      <c r="B268" s="3">
        <f ca="1">VLOOKUP(A268,[1]TeamRtg!$A$3:$G$367,7,FALSE)</f>
        <v>-0.6817366486783959</v>
      </c>
      <c r="C268" s="1">
        <f t="shared" ca="1" si="8"/>
        <v>267</v>
      </c>
      <c r="D268" s="1">
        <f t="shared" ca="1" si="9"/>
        <v>267</v>
      </c>
      <c r="E268" s="1" t="e">
        <f>VLOOKUP($A268,[2]TeamRtg!$A$2:$E$366,4,FALSE)</f>
        <v>#N/A</v>
      </c>
      <c r="F268" s="1" t="e">
        <f>VLOOKUP($A268,[2]TeamRtg!$A$2:$E$366,5,FALSE)</f>
        <v>#N/A</v>
      </c>
    </row>
    <row r="269" spans="1:6" x14ac:dyDescent="0.2">
      <c r="A269" s="1" t="s">
        <v>298</v>
      </c>
      <c r="B269" s="3">
        <f ca="1">VLOOKUP(A269,[1]TeamRtg!$A$3:$G$367,7,FALSE)</f>
        <v>-0.69228531957195139</v>
      </c>
      <c r="C269" s="1">
        <f t="shared" ca="1" si="8"/>
        <v>268</v>
      </c>
      <c r="D269" s="1">
        <f t="shared" ca="1" si="9"/>
        <v>268</v>
      </c>
      <c r="E269" s="1" t="e">
        <f>VLOOKUP($A269,[2]TeamRtg!$A$2:$E$366,4,FALSE)</f>
        <v>#N/A</v>
      </c>
      <c r="F269" s="1" t="e">
        <f>VLOOKUP($A269,[2]TeamRtg!$A$2:$E$366,5,FALSE)</f>
        <v>#N/A</v>
      </c>
    </row>
    <row r="270" spans="1:6" x14ac:dyDescent="0.2">
      <c r="A270" s="1" t="s">
        <v>278</v>
      </c>
      <c r="B270" s="3">
        <f ca="1">VLOOKUP(A270,[1]TeamRtg!$A$3:$G$367,7,FALSE)</f>
        <v>-0.70321178629688619</v>
      </c>
      <c r="C270" s="1">
        <f t="shared" ca="1" si="8"/>
        <v>269</v>
      </c>
      <c r="D270" s="1">
        <f t="shared" ca="1" si="9"/>
        <v>269</v>
      </c>
      <c r="E270" s="1" t="e">
        <f>VLOOKUP($A270,[2]TeamRtg!$A$2:$E$366,4,FALSE)</f>
        <v>#N/A</v>
      </c>
      <c r="F270" s="1" t="e">
        <f>VLOOKUP($A270,[2]TeamRtg!$A$2:$E$366,5,FALSE)</f>
        <v>#N/A</v>
      </c>
    </row>
    <row r="271" spans="1:6" x14ac:dyDescent="0.2">
      <c r="A271" s="1" t="s">
        <v>201</v>
      </c>
      <c r="B271" s="3">
        <f ca="1">VLOOKUP(A271,[1]TeamRtg!$A$3:$G$367,7,FALSE)</f>
        <v>-0.70376067972266398</v>
      </c>
      <c r="C271" s="1">
        <f t="shared" ca="1" si="8"/>
        <v>270</v>
      </c>
      <c r="D271" s="1">
        <f t="shared" ca="1" si="9"/>
        <v>270</v>
      </c>
      <c r="E271" s="1" t="e">
        <f>VLOOKUP($A271,[2]TeamRtg!$A$2:$E$366,4,FALSE)</f>
        <v>#N/A</v>
      </c>
      <c r="F271" s="1" t="e">
        <f>VLOOKUP($A271,[2]TeamRtg!$A$2:$E$366,5,FALSE)</f>
        <v>#N/A</v>
      </c>
    </row>
    <row r="272" spans="1:6" x14ac:dyDescent="0.2">
      <c r="A272" s="1" t="s">
        <v>214</v>
      </c>
      <c r="B272" s="3">
        <f ca="1">VLOOKUP(A272,[1]TeamRtg!$A$3:$G$367,7,FALSE)</f>
        <v>-0.70733598137170717</v>
      </c>
      <c r="C272" s="1">
        <f t="shared" ca="1" si="8"/>
        <v>271</v>
      </c>
      <c r="D272" s="1">
        <f t="shared" ca="1" si="9"/>
        <v>271</v>
      </c>
      <c r="E272" s="1" t="e">
        <f>VLOOKUP($A272,[2]TeamRtg!$A$2:$E$366,4,FALSE)</f>
        <v>#N/A</v>
      </c>
      <c r="F272" s="1" t="e">
        <f>VLOOKUP($A272,[2]TeamRtg!$A$2:$E$366,5,FALSE)</f>
        <v>#N/A</v>
      </c>
    </row>
    <row r="273" spans="1:6" x14ac:dyDescent="0.2">
      <c r="A273" s="1" t="s">
        <v>304</v>
      </c>
      <c r="B273" s="3">
        <f ca="1">VLOOKUP(A273,[1]TeamRtg!$A$3:$G$367,7,FALSE)</f>
        <v>-0.70767567974816714</v>
      </c>
      <c r="C273" s="1">
        <f t="shared" ca="1" si="8"/>
        <v>272</v>
      </c>
      <c r="D273" s="1">
        <f t="shared" ca="1" si="9"/>
        <v>272</v>
      </c>
      <c r="E273" s="1" t="e">
        <f>VLOOKUP($A273,[2]TeamRtg!$A$2:$E$366,4,FALSE)</f>
        <v>#N/A</v>
      </c>
      <c r="F273" s="1" t="e">
        <f>VLOOKUP($A273,[2]TeamRtg!$A$2:$E$366,5,FALSE)</f>
        <v>#N/A</v>
      </c>
    </row>
    <row r="274" spans="1:6" x14ac:dyDescent="0.2">
      <c r="A274" s="1" t="s">
        <v>279</v>
      </c>
      <c r="B274" s="3">
        <f ca="1">VLOOKUP(A274,[1]TeamRtg!$A$3:$G$367,7,FALSE)</f>
        <v>-0.71486865970913593</v>
      </c>
      <c r="C274" s="1">
        <f t="shared" ca="1" si="8"/>
        <v>273</v>
      </c>
      <c r="D274" s="1">
        <f t="shared" ca="1" si="9"/>
        <v>273</v>
      </c>
      <c r="E274" s="1" t="e">
        <f>VLOOKUP($A274,[2]TeamRtg!$A$2:$E$366,4,FALSE)</f>
        <v>#N/A</v>
      </c>
      <c r="F274" s="1" t="e">
        <f>VLOOKUP($A274,[2]TeamRtg!$A$2:$E$366,5,FALSE)</f>
        <v>#N/A</v>
      </c>
    </row>
    <row r="275" spans="1:6" x14ac:dyDescent="0.2">
      <c r="A275" s="1" t="s">
        <v>234</v>
      </c>
      <c r="B275" s="3">
        <f ca="1">VLOOKUP(A275,[1]TeamRtg!$A$3:$G$367,7,FALSE)</f>
        <v>-0.71640162729908174</v>
      </c>
      <c r="C275" s="1">
        <f t="shared" ca="1" si="8"/>
        <v>274</v>
      </c>
      <c r="D275" s="1">
        <f t="shared" ca="1" si="9"/>
        <v>274</v>
      </c>
      <c r="E275" s="1" t="e">
        <f>VLOOKUP($A275,[2]TeamRtg!$A$2:$E$366,4,FALSE)</f>
        <v>#N/A</v>
      </c>
      <c r="F275" s="1" t="e">
        <f>VLOOKUP($A275,[2]TeamRtg!$A$2:$E$366,5,FALSE)</f>
        <v>#N/A</v>
      </c>
    </row>
    <row r="276" spans="1:6" x14ac:dyDescent="0.2">
      <c r="A276" s="1" t="s">
        <v>163</v>
      </c>
      <c r="B276" s="3">
        <f ca="1">VLOOKUP(A276,[1]TeamRtg!$A$3:$G$367,7,FALSE)</f>
        <v>-0.72273130206610503</v>
      </c>
      <c r="C276" s="1">
        <f t="shared" ca="1" si="8"/>
        <v>275</v>
      </c>
      <c r="D276" s="1">
        <f t="shared" ca="1" si="9"/>
        <v>275</v>
      </c>
      <c r="E276" s="1" t="e">
        <f>VLOOKUP($A276,[2]TeamRtg!$A$2:$E$366,4,FALSE)</f>
        <v>#N/A</v>
      </c>
      <c r="F276" s="1" t="e">
        <f>VLOOKUP($A276,[2]TeamRtg!$A$2:$E$366,5,FALSE)</f>
        <v>#N/A</v>
      </c>
    </row>
    <row r="277" spans="1:6" x14ac:dyDescent="0.2">
      <c r="A277" s="1" t="s">
        <v>327</v>
      </c>
      <c r="B277" s="3">
        <f ca="1">VLOOKUP(A277,[1]TeamRtg!$A$3:$G$367,7,FALSE)</f>
        <v>-0.72796608803177998</v>
      </c>
      <c r="C277" s="1">
        <f t="shared" ca="1" si="8"/>
        <v>276</v>
      </c>
      <c r="D277" s="1">
        <f t="shared" ca="1" si="9"/>
        <v>276</v>
      </c>
      <c r="E277" s="1" t="e">
        <f>VLOOKUP($A277,[2]TeamRtg!$A$2:$E$366,4,FALSE)</f>
        <v>#N/A</v>
      </c>
      <c r="F277" s="1" t="e">
        <f>VLOOKUP($A277,[2]TeamRtg!$A$2:$E$366,5,FALSE)</f>
        <v>#N/A</v>
      </c>
    </row>
    <row r="278" spans="1:6" x14ac:dyDescent="0.2">
      <c r="A278" s="1" t="s">
        <v>182</v>
      </c>
      <c r="B278" s="3">
        <f ca="1">VLOOKUP(A278,[1]TeamRtg!$A$3:$G$367,7,FALSE)</f>
        <v>-0.73554683227934292</v>
      </c>
      <c r="C278" s="1">
        <f t="shared" ca="1" si="8"/>
        <v>277</v>
      </c>
      <c r="D278" s="1">
        <f t="shared" ca="1" si="9"/>
        <v>277</v>
      </c>
      <c r="E278" s="1" t="e">
        <f>VLOOKUP($A278,[2]TeamRtg!$A$2:$E$366,4,FALSE)</f>
        <v>#N/A</v>
      </c>
      <c r="F278" s="1" t="e">
        <f>VLOOKUP($A278,[2]TeamRtg!$A$2:$E$366,5,FALSE)</f>
        <v>#N/A</v>
      </c>
    </row>
    <row r="279" spans="1:6" x14ac:dyDescent="0.2">
      <c r="A279" s="1" t="s">
        <v>215</v>
      </c>
      <c r="B279" s="3">
        <f ca="1">VLOOKUP(A279,[1]TeamRtg!$A$3:$G$367,7,FALSE)</f>
        <v>-0.74080092520195373</v>
      </c>
      <c r="C279" s="1">
        <f t="shared" ca="1" si="8"/>
        <v>278</v>
      </c>
      <c r="D279" s="1">
        <f t="shared" ca="1" si="9"/>
        <v>278</v>
      </c>
      <c r="E279" s="1" t="e">
        <f>VLOOKUP($A279,[2]TeamRtg!$A$2:$E$366,4,FALSE)</f>
        <v>#N/A</v>
      </c>
      <c r="F279" s="1" t="e">
        <f>VLOOKUP($A279,[2]TeamRtg!$A$2:$E$366,5,FALSE)</f>
        <v>#N/A</v>
      </c>
    </row>
    <row r="280" spans="1:6" x14ac:dyDescent="0.2">
      <c r="A280" s="1" t="s">
        <v>315</v>
      </c>
      <c r="B280" s="3">
        <f ca="1">VLOOKUP(A280,[1]TeamRtg!$A$3:$G$367,7,FALSE)</f>
        <v>-0.74229391238874232</v>
      </c>
      <c r="C280" s="1">
        <f t="shared" ca="1" si="8"/>
        <v>279</v>
      </c>
      <c r="D280" s="1">
        <f t="shared" ca="1" si="9"/>
        <v>279</v>
      </c>
      <c r="E280" s="1" t="e">
        <f>VLOOKUP($A280,[2]TeamRtg!$A$2:$E$366,4,FALSE)</f>
        <v>#N/A</v>
      </c>
      <c r="F280" s="1" t="e">
        <f>VLOOKUP($A280,[2]TeamRtg!$A$2:$E$366,5,FALSE)</f>
        <v>#N/A</v>
      </c>
    </row>
    <row r="281" spans="1:6" x14ac:dyDescent="0.2">
      <c r="A281" s="1" t="s">
        <v>237</v>
      </c>
      <c r="B281" s="3">
        <f ca="1">VLOOKUP(A281,[1]TeamRtg!$A$3:$G$367,7,FALSE)</f>
        <v>-0.765009761516241</v>
      </c>
      <c r="C281" s="1">
        <f t="shared" ca="1" si="8"/>
        <v>280</v>
      </c>
      <c r="D281" s="1">
        <f t="shared" ca="1" si="9"/>
        <v>280</v>
      </c>
      <c r="E281" s="1" t="e">
        <f>VLOOKUP($A281,[2]TeamRtg!$A$2:$E$366,4,FALSE)</f>
        <v>#N/A</v>
      </c>
      <c r="F281" s="1" t="e">
        <f>VLOOKUP($A281,[2]TeamRtg!$A$2:$E$366,5,FALSE)</f>
        <v>#N/A</v>
      </c>
    </row>
    <row r="282" spans="1:6" x14ac:dyDescent="0.2">
      <c r="A282" s="1" t="s">
        <v>120</v>
      </c>
      <c r="B282" s="3">
        <f ca="1">VLOOKUP(A282,[1]TeamRtg!$A$3:$G$367,7,FALSE)</f>
        <v>-0.7706228200153088</v>
      </c>
      <c r="C282" s="1">
        <f t="shared" ca="1" si="8"/>
        <v>281</v>
      </c>
      <c r="D282" s="1">
        <f t="shared" ca="1" si="9"/>
        <v>281</v>
      </c>
      <c r="E282" s="1" t="e">
        <f>VLOOKUP($A282,[2]TeamRtg!$A$2:$E$366,4,FALSE)</f>
        <v>#N/A</v>
      </c>
      <c r="F282" s="1" t="e">
        <f>VLOOKUP($A282,[2]TeamRtg!$A$2:$E$366,5,FALSE)</f>
        <v>#N/A</v>
      </c>
    </row>
    <row r="283" spans="1:6" x14ac:dyDescent="0.2">
      <c r="A283" s="1" t="s">
        <v>299</v>
      </c>
      <c r="B283" s="3">
        <f ca="1">VLOOKUP(A283,[1]TeamRtg!$A$3:$G$367,7,FALSE)</f>
        <v>-0.77230399911120617</v>
      </c>
      <c r="C283" s="1">
        <f t="shared" ca="1" si="8"/>
        <v>282</v>
      </c>
      <c r="D283" s="1">
        <f t="shared" ca="1" si="9"/>
        <v>282</v>
      </c>
      <c r="E283" s="1" t="e">
        <f>VLOOKUP($A283,[2]TeamRtg!$A$2:$E$366,4,FALSE)</f>
        <v>#N/A</v>
      </c>
      <c r="F283" s="1" t="e">
        <f>VLOOKUP($A283,[2]TeamRtg!$A$2:$E$366,5,FALSE)</f>
        <v>#N/A</v>
      </c>
    </row>
    <row r="284" spans="1:6" x14ac:dyDescent="0.2">
      <c r="A284" s="1" t="s">
        <v>300</v>
      </c>
      <c r="B284" s="3">
        <f ca="1">VLOOKUP(A284,[1]TeamRtg!$A$3:$G$367,7,FALSE)</f>
        <v>-0.77394267881540035</v>
      </c>
      <c r="C284" s="1">
        <f t="shared" ca="1" si="8"/>
        <v>283</v>
      </c>
      <c r="D284" s="1">
        <f t="shared" ca="1" si="9"/>
        <v>283</v>
      </c>
      <c r="E284" s="1" t="e">
        <f>VLOOKUP($A284,[2]TeamRtg!$A$2:$E$366,4,FALSE)</f>
        <v>#N/A</v>
      </c>
      <c r="F284" s="1" t="e">
        <f>VLOOKUP($A284,[2]TeamRtg!$A$2:$E$366,5,FALSE)</f>
        <v>#N/A</v>
      </c>
    </row>
    <row r="285" spans="1:6" x14ac:dyDescent="0.2">
      <c r="A285" s="1" t="s">
        <v>296</v>
      </c>
      <c r="B285" s="3">
        <f ca="1">VLOOKUP(A285,[1]TeamRtg!$A$3:$G$367,7,FALSE)</f>
        <v>-0.77487241015580555</v>
      </c>
      <c r="C285" s="1">
        <f t="shared" ca="1" si="8"/>
        <v>284</v>
      </c>
      <c r="D285" s="1">
        <f t="shared" ca="1" si="9"/>
        <v>284</v>
      </c>
      <c r="E285" s="1" t="e">
        <f>VLOOKUP($A285,[2]TeamRtg!$A$2:$E$366,4,FALSE)</f>
        <v>#N/A</v>
      </c>
      <c r="F285" s="1" t="e">
        <f>VLOOKUP($A285,[2]TeamRtg!$A$2:$E$366,5,FALSE)</f>
        <v>#N/A</v>
      </c>
    </row>
    <row r="286" spans="1:6" x14ac:dyDescent="0.2">
      <c r="A286" s="1" t="s">
        <v>222</v>
      </c>
      <c r="B286" s="3">
        <f ca="1">VLOOKUP(A286,[1]TeamRtg!$A$3:$G$367,7,FALSE)</f>
        <v>-0.78482009415579745</v>
      </c>
      <c r="C286" s="1">
        <f t="shared" ca="1" si="8"/>
        <v>285</v>
      </c>
      <c r="D286" s="1">
        <f t="shared" ca="1" si="9"/>
        <v>285</v>
      </c>
      <c r="E286" s="1" t="e">
        <f>VLOOKUP($A286,[2]TeamRtg!$A$2:$E$366,4,FALSE)</f>
        <v>#N/A</v>
      </c>
      <c r="F286" s="1" t="e">
        <f>VLOOKUP($A286,[2]TeamRtg!$A$2:$E$366,5,FALSE)</f>
        <v>#N/A</v>
      </c>
    </row>
    <row r="287" spans="1:6" x14ac:dyDescent="0.2">
      <c r="A287" s="1" t="s">
        <v>321</v>
      </c>
      <c r="B287" s="3">
        <f ca="1">VLOOKUP(A287,[1]TeamRtg!$A$3:$G$367,7,FALSE)</f>
        <v>-0.78544759694410493</v>
      </c>
      <c r="C287" s="1">
        <f t="shared" ca="1" si="8"/>
        <v>286</v>
      </c>
      <c r="D287" s="1">
        <f t="shared" ca="1" si="9"/>
        <v>286</v>
      </c>
      <c r="E287" s="1" t="e">
        <f>VLOOKUP($A287,[2]TeamRtg!$A$2:$E$366,4,FALSE)</f>
        <v>#N/A</v>
      </c>
      <c r="F287" s="1" t="e">
        <f>VLOOKUP($A287,[2]TeamRtg!$A$2:$E$366,5,FALSE)</f>
        <v>#N/A</v>
      </c>
    </row>
    <row r="288" spans="1:6" x14ac:dyDescent="0.2">
      <c r="A288" s="1" t="s">
        <v>121</v>
      </c>
      <c r="B288" s="3">
        <f ca="1">VLOOKUP(A288,[1]TeamRtg!$A$3:$G$367,7,FALSE)</f>
        <v>-0.80367244262928839</v>
      </c>
      <c r="C288" s="1">
        <f t="shared" ca="1" si="8"/>
        <v>287</v>
      </c>
      <c r="D288" s="1">
        <f t="shared" ca="1" si="9"/>
        <v>287</v>
      </c>
      <c r="E288" s="1" t="e">
        <f>VLOOKUP($A288,[2]TeamRtg!$A$2:$E$366,4,FALSE)</f>
        <v>#N/A</v>
      </c>
      <c r="F288" s="1" t="e">
        <f>VLOOKUP($A288,[2]TeamRtg!$A$2:$E$366,5,FALSE)</f>
        <v>#N/A</v>
      </c>
    </row>
    <row r="289" spans="1:6" x14ac:dyDescent="0.2">
      <c r="A289" s="1" t="s">
        <v>230</v>
      </c>
      <c r="B289" s="3">
        <f ca="1">VLOOKUP(A289,[1]TeamRtg!$A$3:$G$367,7,FALSE)</f>
        <v>-0.81142181919236855</v>
      </c>
      <c r="C289" s="1">
        <f t="shared" ca="1" si="8"/>
        <v>288</v>
      </c>
      <c r="D289" s="1">
        <f t="shared" ca="1" si="9"/>
        <v>288</v>
      </c>
      <c r="E289" s="1" t="e">
        <f>VLOOKUP($A289,[2]TeamRtg!$A$2:$E$366,4,FALSE)</f>
        <v>#N/A</v>
      </c>
      <c r="F289" s="1" t="e">
        <f>VLOOKUP($A289,[2]TeamRtg!$A$2:$E$366,5,FALSE)</f>
        <v>#N/A</v>
      </c>
    </row>
    <row r="290" spans="1:6" x14ac:dyDescent="0.2">
      <c r="A290" s="1" t="s">
        <v>205</v>
      </c>
      <c r="B290" s="3">
        <f ca="1">VLOOKUP(A290,[1]TeamRtg!$A$3:$G$367,7,FALSE)</f>
        <v>-0.82293881568665295</v>
      </c>
      <c r="C290" s="1">
        <f t="shared" ca="1" si="8"/>
        <v>289</v>
      </c>
      <c r="D290" s="1">
        <f t="shared" ca="1" si="9"/>
        <v>289</v>
      </c>
      <c r="E290" s="1" t="e">
        <f>VLOOKUP($A290,[2]TeamRtg!$A$2:$E$366,4,FALSE)</f>
        <v>#N/A</v>
      </c>
      <c r="F290" s="1" t="e">
        <f>VLOOKUP($A290,[2]TeamRtg!$A$2:$E$366,5,FALSE)</f>
        <v>#N/A</v>
      </c>
    </row>
    <row r="291" spans="1:6" x14ac:dyDescent="0.2">
      <c r="A291" s="1" t="s">
        <v>266</v>
      </c>
      <c r="B291" s="3">
        <f ca="1">VLOOKUP(A291,[1]TeamRtg!$A$3:$G$367,7,FALSE)</f>
        <v>-0.8290147114586508</v>
      </c>
      <c r="C291" s="1">
        <f t="shared" ca="1" si="8"/>
        <v>290</v>
      </c>
      <c r="D291" s="1">
        <f t="shared" ca="1" si="9"/>
        <v>290</v>
      </c>
      <c r="E291" s="1" t="e">
        <f>VLOOKUP($A291,[2]TeamRtg!$A$2:$E$366,4,FALSE)</f>
        <v>#N/A</v>
      </c>
      <c r="F291" s="1" t="e">
        <f>VLOOKUP($A291,[2]TeamRtg!$A$2:$E$366,5,FALSE)</f>
        <v>#N/A</v>
      </c>
    </row>
    <row r="292" spans="1:6" x14ac:dyDescent="0.2">
      <c r="A292" s="1" t="s">
        <v>312</v>
      </c>
      <c r="B292" s="3">
        <f ca="1">VLOOKUP(A292,[1]TeamRtg!$A$3:$G$367,7,FALSE)</f>
        <v>-0.83420329072150101</v>
      </c>
      <c r="C292" s="1">
        <f t="shared" ca="1" si="8"/>
        <v>291</v>
      </c>
      <c r="D292" s="1">
        <f t="shared" ca="1" si="9"/>
        <v>291</v>
      </c>
      <c r="E292" s="1" t="e">
        <f>VLOOKUP($A292,[2]TeamRtg!$A$2:$E$366,4,FALSE)</f>
        <v>#N/A</v>
      </c>
      <c r="F292" s="1" t="e">
        <f>VLOOKUP($A292,[2]TeamRtg!$A$2:$E$366,5,FALSE)</f>
        <v>#N/A</v>
      </c>
    </row>
    <row r="293" spans="1:6" x14ac:dyDescent="0.2">
      <c r="A293" s="1" t="s">
        <v>344</v>
      </c>
      <c r="B293" s="3">
        <f ca="1">VLOOKUP(A293,[1]TeamRtg!$A$3:$G$367,7,FALSE)</f>
        <v>-0.83582999769199318</v>
      </c>
      <c r="C293" s="1">
        <f t="shared" ca="1" si="8"/>
        <v>292</v>
      </c>
      <c r="D293" s="1">
        <f t="shared" ca="1" si="9"/>
        <v>292</v>
      </c>
      <c r="E293" s="1" t="e">
        <f>VLOOKUP($A293,[2]TeamRtg!$A$2:$E$366,4,FALSE)</f>
        <v>#N/A</v>
      </c>
      <c r="F293" s="1" t="e">
        <f>VLOOKUP($A293,[2]TeamRtg!$A$2:$E$366,5,FALSE)</f>
        <v>#N/A</v>
      </c>
    </row>
    <row r="294" spans="1:6" x14ac:dyDescent="0.2">
      <c r="A294" s="1" t="s">
        <v>225</v>
      </c>
      <c r="B294" s="3">
        <f ca="1">VLOOKUP(A294,[1]TeamRtg!$A$3:$G$367,7,FALSE)</f>
        <v>-0.84648752787540882</v>
      </c>
      <c r="C294" s="1">
        <f t="shared" ca="1" si="8"/>
        <v>293</v>
      </c>
      <c r="D294" s="1">
        <f t="shared" ca="1" si="9"/>
        <v>293</v>
      </c>
      <c r="E294" s="1" t="e">
        <f>VLOOKUP($A294,[2]TeamRtg!$A$2:$E$366,4,FALSE)</f>
        <v>#N/A</v>
      </c>
      <c r="F294" s="1" t="e">
        <f>VLOOKUP($A294,[2]TeamRtg!$A$2:$E$366,5,FALSE)</f>
        <v>#N/A</v>
      </c>
    </row>
    <row r="295" spans="1:6" x14ac:dyDescent="0.2">
      <c r="A295" s="1" t="s">
        <v>350</v>
      </c>
      <c r="B295" s="3">
        <f ca="1">VLOOKUP(A295,[1]TeamRtg!$A$3:$G$367,7,FALSE)</f>
        <v>-0.8471285730258904</v>
      </c>
      <c r="C295" s="1">
        <f t="shared" ca="1" si="8"/>
        <v>294</v>
      </c>
      <c r="D295" s="1">
        <f t="shared" ca="1" si="9"/>
        <v>294</v>
      </c>
      <c r="E295" s="1" t="e">
        <f>VLOOKUP($A295,[2]TeamRtg!$A$2:$E$366,4,FALSE)</f>
        <v>#N/A</v>
      </c>
      <c r="F295" s="1" t="e">
        <f>VLOOKUP($A295,[2]TeamRtg!$A$2:$E$366,5,FALSE)</f>
        <v>#N/A</v>
      </c>
    </row>
    <row r="296" spans="1:6" x14ac:dyDescent="0.2">
      <c r="A296" s="1" t="s">
        <v>199</v>
      </c>
      <c r="B296" s="3">
        <f ca="1">VLOOKUP(A296,[1]TeamRtg!$A$3:$G$367,7,FALSE)</f>
        <v>-0.86609707347956433</v>
      </c>
      <c r="C296" s="1">
        <f t="shared" ca="1" si="8"/>
        <v>295</v>
      </c>
      <c r="D296" s="1">
        <f t="shared" ca="1" si="9"/>
        <v>295</v>
      </c>
      <c r="E296" s="1" t="e">
        <f>VLOOKUP($A296,[2]TeamRtg!$A$2:$E$366,4,FALSE)</f>
        <v>#N/A</v>
      </c>
      <c r="F296" s="1" t="e">
        <f>VLOOKUP($A296,[2]TeamRtg!$A$2:$E$366,5,FALSE)</f>
        <v>#N/A</v>
      </c>
    </row>
    <row r="297" spans="1:6" x14ac:dyDescent="0.2">
      <c r="A297" s="1" t="s">
        <v>269</v>
      </c>
      <c r="B297" s="3">
        <f ca="1">VLOOKUP(A297,[1]TeamRtg!$A$3:$G$367,7,FALSE)</f>
        <v>-0.86615243242352324</v>
      </c>
      <c r="C297" s="1">
        <f t="shared" ca="1" si="8"/>
        <v>296</v>
      </c>
      <c r="D297" s="1">
        <f t="shared" ca="1" si="9"/>
        <v>296</v>
      </c>
      <c r="E297" s="1" t="e">
        <f>VLOOKUP($A297,[2]TeamRtg!$A$2:$E$366,4,FALSE)</f>
        <v>#N/A</v>
      </c>
      <c r="F297" s="1" t="e">
        <f>VLOOKUP($A297,[2]TeamRtg!$A$2:$E$366,5,FALSE)</f>
        <v>#N/A</v>
      </c>
    </row>
    <row r="298" spans="1:6" x14ac:dyDescent="0.2">
      <c r="A298" s="1" t="s">
        <v>338</v>
      </c>
      <c r="B298" s="3">
        <f ca="1">VLOOKUP(A298,[1]TeamRtg!$A$3:$G$367,7,FALSE)</f>
        <v>-0.87194187148889768</v>
      </c>
      <c r="C298" s="1">
        <f t="shared" ca="1" si="8"/>
        <v>297</v>
      </c>
      <c r="D298" s="1">
        <f t="shared" ca="1" si="9"/>
        <v>297</v>
      </c>
      <c r="E298" s="1" t="e">
        <f>VLOOKUP($A298,[2]TeamRtg!$A$2:$E$366,4,FALSE)</f>
        <v>#N/A</v>
      </c>
      <c r="F298" s="1" t="e">
        <f>VLOOKUP($A298,[2]TeamRtg!$A$2:$E$366,5,FALSE)</f>
        <v>#N/A</v>
      </c>
    </row>
    <row r="299" spans="1:6" x14ac:dyDescent="0.2">
      <c r="A299" s="1" t="s">
        <v>229</v>
      </c>
      <c r="B299" s="3">
        <f ca="1">VLOOKUP(A299,[1]TeamRtg!$A$3:$G$367,7,FALSE)</f>
        <v>-0.89233952464733945</v>
      </c>
      <c r="C299" s="1">
        <f t="shared" ca="1" si="8"/>
        <v>298</v>
      </c>
      <c r="D299" s="1">
        <f t="shared" ca="1" si="9"/>
        <v>298</v>
      </c>
      <c r="E299" s="1" t="e">
        <f>VLOOKUP($A299,[2]TeamRtg!$A$2:$E$366,4,FALSE)</f>
        <v>#N/A</v>
      </c>
      <c r="F299" s="1" t="e">
        <f>VLOOKUP($A299,[2]TeamRtg!$A$2:$E$366,5,FALSE)</f>
        <v>#N/A</v>
      </c>
    </row>
    <row r="300" spans="1:6" x14ac:dyDescent="0.2">
      <c r="A300" s="1" t="s">
        <v>227</v>
      </c>
      <c r="B300" s="3">
        <f ca="1">VLOOKUP(A300,[1]TeamRtg!$A$3:$G$367,7,FALSE)</f>
        <v>-0.89530012840356477</v>
      </c>
      <c r="C300" s="1">
        <f t="shared" ca="1" si="8"/>
        <v>299</v>
      </c>
      <c r="D300" s="1">
        <f t="shared" ca="1" si="9"/>
        <v>299</v>
      </c>
      <c r="E300" s="1" t="e">
        <f>VLOOKUP($A300,[2]TeamRtg!$A$2:$E$366,4,FALSE)</f>
        <v>#N/A</v>
      </c>
      <c r="F300" s="1" t="e">
        <f>VLOOKUP($A300,[2]TeamRtg!$A$2:$E$366,5,FALSE)</f>
        <v>#N/A</v>
      </c>
    </row>
    <row r="301" spans="1:6" x14ac:dyDescent="0.2">
      <c r="A301" s="1" t="s">
        <v>334</v>
      </c>
      <c r="B301" s="3">
        <f ca="1">VLOOKUP(A301,[1]TeamRtg!$A$3:$G$367,7,FALSE)</f>
        <v>-0.89628899896155367</v>
      </c>
      <c r="C301" s="1">
        <f t="shared" ca="1" si="8"/>
        <v>300</v>
      </c>
      <c r="D301" s="1">
        <f t="shared" ca="1" si="9"/>
        <v>300</v>
      </c>
      <c r="E301" s="1" t="e">
        <f>VLOOKUP($A301,[2]TeamRtg!$A$2:$E$366,4,FALSE)</f>
        <v>#N/A</v>
      </c>
      <c r="F301" s="1" t="e">
        <f>VLOOKUP($A301,[2]TeamRtg!$A$2:$E$366,5,FALSE)</f>
        <v>#N/A</v>
      </c>
    </row>
    <row r="302" spans="1:6" x14ac:dyDescent="0.2">
      <c r="A302" s="1" t="s">
        <v>158</v>
      </c>
      <c r="B302" s="3">
        <f ca="1">VLOOKUP(A302,[1]TeamRtg!$A$3:$G$367,7,FALSE)</f>
        <v>-0.89637637393642411</v>
      </c>
      <c r="C302" s="1">
        <f t="shared" ca="1" si="8"/>
        <v>301</v>
      </c>
      <c r="D302" s="1">
        <f t="shared" ca="1" si="9"/>
        <v>301</v>
      </c>
      <c r="E302" s="1" t="e">
        <f>VLOOKUP($A302,[2]TeamRtg!$A$2:$E$366,4,FALSE)</f>
        <v>#N/A</v>
      </c>
      <c r="F302" s="1" t="e">
        <f>VLOOKUP($A302,[2]TeamRtg!$A$2:$E$366,5,FALSE)</f>
        <v>#N/A</v>
      </c>
    </row>
    <row r="303" spans="1:6" x14ac:dyDescent="0.2">
      <c r="A303" s="1" t="s">
        <v>250</v>
      </c>
      <c r="B303" s="3">
        <f ca="1">VLOOKUP(A303,[1]TeamRtg!$A$3:$G$367,7,FALSE)</f>
        <v>-0.90073440090922385</v>
      </c>
      <c r="C303" s="1">
        <f t="shared" ca="1" si="8"/>
        <v>302</v>
      </c>
      <c r="D303" s="1">
        <f t="shared" ca="1" si="9"/>
        <v>302</v>
      </c>
      <c r="E303" s="1" t="e">
        <f>VLOOKUP($A303,[2]TeamRtg!$A$2:$E$366,4,FALSE)</f>
        <v>#N/A</v>
      </c>
      <c r="F303" s="1" t="e">
        <f>VLOOKUP($A303,[2]TeamRtg!$A$2:$E$366,5,FALSE)</f>
        <v>#N/A</v>
      </c>
    </row>
    <row r="304" spans="1:6" x14ac:dyDescent="0.2">
      <c r="A304" s="1" t="s">
        <v>301</v>
      </c>
      <c r="B304" s="3">
        <f ca="1">VLOOKUP(A304,[1]TeamRtg!$A$3:$G$367,7,FALSE)</f>
        <v>-0.92086290887376487</v>
      </c>
      <c r="C304" s="1">
        <f t="shared" ca="1" si="8"/>
        <v>303</v>
      </c>
      <c r="D304" s="1">
        <f t="shared" ca="1" si="9"/>
        <v>303</v>
      </c>
      <c r="E304" s="1" t="e">
        <f>VLOOKUP($A304,[2]TeamRtg!$A$2:$E$366,4,FALSE)</f>
        <v>#N/A</v>
      </c>
      <c r="F304" s="1" t="e">
        <f>VLOOKUP($A304,[2]TeamRtg!$A$2:$E$366,5,FALSE)</f>
        <v>#N/A</v>
      </c>
    </row>
    <row r="305" spans="1:6" x14ac:dyDescent="0.2">
      <c r="A305" s="1" t="s">
        <v>295</v>
      </c>
      <c r="B305" s="3">
        <f ca="1">VLOOKUP(A305,[1]TeamRtg!$A$3:$G$367,7,FALSE)</f>
        <v>-0.93098418918878278</v>
      </c>
      <c r="C305" s="1">
        <f t="shared" ca="1" si="8"/>
        <v>304</v>
      </c>
      <c r="D305" s="1">
        <f t="shared" ca="1" si="9"/>
        <v>304</v>
      </c>
      <c r="E305" s="1" t="e">
        <f>VLOOKUP($A305,[2]TeamRtg!$A$2:$E$366,4,FALSE)</f>
        <v>#N/A</v>
      </c>
      <c r="F305" s="1" t="e">
        <f>VLOOKUP($A305,[2]TeamRtg!$A$2:$E$366,5,FALSE)</f>
        <v>#N/A</v>
      </c>
    </row>
    <row r="306" spans="1:6" x14ac:dyDescent="0.2">
      <c r="A306" s="1" t="s">
        <v>260</v>
      </c>
      <c r="B306" s="3">
        <f ca="1">VLOOKUP(A306,[1]TeamRtg!$A$3:$G$367,7,FALSE)</f>
        <v>-0.93820339075300552</v>
      </c>
      <c r="C306" s="1">
        <f t="shared" ca="1" si="8"/>
        <v>305</v>
      </c>
      <c r="D306" s="1">
        <f t="shared" ca="1" si="9"/>
        <v>305</v>
      </c>
      <c r="E306" s="1" t="e">
        <f>VLOOKUP($A306,[2]TeamRtg!$A$2:$E$366,4,FALSE)</f>
        <v>#N/A</v>
      </c>
      <c r="F306" s="1" t="e">
        <f>VLOOKUP($A306,[2]TeamRtg!$A$2:$E$366,5,FALSE)</f>
        <v>#N/A</v>
      </c>
    </row>
    <row r="307" spans="1:6" x14ac:dyDescent="0.2">
      <c r="A307" s="1" t="s">
        <v>307</v>
      </c>
      <c r="B307" s="3">
        <f ca="1">VLOOKUP(A307,[1]TeamRtg!$A$3:$G$367,7,FALSE)</f>
        <v>-0.95942381597271109</v>
      </c>
      <c r="C307" s="1">
        <f t="shared" ca="1" si="8"/>
        <v>306</v>
      </c>
      <c r="D307" s="1">
        <f t="shared" ca="1" si="9"/>
        <v>306</v>
      </c>
      <c r="E307" s="1" t="e">
        <f>VLOOKUP($A307,[2]TeamRtg!$A$2:$E$366,4,FALSE)</f>
        <v>#N/A</v>
      </c>
      <c r="F307" s="1" t="e">
        <f>VLOOKUP($A307,[2]TeamRtg!$A$2:$E$366,5,FALSE)</f>
        <v>#N/A</v>
      </c>
    </row>
    <row r="308" spans="1:6" x14ac:dyDescent="0.2">
      <c r="A308" s="1" t="s">
        <v>310</v>
      </c>
      <c r="B308" s="3">
        <f ca="1">VLOOKUP(A308,[1]TeamRtg!$A$3:$G$367,7,FALSE)</f>
        <v>-0.96123982610687742</v>
      </c>
      <c r="C308" s="1">
        <f t="shared" ca="1" si="8"/>
        <v>307</v>
      </c>
      <c r="D308" s="1">
        <f t="shared" ca="1" si="9"/>
        <v>307</v>
      </c>
      <c r="E308" s="1" t="e">
        <f>VLOOKUP($A308,[2]TeamRtg!$A$2:$E$366,4,FALSE)</f>
        <v>#N/A</v>
      </c>
      <c r="F308" s="1" t="e">
        <f>VLOOKUP($A308,[2]TeamRtg!$A$2:$E$366,5,FALSE)</f>
        <v>#N/A</v>
      </c>
    </row>
    <row r="309" spans="1:6" x14ac:dyDescent="0.2">
      <c r="A309" s="1" t="s">
        <v>329</v>
      </c>
      <c r="B309" s="3">
        <f ca="1">VLOOKUP(A309,[1]TeamRtg!$A$3:$G$367,7,FALSE)</f>
        <v>-0.96132574580579355</v>
      </c>
      <c r="C309" s="1">
        <f t="shared" ca="1" si="8"/>
        <v>308</v>
      </c>
      <c r="D309" s="1">
        <f t="shared" ca="1" si="9"/>
        <v>308</v>
      </c>
      <c r="E309" s="1" t="e">
        <f>VLOOKUP($A309,[2]TeamRtg!$A$2:$E$366,4,FALSE)</f>
        <v>#N/A</v>
      </c>
      <c r="F309" s="1" t="e">
        <f>VLOOKUP($A309,[2]TeamRtg!$A$2:$E$366,5,FALSE)</f>
        <v>#N/A</v>
      </c>
    </row>
    <row r="310" spans="1:6" x14ac:dyDescent="0.2">
      <c r="A310" s="1" t="s">
        <v>157</v>
      </c>
      <c r="B310" s="3">
        <f ca="1">VLOOKUP(A310,[1]TeamRtg!$A$3:$G$367,7,FALSE)</f>
        <v>-0.96381311655414181</v>
      </c>
      <c r="C310" s="1">
        <f t="shared" ca="1" si="8"/>
        <v>309</v>
      </c>
      <c r="D310" s="1">
        <f t="shared" ca="1" si="9"/>
        <v>309</v>
      </c>
      <c r="E310" s="1" t="e">
        <f>VLOOKUP($A310,[2]TeamRtg!$A$2:$E$366,4,FALSE)</f>
        <v>#N/A</v>
      </c>
      <c r="F310" s="1" t="e">
        <f>VLOOKUP($A310,[2]TeamRtg!$A$2:$E$366,5,FALSE)</f>
        <v>#N/A</v>
      </c>
    </row>
    <row r="311" spans="1:6" x14ac:dyDescent="0.2">
      <c r="A311" s="1" t="s">
        <v>146</v>
      </c>
      <c r="B311" s="3">
        <f ca="1">VLOOKUP(A311,[1]TeamRtg!$A$3:$G$367,7,FALSE)</f>
        <v>-0.97136809019651005</v>
      </c>
      <c r="C311" s="1">
        <f t="shared" ca="1" si="8"/>
        <v>310</v>
      </c>
      <c r="D311" s="1">
        <f t="shared" ca="1" si="9"/>
        <v>310</v>
      </c>
      <c r="E311" s="1" t="e">
        <f>VLOOKUP($A311,[2]TeamRtg!$A$2:$E$366,4,FALSE)</f>
        <v>#N/A</v>
      </c>
      <c r="F311" s="1" t="e">
        <f>VLOOKUP($A311,[2]TeamRtg!$A$2:$E$366,5,FALSE)</f>
        <v>#N/A</v>
      </c>
    </row>
    <row r="312" spans="1:6" x14ac:dyDescent="0.2">
      <c r="A312" s="1" t="s">
        <v>323</v>
      </c>
      <c r="B312" s="3">
        <f ca="1">VLOOKUP(A312,[1]TeamRtg!$A$3:$G$367,7,FALSE)</f>
        <v>-0.99166992705029555</v>
      </c>
      <c r="C312" s="1">
        <f t="shared" ca="1" si="8"/>
        <v>311</v>
      </c>
      <c r="D312" s="1">
        <f t="shared" ca="1" si="9"/>
        <v>311</v>
      </c>
      <c r="E312" s="1" t="e">
        <f>VLOOKUP($A312,[2]TeamRtg!$A$2:$E$366,4,FALSE)</f>
        <v>#N/A</v>
      </c>
      <c r="F312" s="1" t="e">
        <f>VLOOKUP($A312,[2]TeamRtg!$A$2:$E$366,5,FALSE)</f>
        <v>#N/A</v>
      </c>
    </row>
    <row r="313" spans="1:6" x14ac:dyDescent="0.2">
      <c r="A313" s="1" t="s">
        <v>345</v>
      </c>
      <c r="B313" s="3">
        <f ca="1">VLOOKUP(A313,[1]TeamRtg!$A$3:$G$367,7,FALSE)</f>
        <v>-0.99913391116308081</v>
      </c>
      <c r="C313" s="1">
        <f t="shared" ca="1" si="8"/>
        <v>312</v>
      </c>
      <c r="D313" s="1">
        <f t="shared" ca="1" si="9"/>
        <v>312</v>
      </c>
      <c r="E313" s="1" t="e">
        <f>VLOOKUP($A313,[2]TeamRtg!$A$2:$E$366,4,FALSE)</f>
        <v>#N/A</v>
      </c>
      <c r="F313" s="1" t="e">
        <f>VLOOKUP($A313,[2]TeamRtg!$A$2:$E$366,5,FALSE)</f>
        <v>#N/A</v>
      </c>
    </row>
    <row r="314" spans="1:6" x14ac:dyDescent="0.2">
      <c r="A314" s="1" t="s">
        <v>363</v>
      </c>
      <c r="B314" s="3">
        <f ca="1">VLOOKUP(A314,[1]TeamRtg!$A$3:$G$367,7,FALSE)</f>
        <v>-1.0106293242979099</v>
      </c>
      <c r="C314" s="1">
        <f t="shared" ca="1" si="8"/>
        <v>313</v>
      </c>
      <c r="D314" s="1">
        <f t="shared" ca="1" si="9"/>
        <v>313</v>
      </c>
      <c r="E314" s="1" t="e">
        <f>VLOOKUP($A314,[2]TeamRtg!$A$2:$E$366,4,FALSE)</f>
        <v>#N/A</v>
      </c>
      <c r="F314" s="1" t="e">
        <f>VLOOKUP($A314,[2]TeamRtg!$A$2:$E$366,5,FALSE)</f>
        <v>#N/A</v>
      </c>
    </row>
    <row r="315" spans="1:6" x14ac:dyDescent="0.2">
      <c r="A315" s="1" t="s">
        <v>270</v>
      </c>
      <c r="B315" s="3">
        <f ca="1">VLOOKUP(A315,[1]TeamRtg!$A$3:$G$367,7,FALSE)</f>
        <v>-1.0138051672059407</v>
      </c>
      <c r="C315" s="1">
        <f t="shared" ca="1" si="8"/>
        <v>314</v>
      </c>
      <c r="D315" s="1">
        <f t="shared" ca="1" si="9"/>
        <v>314</v>
      </c>
      <c r="E315" s="1" t="e">
        <f>VLOOKUP($A315,[2]TeamRtg!$A$2:$E$366,4,FALSE)</f>
        <v>#N/A</v>
      </c>
      <c r="F315" s="1" t="e">
        <f>VLOOKUP($A315,[2]TeamRtg!$A$2:$E$366,5,FALSE)</f>
        <v>#N/A</v>
      </c>
    </row>
    <row r="316" spans="1:6" x14ac:dyDescent="0.2">
      <c r="A316" s="1" t="s">
        <v>351</v>
      </c>
      <c r="B316" s="3">
        <f ca="1">VLOOKUP(A316,[1]TeamRtg!$A$3:$G$367,7,FALSE)</f>
        <v>-1.0195480426565484</v>
      </c>
      <c r="C316" s="1">
        <f t="shared" ca="1" si="8"/>
        <v>315</v>
      </c>
      <c r="D316" s="1">
        <f t="shared" ca="1" si="9"/>
        <v>315</v>
      </c>
      <c r="E316" s="1" t="e">
        <f>VLOOKUP($A316,[2]TeamRtg!$A$2:$E$366,4,FALSE)</f>
        <v>#N/A</v>
      </c>
      <c r="F316" s="1" t="e">
        <f>VLOOKUP($A316,[2]TeamRtg!$A$2:$E$366,5,FALSE)</f>
        <v>#N/A</v>
      </c>
    </row>
    <row r="317" spans="1:6" x14ac:dyDescent="0.2">
      <c r="A317" s="1" t="s">
        <v>325</v>
      </c>
      <c r="B317" s="3">
        <f ca="1">VLOOKUP(A317,[1]TeamRtg!$A$3:$G$367,7,FALSE)</f>
        <v>-1.0205152991751816</v>
      </c>
      <c r="C317" s="1">
        <f t="shared" ca="1" si="8"/>
        <v>316</v>
      </c>
      <c r="D317" s="1">
        <f t="shared" ca="1" si="9"/>
        <v>316</v>
      </c>
      <c r="E317" s="1" t="e">
        <f>VLOOKUP($A317,[2]TeamRtg!$A$2:$E$366,4,FALSE)</f>
        <v>#N/A</v>
      </c>
      <c r="F317" s="1" t="e">
        <f>VLOOKUP($A317,[2]TeamRtg!$A$2:$E$366,5,FALSE)</f>
        <v>#N/A</v>
      </c>
    </row>
    <row r="318" spans="1:6" x14ac:dyDescent="0.2">
      <c r="A318" s="1" t="s">
        <v>239</v>
      </c>
      <c r="B318" s="3">
        <f ca="1">VLOOKUP(A318,[1]TeamRtg!$A$3:$G$367,7,FALSE)</f>
        <v>-1.0332634174692779</v>
      </c>
      <c r="C318" s="1">
        <f t="shared" ca="1" si="8"/>
        <v>317</v>
      </c>
      <c r="D318" s="1">
        <f t="shared" ca="1" si="9"/>
        <v>317</v>
      </c>
      <c r="E318" s="1" t="e">
        <f>VLOOKUP($A318,[2]TeamRtg!$A$2:$E$366,4,FALSE)</f>
        <v>#N/A</v>
      </c>
      <c r="F318" s="1" t="e">
        <f>VLOOKUP($A318,[2]TeamRtg!$A$2:$E$366,5,FALSE)</f>
        <v>#N/A</v>
      </c>
    </row>
    <row r="319" spans="1:6" x14ac:dyDescent="0.2">
      <c r="A319" s="1" t="s">
        <v>200</v>
      </c>
      <c r="B319" s="3">
        <f ca="1">VLOOKUP(A319,[1]TeamRtg!$A$3:$G$367,7,FALSE)</f>
        <v>-1.0627423558874147</v>
      </c>
      <c r="C319" s="1">
        <f t="shared" ca="1" si="8"/>
        <v>318</v>
      </c>
      <c r="D319" s="1">
        <f t="shared" ca="1" si="9"/>
        <v>318</v>
      </c>
      <c r="E319" s="1" t="e">
        <f>VLOOKUP($A319,[2]TeamRtg!$A$2:$E$366,4,FALSE)</f>
        <v>#N/A</v>
      </c>
      <c r="F319" s="1" t="e">
        <f>VLOOKUP($A319,[2]TeamRtg!$A$2:$E$366,5,FALSE)</f>
        <v>#N/A</v>
      </c>
    </row>
    <row r="320" spans="1:6" x14ac:dyDescent="0.2">
      <c r="A320" s="1" t="s">
        <v>352</v>
      </c>
      <c r="B320" s="3">
        <f ca="1">VLOOKUP(A320,[1]TeamRtg!$A$3:$G$367,7,FALSE)</f>
        <v>-1.0648455936931862</v>
      </c>
      <c r="C320" s="1">
        <f t="shared" ca="1" si="8"/>
        <v>319</v>
      </c>
      <c r="D320" s="1">
        <f t="shared" ca="1" si="9"/>
        <v>319</v>
      </c>
      <c r="E320" s="1" t="e">
        <f>VLOOKUP($A320,[2]TeamRtg!$A$2:$E$366,4,FALSE)</f>
        <v>#N/A</v>
      </c>
      <c r="F320" s="1" t="e">
        <f>VLOOKUP($A320,[2]TeamRtg!$A$2:$E$366,5,FALSE)</f>
        <v>#N/A</v>
      </c>
    </row>
    <row r="321" spans="1:6" x14ac:dyDescent="0.2">
      <c r="A321" s="1" t="s">
        <v>247</v>
      </c>
      <c r="B321" s="3">
        <f ca="1">VLOOKUP(A321,[1]TeamRtg!$A$3:$G$367,7,FALSE)</f>
        <v>-1.0866399218838438</v>
      </c>
      <c r="C321" s="1">
        <f t="shared" ca="1" si="8"/>
        <v>320</v>
      </c>
      <c r="D321" s="1">
        <f t="shared" ca="1" si="9"/>
        <v>320</v>
      </c>
      <c r="E321" s="1" t="e">
        <f>VLOOKUP($A321,[2]TeamRtg!$A$2:$E$366,4,FALSE)</f>
        <v>#N/A</v>
      </c>
      <c r="F321" s="1" t="e">
        <f>VLOOKUP($A321,[2]TeamRtg!$A$2:$E$366,5,FALSE)</f>
        <v>#N/A</v>
      </c>
    </row>
    <row r="322" spans="1:6" x14ac:dyDescent="0.2">
      <c r="A322" s="1" t="s">
        <v>337</v>
      </c>
      <c r="B322" s="3">
        <f ca="1">VLOOKUP(A322,[1]TeamRtg!$A$3:$G$367,7,FALSE)</f>
        <v>-1.0867954097593102</v>
      </c>
      <c r="C322" s="1">
        <f t="shared" ref="C322:C366" ca="1" si="10">RANK(B322,$B$2:$B$366)</f>
        <v>321</v>
      </c>
      <c r="D322" s="1">
        <f t="shared" ca="1" si="9"/>
        <v>321</v>
      </c>
      <c r="E322" s="1" t="e">
        <f>VLOOKUP($A322,[2]TeamRtg!$A$2:$E$366,4,FALSE)</f>
        <v>#N/A</v>
      </c>
      <c r="F322" s="1" t="e">
        <f>VLOOKUP($A322,[2]TeamRtg!$A$2:$E$366,5,FALSE)</f>
        <v>#N/A</v>
      </c>
    </row>
    <row r="323" spans="1:6" x14ac:dyDescent="0.2">
      <c r="A323" s="1" t="s">
        <v>347</v>
      </c>
      <c r="B323" s="3">
        <f ca="1">VLOOKUP(A323,[1]TeamRtg!$A$3:$G$367,7,FALSE)</f>
        <v>-1.0969575099560482</v>
      </c>
      <c r="C323" s="1">
        <f t="shared" ca="1" si="10"/>
        <v>322</v>
      </c>
      <c r="D323" s="1">
        <f t="shared" ref="D323:D366" ca="1" si="11">C323</f>
        <v>322</v>
      </c>
      <c r="E323" s="1" t="e">
        <f>VLOOKUP($A323,[2]TeamRtg!$A$2:$E$366,4,FALSE)</f>
        <v>#N/A</v>
      </c>
      <c r="F323" s="1" t="e">
        <f>VLOOKUP($A323,[2]TeamRtg!$A$2:$E$366,5,FALSE)</f>
        <v>#N/A</v>
      </c>
    </row>
    <row r="324" spans="1:6" x14ac:dyDescent="0.2">
      <c r="A324" s="1" t="s">
        <v>263</v>
      </c>
      <c r="B324" s="3">
        <f ca="1">VLOOKUP(A324,[1]TeamRtg!$A$3:$G$367,7,FALSE)</f>
        <v>-1.1224567560720171</v>
      </c>
      <c r="C324" s="1">
        <f t="shared" ca="1" si="10"/>
        <v>323</v>
      </c>
      <c r="D324" s="1">
        <f t="shared" ca="1" si="11"/>
        <v>323</v>
      </c>
      <c r="E324" s="1" t="e">
        <f>VLOOKUP($A324,[2]TeamRtg!$A$2:$E$366,4,FALSE)</f>
        <v>#N/A</v>
      </c>
      <c r="F324" s="1" t="e">
        <f>VLOOKUP($A324,[2]TeamRtg!$A$2:$E$366,5,FALSE)</f>
        <v>#N/A</v>
      </c>
    </row>
    <row r="325" spans="1:6" x14ac:dyDescent="0.2">
      <c r="A325" s="1" t="s">
        <v>285</v>
      </c>
      <c r="B325" s="3">
        <f ca="1">VLOOKUP(A325,[1]TeamRtg!$A$3:$G$367,7,FALSE)</f>
        <v>-1.1289880682750852</v>
      </c>
      <c r="C325" s="1">
        <f t="shared" ca="1" si="10"/>
        <v>324</v>
      </c>
      <c r="D325" s="1">
        <f t="shared" ca="1" si="11"/>
        <v>324</v>
      </c>
      <c r="E325" s="1" t="e">
        <f>VLOOKUP($A325,[2]TeamRtg!$A$2:$E$366,4,FALSE)</f>
        <v>#N/A</v>
      </c>
      <c r="F325" s="1" t="e">
        <f>VLOOKUP($A325,[2]TeamRtg!$A$2:$E$366,5,FALSE)</f>
        <v>#N/A</v>
      </c>
    </row>
    <row r="326" spans="1:6" x14ac:dyDescent="0.2">
      <c r="A326" s="1" t="s">
        <v>357</v>
      </c>
      <c r="B326" s="3">
        <f ca="1">VLOOKUP(A326,[1]TeamRtg!$A$3:$G$367,7,FALSE)</f>
        <v>-1.1299646574336322</v>
      </c>
      <c r="C326" s="1">
        <f t="shared" ca="1" si="10"/>
        <v>325</v>
      </c>
      <c r="D326" s="1">
        <f t="shared" ca="1" si="11"/>
        <v>325</v>
      </c>
      <c r="E326" s="1" t="e">
        <f>VLOOKUP($A326,[2]TeamRtg!$A$2:$E$366,4,FALSE)</f>
        <v>#N/A</v>
      </c>
      <c r="F326" s="1" t="e">
        <f>VLOOKUP($A326,[2]TeamRtg!$A$2:$E$366,5,FALSE)</f>
        <v>#N/A</v>
      </c>
    </row>
    <row r="327" spans="1:6" x14ac:dyDescent="0.2">
      <c r="A327" s="1" t="s">
        <v>281</v>
      </c>
      <c r="B327" s="3">
        <f ca="1">VLOOKUP(A327,[1]TeamRtg!$A$3:$G$367,7,FALSE)</f>
        <v>-1.1449326144480814</v>
      </c>
      <c r="C327" s="1">
        <f t="shared" ca="1" si="10"/>
        <v>326</v>
      </c>
      <c r="D327" s="1">
        <f t="shared" ca="1" si="11"/>
        <v>326</v>
      </c>
      <c r="E327" s="1" t="e">
        <f>VLOOKUP($A327,[2]TeamRtg!$A$2:$E$366,4,FALSE)</f>
        <v>#N/A</v>
      </c>
      <c r="F327" s="1" t="e">
        <f>VLOOKUP($A327,[2]TeamRtg!$A$2:$E$366,5,FALSE)</f>
        <v>#N/A</v>
      </c>
    </row>
    <row r="328" spans="1:6" x14ac:dyDescent="0.2">
      <c r="A328" s="1" t="s">
        <v>358</v>
      </c>
      <c r="B328" s="3">
        <f ca="1">VLOOKUP(A328,[1]TeamRtg!$A$3:$G$367,7,FALSE)</f>
        <v>-1.1572678152295108</v>
      </c>
      <c r="C328" s="1">
        <f t="shared" ca="1" si="10"/>
        <v>327</v>
      </c>
      <c r="D328" s="1">
        <f t="shared" ca="1" si="11"/>
        <v>327</v>
      </c>
      <c r="E328" s="1" t="e">
        <f>VLOOKUP($A328,[2]TeamRtg!$A$2:$E$366,4,FALSE)</f>
        <v>#N/A</v>
      </c>
      <c r="F328" s="1" t="e">
        <f>VLOOKUP($A328,[2]TeamRtg!$A$2:$E$366,5,FALSE)</f>
        <v>#N/A</v>
      </c>
    </row>
    <row r="329" spans="1:6" x14ac:dyDescent="0.2">
      <c r="A329" s="1" t="s">
        <v>290</v>
      </c>
      <c r="B329" s="3">
        <f ca="1">VLOOKUP(A329,[1]TeamRtg!$A$3:$G$367,7,FALSE)</f>
        <v>-1.176049022204966</v>
      </c>
      <c r="C329" s="1">
        <f t="shared" ca="1" si="10"/>
        <v>328</v>
      </c>
      <c r="D329" s="1">
        <f t="shared" ca="1" si="11"/>
        <v>328</v>
      </c>
      <c r="E329" s="1" t="e">
        <f>VLOOKUP($A329,[2]TeamRtg!$A$2:$E$366,4,FALSE)</f>
        <v>#N/A</v>
      </c>
      <c r="F329" s="1" t="e">
        <f>VLOOKUP($A329,[2]TeamRtg!$A$2:$E$366,5,FALSE)</f>
        <v>#N/A</v>
      </c>
    </row>
    <row r="330" spans="1:6" x14ac:dyDescent="0.2">
      <c r="A330" s="1" t="s">
        <v>362</v>
      </c>
      <c r="B330" s="3">
        <f ca="1">VLOOKUP(A330,[1]TeamRtg!$A$3:$G$367,7,FALSE)</f>
        <v>-1.1890348910895296</v>
      </c>
      <c r="C330" s="1">
        <f t="shared" ca="1" si="10"/>
        <v>329</v>
      </c>
      <c r="D330" s="1">
        <f t="shared" ca="1" si="11"/>
        <v>329</v>
      </c>
      <c r="E330" s="1" t="e">
        <f>VLOOKUP($A330,[2]TeamRtg!$A$2:$E$366,4,FALSE)</f>
        <v>#N/A</v>
      </c>
      <c r="F330" s="1" t="e">
        <f>VLOOKUP($A330,[2]TeamRtg!$A$2:$E$366,5,FALSE)</f>
        <v>#N/A</v>
      </c>
    </row>
    <row r="331" spans="1:6" x14ac:dyDescent="0.2">
      <c r="A331" s="1" t="s">
        <v>343</v>
      </c>
      <c r="B331" s="3">
        <f ca="1">VLOOKUP(A331,[1]TeamRtg!$A$3:$G$367,7,FALSE)</f>
        <v>-1.1892582703833479</v>
      </c>
      <c r="C331" s="1">
        <f t="shared" ca="1" si="10"/>
        <v>330</v>
      </c>
      <c r="D331" s="1">
        <f t="shared" ca="1" si="11"/>
        <v>330</v>
      </c>
      <c r="E331" s="1" t="e">
        <f>VLOOKUP($A331,[2]TeamRtg!$A$2:$E$366,4,FALSE)</f>
        <v>#N/A</v>
      </c>
      <c r="F331" s="1" t="e">
        <f>VLOOKUP($A331,[2]TeamRtg!$A$2:$E$366,5,FALSE)</f>
        <v>#N/A</v>
      </c>
    </row>
    <row r="332" spans="1:6" x14ac:dyDescent="0.2">
      <c r="A332" s="1" t="s">
        <v>339</v>
      </c>
      <c r="B332" s="3">
        <f ca="1">VLOOKUP(A332,[1]TeamRtg!$A$3:$G$367,7,FALSE)</f>
        <v>-1.2108184258958117</v>
      </c>
      <c r="C332" s="1">
        <f t="shared" ca="1" si="10"/>
        <v>331</v>
      </c>
      <c r="D332" s="1">
        <f t="shared" ca="1" si="11"/>
        <v>331</v>
      </c>
      <c r="E332" s="1" t="e">
        <f>VLOOKUP($A332,[2]TeamRtg!$A$2:$E$366,4,FALSE)</f>
        <v>#N/A</v>
      </c>
      <c r="F332" s="1" t="e">
        <f>VLOOKUP($A332,[2]TeamRtg!$A$2:$E$366,5,FALSE)</f>
        <v>#N/A</v>
      </c>
    </row>
    <row r="333" spans="1:6" x14ac:dyDescent="0.2">
      <c r="A333" s="1" t="s">
        <v>346</v>
      </c>
      <c r="B333" s="3">
        <f ca="1">VLOOKUP(A333,[1]TeamRtg!$A$3:$G$367,7,FALSE)</f>
        <v>-1.2139769863509082</v>
      </c>
      <c r="C333" s="1">
        <f t="shared" ca="1" si="10"/>
        <v>332</v>
      </c>
      <c r="D333" s="1">
        <f t="shared" ca="1" si="11"/>
        <v>332</v>
      </c>
      <c r="E333" s="1" t="e">
        <f>VLOOKUP($A333,[2]TeamRtg!$A$2:$E$366,4,FALSE)</f>
        <v>#N/A</v>
      </c>
      <c r="F333" s="1" t="e">
        <f>VLOOKUP($A333,[2]TeamRtg!$A$2:$E$366,5,FALSE)</f>
        <v>#N/A</v>
      </c>
    </row>
    <row r="334" spans="1:6" x14ac:dyDescent="0.2">
      <c r="A334" s="1" t="s">
        <v>276</v>
      </c>
      <c r="B334" s="3">
        <f ca="1">VLOOKUP(A334,[1]TeamRtg!$A$3:$G$367,7,FALSE)</f>
        <v>-1.2253057491506452</v>
      </c>
      <c r="C334" s="1">
        <f t="shared" ca="1" si="10"/>
        <v>333</v>
      </c>
      <c r="D334" s="1">
        <f t="shared" ca="1" si="11"/>
        <v>333</v>
      </c>
      <c r="E334" s="1" t="e">
        <f>VLOOKUP($A334,[2]TeamRtg!$A$2:$E$366,4,FALSE)</f>
        <v>#N/A</v>
      </c>
      <c r="F334" s="1" t="e">
        <f>VLOOKUP($A334,[2]TeamRtg!$A$2:$E$366,5,FALSE)</f>
        <v>#N/A</v>
      </c>
    </row>
    <row r="335" spans="1:6" x14ac:dyDescent="0.2">
      <c r="A335" s="1" t="s">
        <v>183</v>
      </c>
      <c r="B335" s="3">
        <f ca="1">VLOOKUP(A335,[1]TeamRtg!$A$3:$G$367,7,FALSE)</f>
        <v>-1.2350484605573153</v>
      </c>
      <c r="C335" s="1">
        <f t="shared" ca="1" si="10"/>
        <v>334</v>
      </c>
      <c r="D335" s="1">
        <f t="shared" ca="1" si="11"/>
        <v>334</v>
      </c>
      <c r="E335" s="1" t="e">
        <f>VLOOKUP($A335,[2]TeamRtg!$A$2:$E$366,4,FALSE)</f>
        <v>#N/A</v>
      </c>
      <c r="F335" s="1" t="e">
        <f>VLOOKUP($A335,[2]TeamRtg!$A$2:$E$366,5,FALSE)</f>
        <v>#N/A</v>
      </c>
    </row>
    <row r="336" spans="1:6" x14ac:dyDescent="0.2">
      <c r="A336" s="1" t="s">
        <v>360</v>
      </c>
      <c r="B336" s="3">
        <f ca="1">VLOOKUP(A336,[1]TeamRtg!$A$3:$G$367,7,FALSE)</f>
        <v>-1.2393253262405877</v>
      </c>
      <c r="C336" s="1">
        <f t="shared" ca="1" si="10"/>
        <v>335</v>
      </c>
      <c r="D336" s="1">
        <f t="shared" ca="1" si="11"/>
        <v>335</v>
      </c>
      <c r="E336" s="1" t="e">
        <f>VLOOKUP($A336,[2]TeamRtg!$A$2:$E$366,4,FALSE)</f>
        <v>#N/A</v>
      </c>
      <c r="F336" s="1" t="e">
        <f>VLOOKUP($A336,[2]TeamRtg!$A$2:$E$366,5,FALSE)</f>
        <v>#N/A</v>
      </c>
    </row>
    <row r="337" spans="1:6" x14ac:dyDescent="0.2">
      <c r="A337" s="1" t="s">
        <v>319</v>
      </c>
      <c r="B337" s="3">
        <f ca="1">VLOOKUP(A337,[1]TeamRtg!$A$3:$G$367,7,FALSE)</f>
        <v>-1.2427101390671389</v>
      </c>
      <c r="C337" s="1">
        <f t="shared" ca="1" si="10"/>
        <v>336</v>
      </c>
      <c r="D337" s="1">
        <f t="shared" ca="1" si="11"/>
        <v>336</v>
      </c>
      <c r="E337" s="1" t="e">
        <f>VLOOKUP($A337,[2]TeamRtg!$A$2:$E$366,4,FALSE)</f>
        <v>#N/A</v>
      </c>
      <c r="F337" s="1" t="e">
        <f>VLOOKUP($A337,[2]TeamRtg!$A$2:$E$366,5,FALSE)</f>
        <v>#N/A</v>
      </c>
    </row>
    <row r="338" spans="1:6" x14ac:dyDescent="0.2">
      <c r="A338" s="1" t="s">
        <v>291</v>
      </c>
      <c r="B338" s="3">
        <f ca="1">VLOOKUP(A338,[1]TeamRtg!$A$3:$G$367,7,FALSE)</f>
        <v>-1.2487787134398867</v>
      </c>
      <c r="C338" s="1">
        <f t="shared" ca="1" si="10"/>
        <v>337</v>
      </c>
      <c r="D338" s="1">
        <f t="shared" ca="1" si="11"/>
        <v>337</v>
      </c>
      <c r="E338" s="1" t="e">
        <f>VLOOKUP($A338,[2]TeamRtg!$A$2:$E$366,4,FALSE)</f>
        <v>#N/A</v>
      </c>
      <c r="F338" s="1" t="e">
        <f>VLOOKUP($A338,[2]TeamRtg!$A$2:$E$366,5,FALSE)</f>
        <v>#N/A</v>
      </c>
    </row>
    <row r="339" spans="1:6" x14ac:dyDescent="0.2">
      <c r="A339" s="1" t="s">
        <v>248</v>
      </c>
      <c r="B339" s="3">
        <f ca="1">VLOOKUP(A339,[1]TeamRtg!$A$3:$G$367,7,FALSE)</f>
        <v>-1.2695882295457865</v>
      </c>
      <c r="C339" s="1">
        <f t="shared" ca="1" si="10"/>
        <v>338</v>
      </c>
      <c r="D339" s="1">
        <f t="shared" ca="1" si="11"/>
        <v>338</v>
      </c>
      <c r="E339" s="1" t="e">
        <f>VLOOKUP($A339,[2]TeamRtg!$A$2:$E$366,4,FALSE)</f>
        <v>#N/A</v>
      </c>
      <c r="F339" s="1" t="e">
        <f>VLOOKUP($A339,[2]TeamRtg!$A$2:$E$366,5,FALSE)</f>
        <v>#N/A</v>
      </c>
    </row>
    <row r="340" spans="1:6" x14ac:dyDescent="0.2">
      <c r="A340" s="1" t="s">
        <v>180</v>
      </c>
      <c r="B340" s="3">
        <f ca="1">VLOOKUP(A340,[1]TeamRtg!$A$3:$G$367,7,FALSE)</f>
        <v>-1.291967307998287</v>
      </c>
      <c r="C340" s="1">
        <f t="shared" ca="1" si="10"/>
        <v>339</v>
      </c>
      <c r="D340" s="1">
        <f t="shared" ca="1" si="11"/>
        <v>339</v>
      </c>
      <c r="E340" s="1" t="e">
        <f>VLOOKUP($A340,[2]TeamRtg!$A$2:$E$366,4,FALSE)</f>
        <v>#N/A</v>
      </c>
      <c r="F340" s="1" t="e">
        <f>VLOOKUP($A340,[2]TeamRtg!$A$2:$E$366,5,FALSE)</f>
        <v>#N/A</v>
      </c>
    </row>
    <row r="341" spans="1:6" x14ac:dyDescent="0.2">
      <c r="A341" s="1" t="s">
        <v>331</v>
      </c>
      <c r="B341" s="3">
        <f ca="1">VLOOKUP(A341,[1]TeamRtg!$A$3:$G$367,7,FALSE)</f>
        <v>-1.2931756047336269</v>
      </c>
      <c r="C341" s="1">
        <f t="shared" ca="1" si="10"/>
        <v>340</v>
      </c>
      <c r="D341" s="1">
        <f t="shared" ca="1" si="11"/>
        <v>340</v>
      </c>
      <c r="E341" s="1" t="e">
        <f>VLOOKUP($A341,[2]TeamRtg!$A$2:$E$366,4,FALSE)</f>
        <v>#N/A</v>
      </c>
      <c r="F341" s="1" t="e">
        <f>VLOOKUP($A341,[2]TeamRtg!$A$2:$E$366,5,FALSE)</f>
        <v>#N/A</v>
      </c>
    </row>
    <row r="342" spans="1:6" x14ac:dyDescent="0.2">
      <c r="A342" s="1" t="s">
        <v>305</v>
      </c>
      <c r="B342" s="3">
        <f ca="1">VLOOKUP(A342,[1]TeamRtg!$A$3:$G$367,7,FALSE)</f>
        <v>-1.3200123787539264</v>
      </c>
      <c r="C342" s="1">
        <f t="shared" ca="1" si="10"/>
        <v>341</v>
      </c>
      <c r="D342" s="1">
        <f t="shared" ca="1" si="11"/>
        <v>341</v>
      </c>
      <c r="E342" s="1" t="e">
        <f>VLOOKUP($A342,[2]TeamRtg!$A$2:$E$366,4,FALSE)</f>
        <v>#N/A</v>
      </c>
      <c r="F342" s="1" t="e">
        <f>VLOOKUP($A342,[2]TeamRtg!$A$2:$E$366,5,FALSE)</f>
        <v>#N/A</v>
      </c>
    </row>
    <row r="343" spans="1:6" x14ac:dyDescent="0.2">
      <c r="A343" s="1" t="s">
        <v>324</v>
      </c>
      <c r="B343" s="3">
        <f ca="1">VLOOKUP(A343,[1]TeamRtg!$A$3:$G$367,7,FALSE)</f>
        <v>-1.33603890398007</v>
      </c>
      <c r="C343" s="1">
        <f t="shared" ca="1" si="10"/>
        <v>342</v>
      </c>
      <c r="D343" s="1">
        <f t="shared" ca="1" si="11"/>
        <v>342</v>
      </c>
      <c r="E343" s="1" t="e">
        <f>VLOOKUP($A343,[2]TeamRtg!$A$2:$E$366,4,FALSE)</f>
        <v>#N/A</v>
      </c>
      <c r="F343" s="1" t="e">
        <f>VLOOKUP($A343,[2]TeamRtg!$A$2:$E$366,5,FALSE)</f>
        <v>#N/A</v>
      </c>
    </row>
    <row r="344" spans="1:6" x14ac:dyDescent="0.2">
      <c r="A344" s="1" t="s">
        <v>297</v>
      </c>
      <c r="B344" s="3">
        <f ca="1">VLOOKUP(A344,[1]TeamRtg!$A$3:$G$367,7,FALSE)</f>
        <v>-1.3782233605796097</v>
      </c>
      <c r="C344" s="1">
        <f t="shared" ca="1" si="10"/>
        <v>343</v>
      </c>
      <c r="D344" s="1">
        <f t="shared" ca="1" si="11"/>
        <v>343</v>
      </c>
      <c r="E344" s="1" t="e">
        <f>VLOOKUP($A344,[2]TeamRtg!$A$2:$E$366,4,FALSE)</f>
        <v>#N/A</v>
      </c>
      <c r="F344" s="1" t="e">
        <f>VLOOKUP($A344,[2]TeamRtg!$A$2:$E$366,5,FALSE)</f>
        <v>#N/A</v>
      </c>
    </row>
    <row r="345" spans="1:6" x14ac:dyDescent="0.2">
      <c r="A345" s="1" t="s">
        <v>355</v>
      </c>
      <c r="B345" s="3">
        <f ca="1">VLOOKUP(A345,[1]TeamRtg!$A$3:$G$367,7,FALSE)</f>
        <v>-1.3796980619798893</v>
      </c>
      <c r="C345" s="1">
        <f t="shared" ca="1" si="10"/>
        <v>344</v>
      </c>
      <c r="D345" s="1">
        <f t="shared" ca="1" si="11"/>
        <v>344</v>
      </c>
      <c r="E345" s="1" t="e">
        <f>VLOOKUP($A345,[2]TeamRtg!$A$2:$E$366,4,FALSE)</f>
        <v>#N/A</v>
      </c>
      <c r="F345" s="1" t="e">
        <f>VLOOKUP($A345,[2]TeamRtg!$A$2:$E$366,5,FALSE)</f>
        <v>#N/A</v>
      </c>
    </row>
    <row r="346" spans="1:6" x14ac:dyDescent="0.2">
      <c r="A346" s="1" t="s">
        <v>167</v>
      </c>
      <c r="B346" s="3">
        <f ca="1">VLOOKUP(A346,[1]TeamRtg!$A$3:$G$367,7,FALSE)</f>
        <v>-1.4247976923042951</v>
      </c>
      <c r="C346" s="1">
        <f t="shared" ca="1" si="10"/>
        <v>345</v>
      </c>
      <c r="D346" s="1">
        <f t="shared" ca="1" si="11"/>
        <v>345</v>
      </c>
      <c r="E346" s="1" t="e">
        <f>VLOOKUP($A346,[2]TeamRtg!$A$2:$E$366,4,FALSE)</f>
        <v>#N/A</v>
      </c>
      <c r="F346" s="1" t="e">
        <f>VLOOKUP($A346,[2]TeamRtg!$A$2:$E$366,5,FALSE)</f>
        <v>#N/A</v>
      </c>
    </row>
    <row r="347" spans="1:6" x14ac:dyDescent="0.2">
      <c r="A347" s="1" t="s">
        <v>330</v>
      </c>
      <c r="B347" s="3">
        <f ca="1">VLOOKUP(A347,[1]TeamRtg!$A$3:$G$367,7,FALSE)</f>
        <v>-1.4381257695506642</v>
      </c>
      <c r="C347" s="1">
        <f t="shared" ca="1" si="10"/>
        <v>346</v>
      </c>
      <c r="D347" s="1">
        <f t="shared" ca="1" si="11"/>
        <v>346</v>
      </c>
      <c r="E347" s="1" t="e">
        <f>VLOOKUP($A347,[2]TeamRtg!$A$2:$E$366,4,FALSE)</f>
        <v>#N/A</v>
      </c>
      <c r="F347" s="1" t="e">
        <f>VLOOKUP($A347,[2]TeamRtg!$A$2:$E$366,5,FALSE)</f>
        <v>#N/A</v>
      </c>
    </row>
    <row r="348" spans="1:6" x14ac:dyDescent="0.2">
      <c r="A348" s="1" t="s">
        <v>359</v>
      </c>
      <c r="B348" s="3">
        <f ca="1">VLOOKUP(A348,[1]TeamRtg!$A$3:$G$367,7,FALSE)</f>
        <v>-1.4398810244946634</v>
      </c>
      <c r="C348" s="1">
        <f t="shared" ca="1" si="10"/>
        <v>347</v>
      </c>
      <c r="D348" s="1">
        <f t="shared" ca="1" si="11"/>
        <v>347</v>
      </c>
      <c r="E348" s="1" t="e">
        <f>VLOOKUP($A348,[2]TeamRtg!$A$2:$E$366,4,FALSE)</f>
        <v>#N/A</v>
      </c>
      <c r="F348" s="1" t="e">
        <f>VLOOKUP($A348,[2]TeamRtg!$A$2:$E$366,5,FALSE)</f>
        <v>#N/A</v>
      </c>
    </row>
    <row r="349" spans="1:6" x14ac:dyDescent="0.2">
      <c r="A349" s="1" t="s">
        <v>361</v>
      </c>
      <c r="B349" s="3">
        <f ca="1">VLOOKUP(A349,[1]TeamRtg!$A$3:$G$367,7,FALSE)</f>
        <v>-1.4615733942430449</v>
      </c>
      <c r="C349" s="1">
        <f t="shared" ca="1" si="10"/>
        <v>348</v>
      </c>
      <c r="D349" s="1">
        <f t="shared" ca="1" si="11"/>
        <v>348</v>
      </c>
      <c r="E349" s="1" t="e">
        <f>VLOOKUP($A349,[2]TeamRtg!$A$2:$E$366,4,FALSE)</f>
        <v>#N/A</v>
      </c>
      <c r="F349" s="1" t="e">
        <f>VLOOKUP($A349,[2]TeamRtg!$A$2:$E$366,5,FALSE)</f>
        <v>#N/A</v>
      </c>
    </row>
    <row r="350" spans="1:6" x14ac:dyDescent="0.2">
      <c r="A350" s="1" t="s">
        <v>348</v>
      </c>
      <c r="B350" s="3">
        <f ca="1">VLOOKUP(A350,[1]TeamRtg!$A$3:$G$367,7,FALSE)</f>
        <v>-1.4911640009957752</v>
      </c>
      <c r="C350" s="1">
        <f t="shared" ca="1" si="10"/>
        <v>349</v>
      </c>
      <c r="D350" s="1">
        <f t="shared" ca="1" si="11"/>
        <v>349</v>
      </c>
      <c r="E350" s="1" t="e">
        <f>VLOOKUP($A350,[2]TeamRtg!$A$2:$E$366,4,FALSE)</f>
        <v>#N/A</v>
      </c>
      <c r="F350" s="1" t="e">
        <f>VLOOKUP($A350,[2]TeamRtg!$A$2:$E$366,5,FALSE)</f>
        <v>#N/A</v>
      </c>
    </row>
    <row r="351" spans="1:6" x14ac:dyDescent="0.2">
      <c r="A351" s="1" t="s">
        <v>302</v>
      </c>
      <c r="B351" s="3">
        <f ca="1">VLOOKUP(A351,[1]TeamRtg!$A$3:$G$367,7,FALSE)</f>
        <v>-1.5265219368852272</v>
      </c>
      <c r="C351" s="1">
        <f t="shared" ca="1" si="10"/>
        <v>350</v>
      </c>
      <c r="D351" s="1">
        <f t="shared" ca="1" si="11"/>
        <v>350</v>
      </c>
      <c r="E351" s="1" t="e">
        <f>VLOOKUP($A351,[2]TeamRtg!$A$2:$E$366,4,FALSE)</f>
        <v>#N/A</v>
      </c>
      <c r="F351" s="1" t="e">
        <f>VLOOKUP($A351,[2]TeamRtg!$A$2:$E$366,5,FALSE)</f>
        <v>#N/A</v>
      </c>
    </row>
    <row r="352" spans="1:6" x14ac:dyDescent="0.2">
      <c r="A352" s="1" t="s">
        <v>333</v>
      </c>
      <c r="B352" s="3">
        <f ca="1">VLOOKUP(A352,[1]TeamRtg!$A$3:$G$367,7,FALSE)</f>
        <v>-1.5620889465771406</v>
      </c>
      <c r="C352" s="1">
        <f t="shared" ca="1" si="10"/>
        <v>351</v>
      </c>
      <c r="D352" s="1">
        <f t="shared" ca="1" si="11"/>
        <v>351</v>
      </c>
      <c r="E352" s="1" t="e">
        <f>VLOOKUP($A352,[2]TeamRtg!$A$2:$E$366,4,FALSE)</f>
        <v>#N/A</v>
      </c>
      <c r="F352" s="1" t="e">
        <f>VLOOKUP($A352,[2]TeamRtg!$A$2:$E$366,5,FALSE)</f>
        <v>#N/A</v>
      </c>
    </row>
    <row r="353" spans="1:6" x14ac:dyDescent="0.2">
      <c r="A353" s="1" t="s">
        <v>356</v>
      </c>
      <c r="B353" s="3">
        <f ca="1">VLOOKUP(A353,[1]TeamRtg!$A$3:$G$367,7,FALSE)</f>
        <v>-1.5660619549077022</v>
      </c>
      <c r="C353" s="1">
        <f t="shared" ca="1" si="10"/>
        <v>352</v>
      </c>
      <c r="D353" s="1">
        <f t="shared" ca="1" si="11"/>
        <v>352</v>
      </c>
      <c r="E353" s="1" t="e">
        <f>VLOOKUP($A353,[2]TeamRtg!$A$2:$E$366,4,FALSE)</f>
        <v>#N/A</v>
      </c>
      <c r="F353" s="1" t="e">
        <f>VLOOKUP($A353,[2]TeamRtg!$A$2:$E$366,5,FALSE)</f>
        <v>#N/A</v>
      </c>
    </row>
    <row r="354" spans="1:6" x14ac:dyDescent="0.2">
      <c r="A354" s="1" t="s">
        <v>322</v>
      </c>
      <c r="B354" s="3">
        <f ca="1">VLOOKUP(A354,[1]TeamRtg!$A$3:$G$367,7,FALSE)</f>
        <v>-1.5855925668468152</v>
      </c>
      <c r="C354" s="1">
        <f t="shared" ca="1" si="10"/>
        <v>353</v>
      </c>
      <c r="D354" s="1">
        <f t="shared" ca="1" si="11"/>
        <v>353</v>
      </c>
      <c r="E354" s="1" t="e">
        <f>VLOOKUP($A354,[2]TeamRtg!$A$2:$E$366,4,FALSE)</f>
        <v>#N/A</v>
      </c>
      <c r="F354" s="1" t="e">
        <f>VLOOKUP($A354,[2]TeamRtg!$A$2:$E$366,5,FALSE)</f>
        <v>#N/A</v>
      </c>
    </row>
    <row r="355" spans="1:6" x14ac:dyDescent="0.2">
      <c r="A355" s="1" t="s">
        <v>254</v>
      </c>
      <c r="B355" s="3">
        <f ca="1">VLOOKUP(A355,[1]TeamRtg!$A$3:$G$367,7,FALSE)</f>
        <v>-1.6490146872265246</v>
      </c>
      <c r="C355" s="1">
        <f t="shared" ca="1" si="10"/>
        <v>354</v>
      </c>
      <c r="D355" s="1">
        <f t="shared" ca="1" si="11"/>
        <v>354</v>
      </c>
      <c r="E355" s="1" t="e">
        <f>VLOOKUP($A355,[2]TeamRtg!$A$2:$E$366,4,FALSE)</f>
        <v>#N/A</v>
      </c>
      <c r="F355" s="1" t="e">
        <f>VLOOKUP($A355,[2]TeamRtg!$A$2:$E$366,5,FALSE)</f>
        <v>#N/A</v>
      </c>
    </row>
    <row r="356" spans="1:6" x14ac:dyDescent="0.2">
      <c r="A356" s="1" t="s">
        <v>332</v>
      </c>
      <c r="B356" s="3">
        <f ca="1">VLOOKUP(A356,[1]TeamRtg!$A$3:$G$367,7,FALSE)</f>
        <v>-1.6727835783591247</v>
      </c>
      <c r="C356" s="1">
        <f t="shared" ca="1" si="10"/>
        <v>355</v>
      </c>
      <c r="D356" s="1">
        <f t="shared" ca="1" si="11"/>
        <v>355</v>
      </c>
      <c r="E356" s="1" t="e">
        <f>VLOOKUP($A356,[2]TeamRtg!$A$2:$E$366,4,FALSE)</f>
        <v>#N/A</v>
      </c>
      <c r="F356" s="1" t="e">
        <f>VLOOKUP($A356,[2]TeamRtg!$A$2:$E$366,5,FALSE)</f>
        <v>#N/A</v>
      </c>
    </row>
    <row r="357" spans="1:6" x14ac:dyDescent="0.2">
      <c r="A357" s="1" t="s">
        <v>335</v>
      </c>
      <c r="B357" s="3">
        <f ca="1">VLOOKUP(A357,[1]TeamRtg!$A$3:$G$367,7,FALSE)</f>
        <v>-1.6758471842507332</v>
      </c>
      <c r="C357" s="1">
        <f t="shared" ca="1" si="10"/>
        <v>356</v>
      </c>
      <c r="D357" s="1">
        <f t="shared" ca="1" si="11"/>
        <v>356</v>
      </c>
      <c r="E357" s="1" t="e">
        <f>VLOOKUP($A357,[2]TeamRtg!$A$2:$E$366,4,FALSE)</f>
        <v>#N/A</v>
      </c>
      <c r="F357" s="1" t="e">
        <f>VLOOKUP($A357,[2]TeamRtg!$A$2:$E$366,5,FALSE)</f>
        <v>#N/A</v>
      </c>
    </row>
    <row r="358" spans="1:6" x14ac:dyDescent="0.2">
      <c r="A358" s="1" t="s">
        <v>353</v>
      </c>
      <c r="B358" s="3">
        <f ca="1">VLOOKUP(A358,[1]TeamRtg!$A$3:$G$367,7,FALSE)</f>
        <v>-1.694118425863933</v>
      </c>
      <c r="C358" s="1">
        <f t="shared" ca="1" si="10"/>
        <v>357</v>
      </c>
      <c r="D358" s="1">
        <f t="shared" ca="1" si="11"/>
        <v>357</v>
      </c>
      <c r="E358" s="1" t="e">
        <f>VLOOKUP($A358,[2]TeamRtg!$A$2:$E$366,4,FALSE)</f>
        <v>#N/A</v>
      </c>
      <c r="F358" s="1" t="e">
        <f>VLOOKUP($A358,[2]TeamRtg!$A$2:$E$366,5,FALSE)</f>
        <v>#N/A</v>
      </c>
    </row>
    <row r="359" spans="1:6" x14ac:dyDescent="0.2">
      <c r="A359" s="1" t="s">
        <v>316</v>
      </c>
      <c r="B359" s="3">
        <f ca="1">VLOOKUP(A359,[1]TeamRtg!$A$3:$G$367,7,FALSE)</f>
        <v>-1.7297818243228908</v>
      </c>
      <c r="C359" s="1">
        <f t="shared" ca="1" si="10"/>
        <v>358</v>
      </c>
      <c r="D359" s="1">
        <f t="shared" ca="1" si="11"/>
        <v>358</v>
      </c>
      <c r="E359" s="1" t="e">
        <f>VLOOKUP($A359,[2]TeamRtg!$A$2:$E$366,4,FALSE)</f>
        <v>#N/A</v>
      </c>
      <c r="F359" s="1" t="e">
        <f>VLOOKUP($A359,[2]TeamRtg!$A$2:$E$366,5,FALSE)</f>
        <v>#N/A</v>
      </c>
    </row>
    <row r="360" spans="1:6" x14ac:dyDescent="0.2">
      <c r="A360" s="1" t="s">
        <v>176</v>
      </c>
      <c r="B360" s="3">
        <f ca="1">VLOOKUP(A360,[1]TeamRtg!$A$3:$G$367,7,FALSE)</f>
        <v>-1.7345924200181777</v>
      </c>
      <c r="C360" s="1">
        <f t="shared" ca="1" si="10"/>
        <v>359</v>
      </c>
      <c r="D360" s="1">
        <f t="shared" ca="1" si="11"/>
        <v>359</v>
      </c>
      <c r="E360" s="1" t="e">
        <f>VLOOKUP($A360,[2]TeamRtg!$A$2:$E$366,4,FALSE)</f>
        <v>#N/A</v>
      </c>
      <c r="F360" s="1" t="e">
        <f>VLOOKUP($A360,[2]TeamRtg!$A$2:$E$366,5,FALSE)</f>
        <v>#N/A</v>
      </c>
    </row>
    <row r="361" spans="1:6" x14ac:dyDescent="0.2">
      <c r="A361" s="1" t="s">
        <v>354</v>
      </c>
      <c r="B361" s="3">
        <f ca="1">VLOOKUP(A361,[1]TeamRtg!$A$3:$G$367,7,FALSE)</f>
        <v>-1.7375920604950263</v>
      </c>
      <c r="C361" s="1">
        <f t="shared" ca="1" si="10"/>
        <v>360</v>
      </c>
      <c r="D361" s="1">
        <f t="shared" ca="1" si="11"/>
        <v>360</v>
      </c>
      <c r="E361" s="1" t="e">
        <f>VLOOKUP($A361,[2]TeamRtg!$A$2:$E$366,4,FALSE)</f>
        <v>#N/A</v>
      </c>
      <c r="F361" s="1" t="e">
        <f>VLOOKUP($A361,[2]TeamRtg!$A$2:$E$366,5,FALSE)</f>
        <v>#N/A</v>
      </c>
    </row>
    <row r="362" spans="1:6" x14ac:dyDescent="0.2">
      <c r="A362" s="1" t="s">
        <v>336</v>
      </c>
      <c r="B362" s="3">
        <f ca="1">VLOOKUP(A362,[1]TeamRtg!$A$3:$G$367,7,FALSE)</f>
        <v>-1.8583883793088116</v>
      </c>
      <c r="C362" s="1">
        <f t="shared" ca="1" si="10"/>
        <v>361</v>
      </c>
      <c r="D362" s="1">
        <f t="shared" ca="1" si="11"/>
        <v>361</v>
      </c>
      <c r="E362" s="1" t="e">
        <f>VLOOKUP($A362,[2]TeamRtg!$A$2:$E$366,4,FALSE)</f>
        <v>#N/A</v>
      </c>
      <c r="F362" s="1" t="e">
        <f>VLOOKUP($A362,[2]TeamRtg!$A$2:$E$366,5,FALSE)</f>
        <v>#N/A</v>
      </c>
    </row>
    <row r="363" spans="1:6" x14ac:dyDescent="0.2">
      <c r="A363" s="1" t="s">
        <v>364</v>
      </c>
      <c r="B363" s="3">
        <f ca="1">VLOOKUP(A363,[1]TeamRtg!$A$3:$G$367,7,FALSE)</f>
        <v>-1.8816656848738484</v>
      </c>
      <c r="C363" s="1">
        <f t="shared" ca="1" si="10"/>
        <v>362</v>
      </c>
      <c r="D363" s="1">
        <f t="shared" ca="1" si="11"/>
        <v>362</v>
      </c>
      <c r="E363" s="1" t="e">
        <f>VLOOKUP($A363,[2]TeamRtg!$A$2:$E$366,4,FALSE)</f>
        <v>#N/A</v>
      </c>
      <c r="F363" s="1" t="e">
        <f>VLOOKUP($A363,[2]TeamRtg!$A$2:$E$366,5,FALSE)</f>
        <v>#N/A</v>
      </c>
    </row>
    <row r="364" spans="1:6" x14ac:dyDescent="0.2">
      <c r="A364" s="1" t="s">
        <v>340</v>
      </c>
      <c r="B364" s="3">
        <f ca="1">VLOOKUP(A364,[1]TeamRtg!$A$3:$G$367,7,FALSE)</f>
        <v>-2.016002833251465</v>
      </c>
      <c r="C364" s="1">
        <f t="shared" ca="1" si="10"/>
        <v>363</v>
      </c>
      <c r="D364" s="1">
        <f t="shared" ca="1" si="11"/>
        <v>363</v>
      </c>
      <c r="E364" s="1" t="e">
        <f>VLOOKUP($A364,[2]TeamRtg!$A$2:$E$366,4,FALSE)</f>
        <v>#N/A</v>
      </c>
      <c r="F364" s="1" t="e">
        <f>VLOOKUP($A364,[2]TeamRtg!$A$2:$E$366,5,FALSE)</f>
        <v>#N/A</v>
      </c>
    </row>
    <row r="365" spans="1:6" x14ac:dyDescent="0.2">
      <c r="A365" s="1" t="s">
        <v>349</v>
      </c>
      <c r="B365" s="3">
        <f ca="1">VLOOKUP(A365,[1]TeamRtg!$A$3:$G$367,7,FALSE)</f>
        <v>-2.0825706611942971</v>
      </c>
      <c r="C365" s="1">
        <f t="shared" ca="1" si="10"/>
        <v>364</v>
      </c>
      <c r="D365" s="1">
        <f t="shared" ca="1" si="11"/>
        <v>364</v>
      </c>
      <c r="E365" s="1" t="e">
        <f>VLOOKUP($A365,[2]TeamRtg!$A$2:$E$366,4,FALSE)</f>
        <v>#N/A</v>
      </c>
      <c r="F365" s="1" t="e">
        <f>VLOOKUP($A365,[2]TeamRtg!$A$2:$E$366,5,FALSE)</f>
        <v>#N/A</v>
      </c>
    </row>
    <row r="366" spans="1:6" x14ac:dyDescent="0.2">
      <c r="A366" s="1" t="s">
        <v>483</v>
      </c>
      <c r="B366" s="3">
        <f ca="1">VLOOKUP(A366,[1]TeamRtg!$A$3:$G$367,7,FALSE)</f>
        <v>-2.4554311483832523</v>
      </c>
      <c r="C366" s="1">
        <f t="shared" ca="1" si="10"/>
        <v>365</v>
      </c>
      <c r="D366" s="1">
        <f t="shared" ca="1" si="11"/>
        <v>365</v>
      </c>
      <c r="E366" s="1" t="e">
        <f>VLOOKUP($A366,[2]TeamRtg!$A$2:$E$366,4,FALSE)</f>
        <v>#N/A</v>
      </c>
      <c r="F366" s="1" t="e">
        <f>VLOOKUP($A366,[2]TeamRtg!$A$2:$E$366,5,FALSE)</f>
        <v>#N/A</v>
      </c>
    </row>
  </sheetData>
  <autoFilter ref="A1:F1" xr:uid="{FA51BAEE-C2FE-D343-91CD-53A70DA99145}">
    <sortState xmlns:xlrd2="http://schemas.microsoft.com/office/spreadsheetml/2017/richdata2" ref="A2:F366">
      <sortCondition descending="1" ref="B1:B36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373</v>
      </c>
      <c r="C1" s="4" t="s">
        <v>374</v>
      </c>
      <c r="D1" s="4" t="s">
        <v>375</v>
      </c>
      <c r="E1" s="4" t="s">
        <v>376</v>
      </c>
      <c r="F1" s="4" t="s">
        <v>377</v>
      </c>
      <c r="G1" s="4" t="s">
        <v>378</v>
      </c>
      <c r="H1" s="4" t="s">
        <v>379</v>
      </c>
      <c r="I1" s="4" t="s">
        <v>380</v>
      </c>
      <c r="J1" s="4" t="s">
        <v>366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382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381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384</v>
      </c>
      <c r="I4">
        <v>3</v>
      </c>
      <c r="J4">
        <v>18.836157720404749</v>
      </c>
    </row>
    <row r="5" spans="1:10" x14ac:dyDescent="0.2">
      <c r="A5" t="s">
        <v>385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383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381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381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382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382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383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384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383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384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383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381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382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382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382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381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384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381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384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384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381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383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382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381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382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383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384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382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381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383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384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384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383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383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383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384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384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382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382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381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384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381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383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383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383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381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381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382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384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381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384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383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383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382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384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384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382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381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382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381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2026-10-04T18:44:16Z</dcterms:modified>
</cp:coreProperties>
</file>