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69BBD120-09DF-7A4A-AA4F-D4F1B028CC3A}" xr6:coauthVersionLast="47" xr6:coauthVersionMax="47" xr10:uidLastSave="{00000000-0000-0000-0000-000000000000}"/>
  <bookViews>
    <workbookView xWindow="1600" yWindow="780" windowWidth="18820" windowHeight="1996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K4" i="1"/>
  <c r="F5" i="1"/>
  <c r="K5" i="1"/>
  <c r="F6" i="1"/>
  <c r="K6" i="1"/>
  <c r="F7" i="1"/>
  <c r="K7" i="1"/>
  <c r="F8" i="1"/>
  <c r="F9" i="1"/>
  <c r="K9" i="1"/>
  <c r="F10" i="1"/>
  <c r="K10" i="1"/>
  <c r="F11" i="1"/>
  <c r="K11" i="1"/>
  <c r="F12" i="1"/>
  <c r="K12" i="1"/>
  <c r="F13" i="1"/>
  <c r="K13" i="1"/>
  <c r="F14" i="1"/>
  <c r="K14" i="1"/>
  <c r="F15" i="1"/>
  <c r="K15" i="1"/>
  <c r="F16" i="1"/>
  <c r="K16" i="1"/>
  <c r="F17" i="1"/>
  <c r="K17" i="1"/>
  <c r="F18" i="1"/>
  <c r="K18" i="1"/>
  <c r="F19" i="1"/>
  <c r="K19" i="1"/>
  <c r="F20" i="1"/>
  <c r="K20" i="1"/>
  <c r="F21" i="1"/>
  <c r="K21" i="1"/>
  <c r="F22" i="1"/>
  <c r="K22" i="1"/>
  <c r="F23" i="1"/>
  <c r="K23" i="1"/>
  <c r="F24" i="1"/>
  <c r="K24" i="1"/>
  <c r="F25" i="1"/>
  <c r="K25" i="1"/>
  <c r="B20" i="1"/>
  <c r="D20" i="1" s="1"/>
  <c r="C20" i="1"/>
  <c r="B21" i="1"/>
  <c r="D21" i="1" s="1"/>
  <c r="C21" i="1"/>
  <c r="B22" i="1"/>
  <c r="D22" i="1" s="1"/>
  <c r="C22" i="1"/>
  <c r="B23" i="1"/>
  <c r="D23" i="1" s="1"/>
  <c r="C23" i="1"/>
  <c r="B24" i="1"/>
  <c r="D24" i="1" s="1"/>
  <c r="C24" i="1"/>
  <c r="B25" i="1"/>
  <c r="D25" i="1" s="1"/>
  <c r="C25" i="1"/>
  <c r="C2" i="4"/>
  <c r="O21" i="4" l="1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B3" i="1"/>
  <c r="D3" i="1" s="1"/>
  <c r="C3" i="1"/>
  <c r="B4" i="1"/>
  <c r="D4" i="1" s="1"/>
  <c r="C4" i="1"/>
  <c r="B5" i="1"/>
  <c r="D5" i="1" s="1"/>
  <c r="C5" i="1"/>
  <c r="B6" i="1"/>
  <c r="D6" i="1" s="1"/>
  <c r="C6" i="1"/>
  <c r="B7" i="1"/>
  <c r="D7" i="1" s="1"/>
  <c r="C7" i="1"/>
  <c r="B8" i="1"/>
  <c r="D8" i="1" s="1"/>
  <c r="C8" i="1"/>
  <c r="B9" i="1"/>
  <c r="D9" i="1" s="1"/>
  <c r="C9" i="1"/>
  <c r="B10" i="1"/>
  <c r="D10" i="1" s="1"/>
  <c r="C10" i="1"/>
  <c r="B11" i="1"/>
  <c r="D11" i="1" s="1"/>
  <c r="C11" i="1"/>
  <c r="B12" i="1"/>
  <c r="D12" i="1" s="1"/>
  <c r="C12" i="1"/>
  <c r="B13" i="1"/>
  <c r="D13" i="1" s="1"/>
  <c r="C13" i="1"/>
  <c r="B14" i="1"/>
  <c r="D14" i="1" s="1"/>
  <c r="C14" i="1"/>
  <c r="B15" i="1"/>
  <c r="D15" i="1" s="1"/>
  <c r="C15" i="1"/>
  <c r="B16" i="1"/>
  <c r="D16" i="1" s="1"/>
  <c r="C16" i="1"/>
  <c r="B17" i="1"/>
  <c r="D17" i="1" s="1"/>
  <c r="C17" i="1"/>
  <c r="B18" i="1"/>
  <c r="D18" i="1" s="1"/>
  <c r="C18" i="1"/>
  <c r="B19" i="1"/>
  <c r="D19" i="1" s="1"/>
  <c r="C19" i="1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" i="1"/>
  <c r="I3" i="1" l="1"/>
  <c r="G3" i="1"/>
  <c r="H4" i="1"/>
  <c r="I4" i="1"/>
  <c r="G4" i="1"/>
  <c r="H5" i="1"/>
  <c r="I5" i="1"/>
  <c r="G5" i="1"/>
  <c r="H6" i="1"/>
  <c r="I6" i="1"/>
  <c r="G6" i="1"/>
  <c r="H7" i="1"/>
  <c r="I7" i="1"/>
  <c r="G7" i="1"/>
  <c r="I8" i="1"/>
  <c r="G8" i="1"/>
  <c r="H9" i="1"/>
  <c r="I9" i="1"/>
  <c r="G9" i="1"/>
  <c r="H10" i="1"/>
  <c r="I10" i="1"/>
  <c r="G10" i="1"/>
  <c r="H11" i="1"/>
  <c r="I11" i="1"/>
  <c r="G11" i="1"/>
  <c r="H12" i="1"/>
  <c r="I12" i="1"/>
  <c r="G12" i="1"/>
  <c r="H13" i="1"/>
  <c r="I13" i="1"/>
  <c r="G13" i="1"/>
  <c r="H14" i="1"/>
  <c r="I14" i="1"/>
  <c r="G14" i="1"/>
  <c r="I15" i="1"/>
  <c r="G15" i="1"/>
  <c r="H16" i="1"/>
  <c r="I16" i="1"/>
  <c r="G16" i="1"/>
  <c r="H17" i="1"/>
  <c r="I17" i="1"/>
  <c r="G17" i="1"/>
  <c r="H18" i="1"/>
  <c r="I18" i="1"/>
  <c r="G18" i="1"/>
  <c r="H19" i="1"/>
  <c r="I19" i="1"/>
  <c r="G19" i="1"/>
  <c r="H20" i="1"/>
  <c r="I20" i="1"/>
  <c r="G20" i="1"/>
  <c r="H21" i="1"/>
  <c r="I21" i="1"/>
  <c r="G21" i="1"/>
  <c r="H22" i="1"/>
  <c r="I22" i="1"/>
  <c r="G22" i="1"/>
  <c r="H23" i="1"/>
  <c r="I23" i="1"/>
  <c r="G23" i="1"/>
  <c r="H24" i="1"/>
  <c r="I24" i="1"/>
  <c r="G24" i="1"/>
  <c r="H25" i="1"/>
  <c r="I25" i="1"/>
  <c r="G25" i="1"/>
  <c r="G2" i="1"/>
  <c r="I2" i="1"/>
  <c r="H2" i="1" l="1"/>
  <c r="K2" i="1" s="1"/>
</calcChain>
</file>

<file path=xl/sharedStrings.xml><?xml version="1.0" encoding="utf-8"?>
<sst xmlns="http://schemas.openxmlformats.org/spreadsheetml/2006/main" count="697" uniqueCount="459">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</sst>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2</v>
          </cell>
          <cell r="C2" t="str">
            <v>Alabama</v>
          </cell>
          <cell r="D2" t="str">
            <v>Hofstra</v>
          </cell>
          <cell r="E2">
            <v>21.35</v>
          </cell>
          <cell r="F2" t="b">
            <v>1</v>
          </cell>
          <cell r="G2">
            <v>0.63809273344358919</v>
          </cell>
          <cell r="H2">
            <v>6.5997896092614958E-2</v>
          </cell>
          <cell r="I2">
            <v>0.21817703657412491</v>
          </cell>
          <cell r="J2">
            <v>0.82374745212732714</v>
          </cell>
          <cell r="K2">
            <v>1.288278931727844</v>
          </cell>
        </row>
        <row r="3">
          <cell r="B3">
            <v>7</v>
          </cell>
          <cell r="C3" t="str">
            <v>Tennessee</v>
          </cell>
          <cell r="D3" t="str">
            <v>Miami (OH)</v>
          </cell>
          <cell r="E3">
            <v>17.763320142231279</v>
          </cell>
          <cell r="F3" t="b">
            <v>1</v>
          </cell>
          <cell r="G3">
            <v>0.63446581889029208</v>
          </cell>
          <cell r="H3">
            <v>6.2951287867845318E-2</v>
          </cell>
          <cell r="I3">
            <v>0.21125292697237591</v>
          </cell>
          <cell r="J3">
            <v>0.77130206914028421</v>
          </cell>
          <cell r="K3">
            <v>1.2288091391803406</v>
          </cell>
        </row>
        <row r="4">
          <cell r="B4">
            <v>14</v>
          </cell>
          <cell r="C4" t="str">
            <v>Kansas</v>
          </cell>
          <cell r="D4" t="str">
            <v>California Baptist</v>
          </cell>
          <cell r="E4">
            <v>20.297186452323341</v>
          </cell>
          <cell r="F4" t="b">
            <v>1</v>
          </cell>
          <cell r="G4">
            <v>0.62310087724532315</v>
          </cell>
          <cell r="H4">
            <v>5.3404736886071551E-2</v>
          </cell>
          <cell r="I4">
            <v>0.18955622019561699</v>
          </cell>
          <cell r="J4">
            <v>0.79167581956681854</v>
          </cell>
          <cell r="K4">
            <v>1.0424604640161166</v>
          </cell>
        </row>
        <row r="5">
          <cell r="B5">
            <v>19</v>
          </cell>
          <cell r="C5" t="str">
            <v>Duke</v>
          </cell>
          <cell r="D5" t="str">
            <v>TCU</v>
          </cell>
          <cell r="E5">
            <v>16.140216310663</v>
          </cell>
          <cell r="F5" t="b">
            <v>0</v>
          </cell>
          <cell r="G5">
            <v>0.60906422040161368</v>
          </cell>
          <cell r="H5">
            <v>0</v>
          </cell>
          <cell r="I5">
            <v>0.16275896622126251</v>
          </cell>
          <cell r="J5">
            <v>0.70336153249742339</v>
          </cell>
          <cell r="K5">
            <v>0</v>
          </cell>
        </row>
        <row r="6">
          <cell r="B6">
            <v>37</v>
          </cell>
          <cell r="C6" t="str">
            <v>Northern Iowa</v>
          </cell>
          <cell r="D6" t="str">
            <v>St. John's</v>
          </cell>
          <cell r="E6">
            <v>-5.7155949911145472</v>
          </cell>
          <cell r="F6" t="b">
            <v>0</v>
          </cell>
          <cell r="G6">
            <v>0.60556386284114683</v>
          </cell>
          <cell r="H6">
            <v>0</v>
          </cell>
          <cell r="I6">
            <v>0.15607646542400769</v>
          </cell>
          <cell r="J6">
            <v>7.1989015715373472E-2</v>
          </cell>
          <cell r="K6">
            <v>0</v>
          </cell>
        </row>
        <row r="7">
          <cell r="B7">
            <v>33</v>
          </cell>
          <cell r="C7" t="str">
            <v>Missouri</v>
          </cell>
          <cell r="D7" t="str">
            <v>Miami</v>
          </cell>
          <cell r="E7">
            <v>2.1482075857303151</v>
          </cell>
          <cell r="F7" t="b">
            <v>0</v>
          </cell>
          <cell r="G7">
            <v>0.60228382736083119</v>
          </cell>
          <cell r="H7">
            <v>0</v>
          </cell>
          <cell r="I7">
            <v>0.1498145795070415</v>
          </cell>
          <cell r="J7">
            <v>0.31364001260244623</v>
          </cell>
          <cell r="K7">
            <v>0</v>
          </cell>
        </row>
        <row r="8">
          <cell r="B8">
            <v>6</v>
          </cell>
          <cell r="C8" t="str">
            <v>Uconn</v>
          </cell>
          <cell r="D8" t="str">
            <v>Furman</v>
          </cell>
          <cell r="E8">
            <v>25.574999999999999</v>
          </cell>
          <cell r="F8" t="b">
            <v>0</v>
          </cell>
          <cell r="G8">
            <v>0.59638086655976275</v>
          </cell>
          <cell r="H8">
            <v>0</v>
          </cell>
          <cell r="I8">
            <v>0.13854529070500171</v>
          </cell>
          <cell r="J8">
            <v>0.82374745212732714</v>
          </cell>
          <cell r="K8">
            <v>0</v>
          </cell>
        </row>
        <row r="9">
          <cell r="B9">
            <v>17</v>
          </cell>
          <cell r="C9" t="str">
            <v>Michigan State</v>
          </cell>
          <cell r="D9" t="str">
            <v>Louisville</v>
          </cell>
          <cell r="E9">
            <v>7.7185281356503328</v>
          </cell>
          <cell r="F9" t="b">
            <v>0</v>
          </cell>
          <cell r="G9">
            <v>0.59188943533172611</v>
          </cell>
          <cell r="H9">
            <v>0</v>
          </cell>
          <cell r="I9">
            <v>0.12997074017874991</v>
          </cell>
          <cell r="J9">
            <v>0.45858766203522988</v>
          </cell>
          <cell r="K9">
            <v>0</v>
          </cell>
        </row>
        <row r="10">
          <cell r="B10">
            <v>28</v>
          </cell>
          <cell r="C10" t="str">
            <v>Iowa</v>
          </cell>
          <cell r="D10" t="str">
            <v>Clemson</v>
          </cell>
          <cell r="E10">
            <v>5.6137133324827877</v>
          </cell>
          <cell r="F10" t="b">
            <v>0</v>
          </cell>
          <cell r="G10">
            <v>0.58934371104373051</v>
          </cell>
          <cell r="H10">
            <v>0</v>
          </cell>
          <cell r="I10">
            <v>0.1251107210834855</v>
          </cell>
          <cell r="J10">
            <v>0.38977250670595909</v>
          </cell>
          <cell r="K10">
            <v>0</v>
          </cell>
        </row>
        <row r="11">
          <cell r="B11">
            <v>26</v>
          </cell>
          <cell r="C11" t="str">
            <v>Hofstra</v>
          </cell>
          <cell r="D11" t="str">
            <v>Alabama</v>
          </cell>
          <cell r="E11">
            <v>-18.200910725903629</v>
          </cell>
          <cell r="F11" t="b">
            <v>0</v>
          </cell>
          <cell r="G11">
            <v>0.58915163001262683</v>
          </cell>
          <cell r="H11">
            <v>0</v>
          </cell>
          <cell r="I11">
            <v>0.1247440209331967</v>
          </cell>
          <cell r="J11">
            <v>0.70857165526473465</v>
          </cell>
          <cell r="K11">
            <v>0</v>
          </cell>
        </row>
        <row r="12">
          <cell r="B12">
            <v>20</v>
          </cell>
          <cell r="C12" t="str">
            <v>Illinois</v>
          </cell>
          <cell r="D12" t="str">
            <v>VCU</v>
          </cell>
          <cell r="E12">
            <v>14.438763270417709</v>
          </cell>
          <cell r="F12" t="b">
            <v>0</v>
          </cell>
          <cell r="G12">
            <v>0.5884378419425238</v>
          </cell>
          <cell r="H12">
            <v>0</v>
          </cell>
          <cell r="I12">
            <v>0.1233813346175455</v>
          </cell>
          <cell r="J12">
            <v>0.63074311573987751</v>
          </cell>
          <cell r="K12">
            <v>0</v>
          </cell>
        </row>
        <row r="13">
          <cell r="B13">
            <v>31</v>
          </cell>
          <cell r="C13" t="str">
            <v>Miami (OH)</v>
          </cell>
          <cell r="D13" t="str">
            <v>Tennessee</v>
          </cell>
          <cell r="E13">
            <v>-14.923953790708479</v>
          </cell>
          <cell r="F13" t="b">
            <v>0</v>
          </cell>
          <cell r="G13">
            <v>0.58757381148107868</v>
          </cell>
          <cell r="H13">
            <v>0</v>
          </cell>
          <cell r="I13">
            <v>0.12173182191842299</v>
          </cell>
          <cell r="J13">
            <v>0.63996826747857327</v>
          </cell>
          <cell r="K13">
            <v>0</v>
          </cell>
        </row>
        <row r="14">
          <cell r="B14">
            <v>40</v>
          </cell>
          <cell r="C14" t="str">
            <v>Utah State</v>
          </cell>
          <cell r="D14" t="str">
            <v>Villanova</v>
          </cell>
          <cell r="E14">
            <v>5.4593714883795128</v>
          </cell>
          <cell r="F14" t="b">
            <v>0</v>
          </cell>
          <cell r="G14">
            <v>0.58558825032111539</v>
          </cell>
          <cell r="H14">
            <v>0</v>
          </cell>
          <cell r="I14">
            <v>0.117941205158493</v>
          </cell>
          <cell r="J14">
            <v>0.37633750295571428</v>
          </cell>
          <cell r="K14">
            <v>0</v>
          </cell>
        </row>
        <row r="15">
          <cell r="B15">
            <v>44</v>
          </cell>
          <cell r="C15" t="str">
            <v>VCU</v>
          </cell>
          <cell r="D15" t="str">
            <v>Illinois</v>
          </cell>
          <cell r="E15">
            <v>-7.2568674597012466</v>
          </cell>
          <cell r="F15" t="b">
            <v>0</v>
          </cell>
          <cell r="G15">
            <v>0.58031359058064103</v>
          </cell>
          <cell r="H15">
            <v>0</v>
          </cell>
          <cell r="I15">
            <v>0.10787140019940571</v>
          </cell>
          <cell r="J15">
            <v>3.9645885764726663E-2</v>
          </cell>
          <cell r="K15">
            <v>0</v>
          </cell>
        </row>
        <row r="16">
          <cell r="B16">
            <v>23</v>
          </cell>
          <cell r="C16" t="str">
            <v>Arkansas</v>
          </cell>
          <cell r="D16" t="str">
            <v>High Point</v>
          </cell>
          <cell r="E16">
            <v>14.531806056773171</v>
          </cell>
          <cell r="F16" t="b">
            <v>0</v>
          </cell>
          <cell r="G16">
            <v>0.58014282659298355</v>
          </cell>
          <cell r="H16">
            <v>0</v>
          </cell>
          <cell r="I16">
            <v>0.1075453962229687</v>
          </cell>
          <cell r="J16">
            <v>0.61701013724196296</v>
          </cell>
          <cell r="K16">
            <v>0</v>
          </cell>
        </row>
        <row r="17">
          <cell r="B17">
            <v>24</v>
          </cell>
          <cell r="C17" t="str">
            <v>Gonzaga</v>
          </cell>
          <cell r="D17" t="str">
            <v>Texas</v>
          </cell>
          <cell r="E17">
            <v>8.5492026218240404</v>
          </cell>
          <cell r="F17" t="b">
            <v>0</v>
          </cell>
          <cell r="G17">
            <v>0.57557077504574861</v>
          </cell>
          <cell r="H17">
            <v>0</v>
          </cell>
          <cell r="I17">
            <v>9.881693417824744E-2</v>
          </cell>
          <cell r="J17">
            <v>0.44641629054277171</v>
          </cell>
          <cell r="K17">
            <v>0</v>
          </cell>
        </row>
        <row r="18">
          <cell r="B18">
            <v>46</v>
          </cell>
          <cell r="C18" t="str">
            <v>Texas A&amp;M</v>
          </cell>
          <cell r="D18" t="str">
            <v>Houston</v>
          </cell>
          <cell r="E18">
            <v>-7.1037832151035936</v>
          </cell>
          <cell r="F18" t="b">
            <v>0</v>
          </cell>
          <cell r="G18">
            <v>0.57182152945754017</v>
          </cell>
          <cell r="H18">
            <v>0</v>
          </cell>
          <cell r="I18">
            <v>9.1659283509849421E-2</v>
          </cell>
          <cell r="J18">
            <v>5.5421511542608992E-2</v>
          </cell>
          <cell r="K18">
            <v>0</v>
          </cell>
        </row>
        <row r="19">
          <cell r="B19">
            <v>12</v>
          </cell>
          <cell r="C19" t="str">
            <v>Iowa State</v>
          </cell>
          <cell r="D19" t="str">
            <v>Tennessee State</v>
          </cell>
          <cell r="E19">
            <v>28.175000000000001</v>
          </cell>
          <cell r="F19" t="b">
            <v>0</v>
          </cell>
          <cell r="G19">
            <v>0.57012118173818638</v>
          </cell>
          <cell r="H19">
            <v>0</v>
          </cell>
          <cell r="I19">
            <v>8.841316513653763E-2</v>
          </cell>
          <cell r="J19">
            <v>0.82374745212732714</v>
          </cell>
          <cell r="K19">
            <v>0</v>
          </cell>
        </row>
        <row r="20">
          <cell r="B20">
            <v>45</v>
          </cell>
          <cell r="C20" t="str">
            <v>Vanderbilt</v>
          </cell>
          <cell r="D20" t="str">
            <v>Nebraska</v>
          </cell>
          <cell r="E20">
            <v>5.3076158961687021</v>
          </cell>
          <cell r="F20" t="b">
            <v>0</v>
          </cell>
          <cell r="G20">
            <v>0.569647183746957</v>
          </cell>
          <cell r="H20">
            <v>0</v>
          </cell>
          <cell r="I20">
            <v>8.7508259880554329E-2</v>
          </cell>
          <cell r="J20">
            <v>0.33443712076902887</v>
          </cell>
          <cell r="K20">
            <v>0</v>
          </cell>
        </row>
        <row r="21">
          <cell r="B21">
            <v>18</v>
          </cell>
          <cell r="C21" t="str">
            <v>Michigan</v>
          </cell>
          <cell r="D21" t="str">
            <v>Saint Louis</v>
          </cell>
          <cell r="E21">
            <v>15.5119498017062</v>
          </cell>
          <cell r="F21" t="b">
            <v>0</v>
          </cell>
          <cell r="G21">
            <v>0.56845929673645745</v>
          </cell>
          <cell r="H21">
            <v>0</v>
          </cell>
          <cell r="I21">
            <v>8.5240475587782472E-2</v>
          </cell>
          <cell r="J21">
            <v>0.61731951279916419</v>
          </cell>
          <cell r="K21">
            <v>0</v>
          </cell>
        </row>
        <row r="22">
          <cell r="B22">
            <v>10</v>
          </cell>
          <cell r="C22" t="str">
            <v>Purdue</v>
          </cell>
          <cell r="D22" t="str">
            <v>Queens University</v>
          </cell>
          <cell r="E22">
            <v>28.5</v>
          </cell>
          <cell r="F22" t="b">
            <v>0</v>
          </cell>
          <cell r="G22">
            <v>0.56681426051108019</v>
          </cell>
          <cell r="H22">
            <v>0</v>
          </cell>
          <cell r="I22">
            <v>8.2099951884789468E-2</v>
          </cell>
          <cell r="J22">
            <v>0.82374745212732714</v>
          </cell>
          <cell r="K22">
            <v>0</v>
          </cell>
        </row>
        <row r="23">
          <cell r="B23">
            <v>22</v>
          </cell>
          <cell r="C23" t="str">
            <v>Houston</v>
          </cell>
          <cell r="D23" t="str">
            <v>Texas A&amp;M</v>
          </cell>
          <cell r="E23">
            <v>12.80869246587973</v>
          </cell>
          <cell r="F23" t="b">
            <v>0</v>
          </cell>
          <cell r="G23">
            <v>0.5666785188322544</v>
          </cell>
          <cell r="H23">
            <v>0</v>
          </cell>
          <cell r="I23">
            <v>8.1840808679758403E-2</v>
          </cell>
          <cell r="J23">
            <v>0.54759166061732523</v>
          </cell>
          <cell r="K23">
            <v>0</v>
          </cell>
        </row>
        <row r="24">
          <cell r="B24">
            <v>11</v>
          </cell>
          <cell r="C24" t="str">
            <v>Kentucky</v>
          </cell>
          <cell r="D24" t="str">
            <v>Santa Clara</v>
          </cell>
          <cell r="E24">
            <v>5.6593475628966718</v>
          </cell>
          <cell r="F24" t="b">
            <v>0</v>
          </cell>
          <cell r="G24">
            <v>0.56600384912440083</v>
          </cell>
          <cell r="H24">
            <v>0</v>
          </cell>
          <cell r="I24">
            <v>8.0552802873856133E-2</v>
          </cell>
          <cell r="J24">
            <v>0.3368011492256191</v>
          </cell>
          <cell r="K24">
            <v>0</v>
          </cell>
        </row>
        <row r="25">
          <cell r="B25">
            <v>29</v>
          </cell>
          <cell r="C25" t="str">
            <v>UCF</v>
          </cell>
          <cell r="D25" t="str">
            <v>UCLA</v>
          </cell>
          <cell r="E25">
            <v>-2.8861369669403749</v>
          </cell>
          <cell r="F25" t="b">
            <v>0</v>
          </cell>
          <cell r="G25">
            <v>0.56488503739422913</v>
          </cell>
          <cell r="H25">
            <v>0</v>
          </cell>
          <cell r="I25">
            <v>7.8416889570801063E-2</v>
          </cell>
          <cell r="J25">
            <v>6.3226472938151368E-2</v>
          </cell>
          <cell r="K25">
            <v>0</v>
          </cell>
        </row>
        <row r="26">
          <cell r="B26">
            <v>1</v>
          </cell>
          <cell r="C26" t="str">
            <v>Texas Tech</v>
          </cell>
          <cell r="D26" t="str">
            <v>Akron</v>
          </cell>
          <cell r="E26">
            <v>10.105811312700951</v>
          </cell>
          <cell r="F26" t="b">
            <v>0</v>
          </cell>
          <cell r="G26">
            <v>0.56468692974454482</v>
          </cell>
          <cell r="H26">
            <v>0</v>
          </cell>
          <cell r="I26">
            <v>7.8038684057767482E-2</v>
          </cell>
          <cell r="J26">
            <v>0.46800018669531451</v>
          </cell>
          <cell r="K26">
            <v>0</v>
          </cell>
        </row>
        <row r="27">
          <cell r="B27">
            <v>9</v>
          </cell>
          <cell r="C27" t="str">
            <v>Miami</v>
          </cell>
          <cell r="D27" t="str">
            <v>Missouri</v>
          </cell>
          <cell r="E27">
            <v>4.4969385785639577</v>
          </cell>
          <cell r="F27" t="b">
            <v>0</v>
          </cell>
          <cell r="G27">
            <v>0.56200660866546603</v>
          </cell>
          <cell r="H27">
            <v>0</v>
          </cell>
          <cell r="I27">
            <v>7.2921707452253348E-2</v>
          </cell>
          <cell r="J27">
            <v>0.2912235406823202</v>
          </cell>
          <cell r="K27">
            <v>0</v>
          </cell>
        </row>
        <row r="28">
          <cell r="B28">
            <v>32</v>
          </cell>
          <cell r="C28" t="str">
            <v>Wright State</v>
          </cell>
          <cell r="D28" t="str">
            <v>Virginia</v>
          </cell>
          <cell r="E28">
            <v>-15.96072331533523</v>
          </cell>
          <cell r="F28" t="b">
            <v>0</v>
          </cell>
          <cell r="G28">
            <v>0.55070977428765122</v>
          </cell>
          <cell r="H28">
            <v>0</v>
          </cell>
          <cell r="I28">
            <v>5.1355023640061503E-2</v>
          </cell>
          <cell r="J28">
            <v>0.38516760636631159</v>
          </cell>
          <cell r="K28">
            <v>0</v>
          </cell>
        </row>
        <row r="29">
          <cell r="B29">
            <v>4</v>
          </cell>
          <cell r="C29" t="str">
            <v>Clemson</v>
          </cell>
          <cell r="D29" t="str">
            <v>Iowa</v>
          </cell>
          <cell r="E29">
            <v>3.3395963530867379E-2</v>
          </cell>
          <cell r="F29" t="b">
            <v>0</v>
          </cell>
          <cell r="G29">
            <v>0.55056432776779596</v>
          </cell>
          <cell r="H29">
            <v>0</v>
          </cell>
          <cell r="I29">
            <v>5.1077353011246829E-2</v>
          </cell>
          <cell r="J29">
            <v>0.12227695604597411</v>
          </cell>
          <cell r="K29">
            <v>0</v>
          </cell>
        </row>
        <row r="30">
          <cell r="B30">
            <v>34</v>
          </cell>
          <cell r="C30" t="str">
            <v>Queens University</v>
          </cell>
          <cell r="D30" t="str">
            <v>Purdue</v>
          </cell>
          <cell r="E30">
            <v>-27.532563309862141</v>
          </cell>
          <cell r="F30" t="b">
            <v>0</v>
          </cell>
          <cell r="G30">
            <v>0.55004263682873855</v>
          </cell>
          <cell r="H30">
            <v>0</v>
          </cell>
          <cell r="I30">
            <v>5.0081397582137248E-2</v>
          </cell>
          <cell r="J30">
            <v>0.79449285353871313</v>
          </cell>
          <cell r="K30">
            <v>0</v>
          </cell>
        </row>
        <row r="31">
          <cell r="B31">
            <v>13</v>
          </cell>
          <cell r="C31" t="str">
            <v>St. John's</v>
          </cell>
          <cell r="D31" t="str">
            <v>Northern Iowa</v>
          </cell>
          <cell r="E31">
            <v>11.95141219900553</v>
          </cell>
          <cell r="F31" t="b">
            <v>0</v>
          </cell>
          <cell r="G31">
            <v>0.54812259817372755</v>
          </cell>
          <cell r="H31">
            <v>0</v>
          </cell>
          <cell r="I31">
            <v>4.6415869240752639E-2</v>
          </cell>
          <cell r="J31">
            <v>0.48515083858939739</v>
          </cell>
          <cell r="K31">
            <v>0</v>
          </cell>
        </row>
        <row r="32">
          <cell r="B32">
            <v>8</v>
          </cell>
          <cell r="C32" t="str">
            <v>Virginia</v>
          </cell>
          <cell r="D32" t="str">
            <v>Wright State</v>
          </cell>
          <cell r="E32">
            <v>20.115791597901271</v>
          </cell>
          <cell r="F32" t="b">
            <v>0</v>
          </cell>
          <cell r="G32">
            <v>0.54634765315908873</v>
          </cell>
          <cell r="H32">
            <v>0</v>
          </cell>
          <cell r="I32">
            <v>4.3027337849169463E-2</v>
          </cell>
          <cell r="J32">
            <v>0.67485538426353442</v>
          </cell>
          <cell r="K32">
            <v>0</v>
          </cell>
        </row>
        <row r="33">
          <cell r="B33">
            <v>16</v>
          </cell>
          <cell r="C33" t="str">
            <v>Villanova</v>
          </cell>
          <cell r="D33" t="str">
            <v>Utah State</v>
          </cell>
          <cell r="E33">
            <v>-0.1780563139182261</v>
          </cell>
          <cell r="F33" t="b">
            <v>0</v>
          </cell>
          <cell r="G33">
            <v>0.54533016307921067</v>
          </cell>
          <cell r="H33">
            <v>0</v>
          </cell>
          <cell r="I33">
            <v>4.1084856787584063E-2</v>
          </cell>
          <cell r="J33">
            <v>0.102922512580872</v>
          </cell>
          <cell r="K33">
            <v>0</v>
          </cell>
        </row>
        <row r="34">
          <cell r="B34">
            <v>25</v>
          </cell>
          <cell r="C34" t="str">
            <v>Akron</v>
          </cell>
          <cell r="D34" t="str">
            <v>Texas Tech</v>
          </cell>
          <cell r="E34">
            <v>-5.7133742605995348</v>
          </cell>
          <cell r="F34" t="b">
            <v>0</v>
          </cell>
          <cell r="G34">
            <v>0.54445513080134145</v>
          </cell>
          <cell r="H34">
            <v>0</v>
          </cell>
          <cell r="I34">
            <v>3.9414340620742783E-2</v>
          </cell>
          <cell r="J34">
            <v>7.6937609984081723E-2</v>
          </cell>
          <cell r="K34">
            <v>0</v>
          </cell>
        </row>
        <row r="35">
          <cell r="B35">
            <v>5</v>
          </cell>
          <cell r="C35" t="str">
            <v>UCLA</v>
          </cell>
          <cell r="D35" t="str">
            <v>UCF</v>
          </cell>
          <cell r="E35">
            <v>7.0470101204148357</v>
          </cell>
          <cell r="F35" t="b">
            <v>0</v>
          </cell>
          <cell r="G35">
            <v>0.53851296772810842</v>
          </cell>
          <cell r="H35">
            <v>0</v>
          </cell>
          <cell r="I35">
            <v>2.8070211117297909E-2</v>
          </cell>
          <cell r="J35">
            <v>0.3157571093517878</v>
          </cell>
          <cell r="K35">
            <v>0</v>
          </cell>
        </row>
        <row r="36">
          <cell r="B36">
            <v>36</v>
          </cell>
          <cell r="C36" t="str">
            <v>Tennessee State</v>
          </cell>
          <cell r="D36" t="str">
            <v>Iowa State</v>
          </cell>
          <cell r="E36">
            <v>-26.323261769434339</v>
          </cell>
          <cell r="F36" t="b">
            <v>0</v>
          </cell>
          <cell r="G36">
            <v>0.53718956657658601</v>
          </cell>
          <cell r="H36">
            <v>0</v>
          </cell>
          <cell r="I36">
            <v>2.5543718009846061E-2</v>
          </cell>
          <cell r="J36">
            <v>0.76328915590709401</v>
          </cell>
          <cell r="K36">
            <v>0</v>
          </cell>
        </row>
        <row r="37">
          <cell r="B37">
            <v>48</v>
          </cell>
          <cell r="C37" t="str">
            <v>Texas</v>
          </cell>
          <cell r="D37" t="str">
            <v>Gonzaga</v>
          </cell>
          <cell r="E37">
            <v>-4.0735770169153609</v>
          </cell>
          <cell r="F37" t="b">
            <v>0</v>
          </cell>
          <cell r="G37">
            <v>0.53551922013547781</v>
          </cell>
          <cell r="H37">
            <v>0</v>
          </cell>
          <cell r="I37">
            <v>2.2354874804094042E-2</v>
          </cell>
          <cell r="J37">
            <v>4.5768048855342247E-2</v>
          </cell>
          <cell r="K37">
            <v>0</v>
          </cell>
        </row>
        <row r="38">
          <cell r="B38">
            <v>21</v>
          </cell>
          <cell r="C38" t="str">
            <v>Nebraska</v>
          </cell>
          <cell r="D38" t="str">
            <v>Vanderbilt</v>
          </cell>
          <cell r="E38">
            <v>-1.093500554042212</v>
          </cell>
          <cell r="F38" t="b">
            <v>0</v>
          </cell>
          <cell r="G38">
            <v>0.53502439171067129</v>
          </cell>
          <cell r="H38">
            <v>0</v>
          </cell>
          <cell r="I38">
            <v>2.141020235673613E-2</v>
          </cell>
          <cell r="J38">
            <v>4.8789164423594489E-2</v>
          </cell>
          <cell r="K38">
            <v>0</v>
          </cell>
        </row>
        <row r="39">
          <cell r="B39">
            <v>47</v>
          </cell>
          <cell r="C39" t="str">
            <v>High Point</v>
          </cell>
          <cell r="D39" t="str">
            <v>Arkansas</v>
          </cell>
          <cell r="E39">
            <v>-12.3836786652074</v>
          </cell>
          <cell r="F39" t="b">
            <v>0</v>
          </cell>
          <cell r="G39">
            <v>0.53445753974774979</v>
          </cell>
          <cell r="H39">
            <v>0</v>
          </cell>
          <cell r="I39">
            <v>2.0328030427522351E-2</v>
          </cell>
          <cell r="J39">
            <v>0.46823988524848509</v>
          </cell>
          <cell r="K39">
            <v>0</v>
          </cell>
        </row>
        <row r="40">
          <cell r="B40">
            <v>43</v>
          </cell>
          <cell r="C40" t="str">
            <v>TCU</v>
          </cell>
          <cell r="D40" t="str">
            <v>Duke</v>
          </cell>
          <cell r="E40">
            <v>-12.096831283208401</v>
          </cell>
          <cell r="F40" t="b">
            <v>0</v>
          </cell>
          <cell r="G40">
            <v>0.52732686847916632</v>
          </cell>
          <cell r="H40">
            <v>0</v>
          </cell>
          <cell r="I40">
            <v>6.7149307329539276E-3</v>
          </cell>
          <cell r="J40">
            <v>0.44409903598414241</v>
          </cell>
          <cell r="K40">
            <v>0</v>
          </cell>
        </row>
        <row r="41">
          <cell r="B41">
            <v>15</v>
          </cell>
          <cell r="C41" t="str">
            <v>Arizona</v>
          </cell>
          <cell r="D41" t="str">
            <v>Long Island University</v>
          </cell>
          <cell r="E41">
            <v>32.400000000000013</v>
          </cell>
          <cell r="F41" t="b">
            <v>0</v>
          </cell>
          <cell r="G41">
            <v>0.5268316233988839</v>
          </cell>
          <cell r="H41">
            <v>0</v>
          </cell>
          <cell r="I41">
            <v>5.7694628524147529E-3</v>
          </cell>
          <cell r="J41">
            <v>0.82374745212732714</v>
          </cell>
          <cell r="K41">
            <v>0</v>
          </cell>
        </row>
        <row r="42">
          <cell r="B42">
            <v>39</v>
          </cell>
          <cell r="C42" t="str">
            <v>Long Island University</v>
          </cell>
          <cell r="D42" t="str">
            <v>Arizona</v>
          </cell>
          <cell r="E42">
            <v>-32.400000000000013</v>
          </cell>
          <cell r="F42" t="b">
            <v>0</v>
          </cell>
          <cell r="G42">
            <v>0.5268316233988839</v>
          </cell>
          <cell r="H42">
            <v>0</v>
          </cell>
          <cell r="I42">
            <v>5.7694628524147529E-3</v>
          </cell>
          <cell r="J42">
            <v>0.82374745212732714</v>
          </cell>
          <cell r="K42">
            <v>0</v>
          </cell>
        </row>
        <row r="43">
          <cell r="B43">
            <v>41</v>
          </cell>
          <cell r="C43" t="str">
            <v>Louisville</v>
          </cell>
          <cell r="D43" t="str">
            <v>Michigan State</v>
          </cell>
          <cell r="E43">
            <v>-3.009819784518605</v>
          </cell>
          <cell r="F43" t="b">
            <v>0</v>
          </cell>
          <cell r="G43">
            <v>0.52467329665300033</v>
          </cell>
          <cell r="H43">
            <v>0</v>
          </cell>
          <cell r="I43">
            <v>1.6490208830006741E-3</v>
          </cell>
          <cell r="J43">
            <v>3.7622338566990272E-2</v>
          </cell>
          <cell r="K43">
            <v>0</v>
          </cell>
        </row>
        <row r="44">
          <cell r="B44">
            <v>35</v>
          </cell>
          <cell r="C44" t="str">
            <v>Santa Clara</v>
          </cell>
          <cell r="D44" t="str">
            <v>Kentucky</v>
          </cell>
          <cell r="E44">
            <v>-2.097560289466216</v>
          </cell>
          <cell r="F44" t="b">
            <v>0</v>
          </cell>
          <cell r="G44">
            <v>0.52248941008610128</v>
          </cell>
          <cell r="H44">
            <v>0</v>
          </cell>
          <cell r="I44">
            <v>-2.5202171083520408E-3</v>
          </cell>
          <cell r="J44">
            <v>1.3547631565368701E-2</v>
          </cell>
          <cell r="K44">
            <v>0</v>
          </cell>
        </row>
        <row r="45">
          <cell r="B45">
            <v>30</v>
          </cell>
          <cell r="C45" t="str">
            <v>Furman</v>
          </cell>
          <cell r="D45" t="str">
            <v>Uconn</v>
          </cell>
          <cell r="E45">
            <v>-21.482427500798011</v>
          </cell>
          <cell r="F45" t="b">
            <v>0</v>
          </cell>
          <cell r="G45">
            <v>0.52177084207843238</v>
          </cell>
          <cell r="H45">
            <v>0</v>
          </cell>
          <cell r="I45">
            <v>-3.8920287593562919E-3</v>
          </cell>
          <cell r="J45">
            <v>0.66120627779014118</v>
          </cell>
          <cell r="K45">
            <v>0</v>
          </cell>
        </row>
        <row r="46">
          <cell r="B46">
            <v>38</v>
          </cell>
          <cell r="C46" t="str">
            <v>California Baptist</v>
          </cell>
          <cell r="D46" t="str">
            <v>Kansas</v>
          </cell>
          <cell r="E46">
            <v>-14.52957082789203</v>
          </cell>
          <cell r="F46" t="b">
            <v>0</v>
          </cell>
          <cell r="G46">
            <v>0.51310106393859689</v>
          </cell>
          <cell r="H46">
            <v>0</v>
          </cell>
          <cell r="I46">
            <v>-2.0443423389951369E-2</v>
          </cell>
          <cell r="J46">
            <v>0.48348064838746119</v>
          </cell>
          <cell r="K46">
            <v>0</v>
          </cell>
        </row>
        <row r="47">
          <cell r="B47">
            <v>42</v>
          </cell>
          <cell r="C47" t="str">
            <v>Saint Louis</v>
          </cell>
          <cell r="D47" t="str">
            <v>Michigan</v>
          </cell>
          <cell r="E47">
            <v>-12.429984635021251</v>
          </cell>
          <cell r="F47" t="b">
            <v>0</v>
          </cell>
          <cell r="G47">
            <v>0.50174575001391375</v>
          </cell>
          <cell r="H47">
            <v>0</v>
          </cell>
          <cell r="I47">
            <v>-4.2121749973437372E-2</v>
          </cell>
          <cell r="J47">
            <v>0.38901453824241772</v>
          </cell>
          <cell r="K47">
            <v>0</v>
          </cell>
        </row>
        <row r="48">
          <cell r="B48">
            <v>3</v>
          </cell>
          <cell r="C48" t="str">
            <v>Florida</v>
          </cell>
          <cell r="D48" t="str">
            <v>Prairie View A&amp;M</v>
          </cell>
          <cell r="E48">
            <v>35</v>
          </cell>
          <cell r="F48" t="b">
            <v>0</v>
          </cell>
          <cell r="G48">
            <v>0.5</v>
          </cell>
          <cell r="H48">
            <v>0</v>
          </cell>
          <cell r="I48">
            <v>-4.5454545454545407E-2</v>
          </cell>
          <cell r="J48">
            <v>0.82374745212732714</v>
          </cell>
          <cell r="K48">
            <v>0</v>
          </cell>
        </row>
        <row r="49">
          <cell r="B49">
            <v>27</v>
          </cell>
          <cell r="C49" t="str">
            <v>Prairie View A&amp;M</v>
          </cell>
          <cell r="D49" t="str">
            <v>Florida</v>
          </cell>
          <cell r="E49">
            <v>-35</v>
          </cell>
          <cell r="F49" t="b">
            <v>0</v>
          </cell>
          <cell r="G49">
            <v>0.5</v>
          </cell>
          <cell r="H49">
            <v>0</v>
          </cell>
          <cell r="I49">
            <v>-4.5454545454545407E-2</v>
          </cell>
          <cell r="J49">
            <v>0.82374745212732714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Texas Tech</v>
          </cell>
          <cell r="C2" t="str">
            <v>Akron</v>
          </cell>
          <cell r="D2">
            <v>17.052374181699321</v>
          </cell>
          <cell r="E2">
            <v>100.51882408229335</v>
          </cell>
          <cell r="F2">
            <v>104.30065451536628</v>
          </cell>
          <cell r="G2">
            <v>0.56166837256908908</v>
          </cell>
          <cell r="H2">
            <v>67.617500000000007</v>
          </cell>
          <cell r="I2">
            <v>61.0625</v>
          </cell>
          <cell r="J2">
            <v>16.53125</v>
          </cell>
          <cell r="K2">
            <v>11.53125</v>
          </cell>
          <cell r="L2">
            <v>10.8125</v>
          </cell>
          <cell r="M2">
            <v>0</v>
          </cell>
          <cell r="N2">
            <v>10.62898797126984</v>
          </cell>
          <cell r="O2">
            <v>99.852760736196316</v>
          </cell>
          <cell r="P2">
            <v>94.235250093919447</v>
          </cell>
          <cell r="Q2">
            <v>0.58984747378455671</v>
          </cell>
          <cell r="R2">
            <v>71.226666666666659</v>
          </cell>
          <cell r="S2">
            <v>63.575757575757578</v>
          </cell>
          <cell r="T2">
            <v>17.939393939393938</v>
          </cell>
          <cell r="U2">
            <v>11.272727272727273</v>
          </cell>
          <cell r="V2">
            <v>11.030303030303031</v>
          </cell>
          <cell r="W2">
            <v>0</v>
          </cell>
          <cell r="X2">
            <v>-7.5</v>
          </cell>
        </row>
        <row r="3">
          <cell r="A3">
            <v>2</v>
          </cell>
          <cell r="B3" t="str">
            <v>Alabama</v>
          </cell>
          <cell r="C3" t="str">
            <v>Hofstra</v>
          </cell>
          <cell r="D3">
            <v>19.673613604820769</v>
          </cell>
          <cell r="E3">
            <v>102.29455081001471</v>
          </cell>
          <cell r="F3">
            <v>103.71887375881523</v>
          </cell>
          <cell r="G3">
            <v>0.55384250474383301</v>
          </cell>
          <cell r="H3">
            <v>74.217500000000001</v>
          </cell>
          <cell r="I3">
            <v>65.875</v>
          </cell>
          <cell r="J3">
            <v>24.5</v>
          </cell>
          <cell r="K3">
            <v>12.21875</v>
          </cell>
          <cell r="L3">
            <v>9.78125</v>
          </cell>
          <cell r="M3">
            <v>0</v>
          </cell>
          <cell r="N3">
            <v>2.1356002741910172</v>
          </cell>
          <cell r="O3">
            <v>101.93227153239523</v>
          </cell>
          <cell r="P3">
            <v>108.25319811541539</v>
          </cell>
          <cell r="Q3">
            <v>0.52252944188428063</v>
          </cell>
          <cell r="R3">
            <v>65.487272727272725</v>
          </cell>
          <cell r="S3">
            <v>59.18181818181818</v>
          </cell>
          <cell r="T3">
            <v>18.393939393939394</v>
          </cell>
          <cell r="U3">
            <v>12.484848484848484</v>
          </cell>
          <cell r="V3">
            <v>10.696969696969697</v>
          </cell>
          <cell r="W3">
            <v>0</v>
          </cell>
          <cell r="X3">
            <v>-14</v>
          </cell>
        </row>
        <row r="4">
          <cell r="A4">
            <v>3</v>
          </cell>
          <cell r="B4" t="str">
            <v>Florida</v>
          </cell>
          <cell r="C4" t="str">
            <v>Prairie View A&amp;M</v>
          </cell>
          <cell r="D4">
            <v>22.650454216704585</v>
          </cell>
          <cell r="E4">
            <v>104.38676700269771</v>
          </cell>
          <cell r="F4">
            <v>99.448258680413886</v>
          </cell>
          <cell r="G4">
            <v>0.53652636671504594</v>
          </cell>
          <cell r="H4">
            <v>71.564999999999998</v>
          </cell>
          <cell r="I4">
            <v>64.59375</v>
          </cell>
          <cell r="J4">
            <v>25.21875</v>
          </cell>
          <cell r="K4">
            <v>15.96875</v>
          </cell>
          <cell r="L4">
            <v>11.84375</v>
          </cell>
          <cell r="M4">
            <v>0</v>
          </cell>
          <cell r="N4">
            <v>-11.471425536201773</v>
          </cell>
          <cell r="O4">
            <v>97.164732374848427</v>
          </cell>
          <cell r="P4">
            <v>95.447708530170132</v>
          </cell>
          <cell r="Q4">
            <v>0.49387855044074436</v>
          </cell>
          <cell r="R4">
            <v>73.484705882352941</v>
          </cell>
          <cell r="S4">
            <v>60.058823529411768</v>
          </cell>
          <cell r="T4">
            <v>26.235294117647058</v>
          </cell>
          <cell r="U4">
            <v>10.058823529411764</v>
          </cell>
          <cell r="V4">
            <v>11.941176470588236</v>
          </cell>
          <cell r="W4">
            <v>0</v>
          </cell>
          <cell r="X4">
            <v>-35</v>
          </cell>
        </row>
        <row r="5">
          <cell r="A5">
            <v>4</v>
          </cell>
          <cell r="B5" t="str">
            <v>Clemson</v>
          </cell>
          <cell r="C5" t="str">
            <v>Iowa</v>
          </cell>
          <cell r="D5">
            <v>11.025556023298106</v>
          </cell>
          <cell r="E5">
            <v>99.36088590073166</v>
          </cell>
          <cell r="F5">
            <v>103.15195066761017</v>
          </cell>
          <cell r="G5">
            <v>0.52621919244887261</v>
          </cell>
          <cell r="H5">
            <v>65.309411764705885</v>
          </cell>
          <cell r="I5">
            <v>56.088235294117645</v>
          </cell>
          <cell r="J5">
            <v>20.823529411764707</v>
          </cell>
          <cell r="K5">
            <v>9.3235294117647065</v>
          </cell>
          <cell r="L5">
            <v>9.382352941176471</v>
          </cell>
          <cell r="M5">
            <v>0</v>
          </cell>
          <cell r="N5">
            <v>15.51511812576733</v>
          </cell>
          <cell r="O5">
            <v>98.238539943433466</v>
          </cell>
          <cell r="P5">
            <v>93.168875634820807</v>
          </cell>
          <cell r="Q5">
            <v>0.56555993247045577</v>
          </cell>
          <cell r="R5">
            <v>62.900606060606066</v>
          </cell>
          <cell r="S5">
            <v>53.848484848484851</v>
          </cell>
          <cell r="T5">
            <v>18.575757575757574</v>
          </cell>
          <cell r="U5">
            <v>8.8181818181818183</v>
          </cell>
          <cell r="V5">
            <v>9.6969696969696972</v>
          </cell>
          <cell r="W5">
            <v>0</v>
          </cell>
          <cell r="X5">
            <v>2</v>
          </cell>
        </row>
        <row r="6">
          <cell r="A6">
            <v>5</v>
          </cell>
          <cell r="B6" t="str">
            <v>UCLA</v>
          </cell>
          <cell r="C6" t="str">
            <v>UCF</v>
          </cell>
          <cell r="D6">
            <v>15.943406980069799</v>
          </cell>
          <cell r="E6">
            <v>100.85863980873899</v>
          </cell>
          <cell r="F6">
            <v>91.898292422931632</v>
          </cell>
          <cell r="G6">
            <v>0.54047742605085625</v>
          </cell>
          <cell r="H6">
            <v>65.963636363636368</v>
          </cell>
          <cell r="I6">
            <v>58.393939393939391</v>
          </cell>
          <cell r="J6">
            <v>19.545454545454547</v>
          </cell>
          <cell r="K6">
            <v>10</v>
          </cell>
          <cell r="L6">
            <v>8.9696969696969688</v>
          </cell>
          <cell r="M6">
            <v>0</v>
          </cell>
          <cell r="N6">
            <v>12.780422052740661</v>
          </cell>
          <cell r="O6">
            <v>101.06601066010661</v>
          </cell>
          <cell r="P6">
            <v>97.015666781333081</v>
          </cell>
          <cell r="Q6">
            <v>0.52792008196721307</v>
          </cell>
          <cell r="R6">
            <v>70.258064516129025</v>
          </cell>
          <cell r="S6">
            <v>62.967741935483872</v>
          </cell>
          <cell r="T6">
            <v>19.35483870967742</v>
          </cell>
          <cell r="U6">
            <v>12.387096774193548</v>
          </cell>
          <cell r="V6">
            <v>11.161290322580646</v>
          </cell>
          <cell r="W6">
            <v>0</v>
          </cell>
          <cell r="X6">
            <v>-5.5</v>
          </cell>
        </row>
        <row r="7">
          <cell r="A7">
            <v>6</v>
          </cell>
          <cell r="B7" t="str">
            <v>Uconn</v>
          </cell>
          <cell r="C7" t="str">
            <v>Furman</v>
          </cell>
          <cell r="D7">
            <v>18.120431537245491</v>
          </cell>
          <cell r="E7">
            <v>100.0952772073922</v>
          </cell>
          <cell r="F7">
            <v>94.261774983054991</v>
          </cell>
          <cell r="G7">
            <v>0.55882352941176472</v>
          </cell>
          <cell r="H7">
            <v>66.089696969696973</v>
          </cell>
          <cell r="I7">
            <v>58.727272727272727</v>
          </cell>
          <cell r="J7">
            <v>17.696969696969695</v>
          </cell>
          <cell r="K7">
            <v>11.454545454545455</v>
          </cell>
          <cell r="L7">
            <v>11.030303030303031</v>
          </cell>
          <cell r="M7">
            <v>0</v>
          </cell>
          <cell r="N7">
            <v>0.19358290778345913</v>
          </cell>
          <cell r="O7">
            <v>98.095219377978665</v>
          </cell>
          <cell r="P7">
            <v>107.97637861090803</v>
          </cell>
          <cell r="Q7">
            <v>0.5527254202750892</v>
          </cell>
          <cell r="R7">
            <v>66.856470588235297</v>
          </cell>
          <cell r="S7">
            <v>57.735294117647058</v>
          </cell>
          <cell r="T7">
            <v>18.323529411764707</v>
          </cell>
          <cell r="U7">
            <v>10.882352941176471</v>
          </cell>
          <cell r="V7">
            <v>11.941176470588236</v>
          </cell>
          <cell r="W7">
            <v>0</v>
          </cell>
          <cell r="X7">
            <v>-20.5</v>
          </cell>
        </row>
        <row r="8">
          <cell r="A8">
            <v>7</v>
          </cell>
          <cell r="B8" t="str">
            <v>Tennessee</v>
          </cell>
          <cell r="C8" t="str">
            <v>Miami (OH)</v>
          </cell>
          <cell r="D8">
            <v>20.582457175121956</v>
          </cell>
          <cell r="E8">
            <v>105.02195491662999</v>
          </cell>
          <cell r="F8">
            <v>93.637950339797769</v>
          </cell>
          <cell r="G8">
            <v>0.51561725334655428</v>
          </cell>
          <cell r="H8">
            <v>67.170909090909092</v>
          </cell>
          <cell r="I8">
            <v>61.121212121212125</v>
          </cell>
          <cell r="J8">
            <v>23.666666666666668</v>
          </cell>
          <cell r="K8">
            <v>16.030303030303031</v>
          </cell>
          <cell r="L8">
            <v>11.666666666666666</v>
          </cell>
          <cell r="M8">
            <v>0</v>
          </cell>
          <cell r="N8">
            <v>7.7337055835141966</v>
          </cell>
          <cell r="O8">
            <v>96.443484662576694</v>
          </cell>
          <cell r="P8">
            <v>99.09137666807915</v>
          </cell>
          <cell r="Q8">
            <v>0.61211129296235678</v>
          </cell>
          <cell r="R8">
            <v>71.92774193548388</v>
          </cell>
          <cell r="S8">
            <v>59.12903225806452</v>
          </cell>
          <cell r="T8">
            <v>23.516129032258064</v>
          </cell>
          <cell r="U8">
            <v>8</v>
          </cell>
          <cell r="V8">
            <v>10.451612903225806</v>
          </cell>
          <cell r="W8">
            <v>0</v>
          </cell>
          <cell r="X8">
            <v>-11</v>
          </cell>
        </row>
        <row r="9">
          <cell r="A9">
            <v>8</v>
          </cell>
          <cell r="B9" t="str">
            <v>Virginia</v>
          </cell>
          <cell r="C9" t="str">
            <v>Wright State</v>
          </cell>
          <cell r="D9">
            <v>12.898930744177012</v>
          </cell>
          <cell r="E9">
            <v>102.74660271782574</v>
          </cell>
          <cell r="F9">
            <v>105.30602921182151</v>
          </cell>
          <cell r="G9">
            <v>0.54717923115327005</v>
          </cell>
          <cell r="H9">
            <v>67.065454545454543</v>
          </cell>
          <cell r="I9">
            <v>60.696969696969695</v>
          </cell>
          <cell r="J9">
            <v>20.121212121212121</v>
          </cell>
          <cell r="K9">
            <v>13.272727272727273</v>
          </cell>
          <cell r="L9">
            <v>10.787878787878787</v>
          </cell>
          <cell r="M9">
            <v>0</v>
          </cell>
          <cell r="N9">
            <v>3.0807597689023769</v>
          </cell>
          <cell r="O9">
            <v>99.432741654503502</v>
          </cell>
          <cell r="P9">
            <v>99.184832714478731</v>
          </cell>
          <cell r="Q9">
            <v>0.5488476953907816</v>
          </cell>
          <cell r="R9">
            <v>68.45058823529412</v>
          </cell>
          <cell r="S9">
            <v>58.705882352941174</v>
          </cell>
          <cell r="T9">
            <v>22.147058823529413</v>
          </cell>
          <cell r="U9">
            <v>11.264705882352942</v>
          </cell>
          <cell r="V9">
            <v>11.264705882352942</v>
          </cell>
          <cell r="W9">
            <v>0</v>
          </cell>
          <cell r="X9">
            <v>-18</v>
          </cell>
        </row>
        <row r="10">
          <cell r="A10">
            <v>9</v>
          </cell>
          <cell r="B10" t="str">
            <v>Miami</v>
          </cell>
          <cell r="C10" t="str">
            <v>Missouri</v>
          </cell>
          <cell r="D10">
            <v>12.238890418004498</v>
          </cell>
          <cell r="E10">
            <v>100.74202898550723</v>
          </cell>
          <cell r="F10">
            <v>98.35968575523485</v>
          </cell>
          <cell r="G10">
            <v>0.55597771023302933</v>
          </cell>
          <cell r="H10">
            <v>68.654545454545456</v>
          </cell>
          <cell r="I10">
            <v>59.81818181818182</v>
          </cell>
          <cell r="J10">
            <v>22.424242424242426</v>
          </cell>
          <cell r="K10">
            <v>12.242424242424242</v>
          </cell>
          <cell r="L10">
            <v>11.212121212121213</v>
          </cell>
          <cell r="M10">
            <v>1</v>
          </cell>
          <cell r="N10">
            <v>11.938625469494365</v>
          </cell>
          <cell r="O10">
            <v>98.436590436590436</v>
          </cell>
          <cell r="P10">
            <v>95.737468863684654</v>
          </cell>
          <cell r="Q10">
            <v>0.55317982456140347</v>
          </cell>
          <cell r="R10">
            <v>68.392499999999998</v>
          </cell>
          <cell r="S10">
            <v>57</v>
          </cell>
          <cell r="T10">
            <v>24.1875</v>
          </cell>
          <cell r="U10">
            <v>11.625</v>
          </cell>
          <cell r="V10">
            <v>12.375</v>
          </cell>
          <cell r="W10">
            <v>0</v>
          </cell>
          <cell r="X10">
            <v>-2</v>
          </cell>
        </row>
        <row r="11">
          <cell r="A11">
            <v>10</v>
          </cell>
          <cell r="B11" t="str">
            <v>Purdue</v>
          </cell>
          <cell r="C11" t="str">
            <v>Queens University</v>
          </cell>
          <cell r="D11">
            <v>20.933350618351088</v>
          </cell>
          <cell r="E11">
            <v>102.749921687376</v>
          </cell>
          <cell r="F11">
            <v>101.56518525976452</v>
          </cell>
          <cell r="G11">
            <v>0.5771558245083207</v>
          </cell>
          <cell r="H11">
            <v>65.197575757575763</v>
          </cell>
          <cell r="I11">
            <v>60.090909090909093</v>
          </cell>
          <cell r="J11">
            <v>16.90909090909091</v>
          </cell>
          <cell r="K11">
            <v>11.363636363636363</v>
          </cell>
          <cell r="L11">
            <v>9.0303030303030312</v>
          </cell>
          <cell r="M11">
            <v>2</v>
          </cell>
          <cell r="N11">
            <v>-2.4386972367557296</v>
          </cell>
          <cell r="O11">
            <v>98.853272311212805</v>
          </cell>
          <cell r="P11">
            <v>98.255343754602677</v>
          </cell>
          <cell r="Q11">
            <v>0.56723716381418088</v>
          </cell>
          <cell r="R11">
            <v>70.530588235294118</v>
          </cell>
          <cell r="S11">
            <v>60.147058823529413</v>
          </cell>
          <cell r="T11">
            <v>22.529411764705884</v>
          </cell>
          <cell r="U11">
            <v>10.235294117647058</v>
          </cell>
          <cell r="V11">
            <v>10.705882352941176</v>
          </cell>
          <cell r="W11">
            <v>0</v>
          </cell>
          <cell r="X11">
            <v>-25</v>
          </cell>
        </row>
        <row r="12">
          <cell r="A12">
            <v>11</v>
          </cell>
          <cell r="B12" t="str">
            <v>Kentucky</v>
          </cell>
          <cell r="C12" t="str">
            <v>Santa Clara</v>
          </cell>
          <cell r="D12">
            <v>18.034523649586539</v>
          </cell>
          <cell r="E12">
            <v>101.2517590047062</v>
          </cell>
          <cell r="F12">
            <v>98.419793855345077</v>
          </cell>
          <cell r="G12">
            <v>0.53111327175498302</v>
          </cell>
          <cell r="H12">
            <v>69.036470588235289</v>
          </cell>
          <cell r="I12">
            <v>60.5</v>
          </cell>
          <cell r="J12">
            <v>22.676470588235293</v>
          </cell>
          <cell r="K12">
            <v>11.941176470588236</v>
          </cell>
          <cell r="L12">
            <v>10.5</v>
          </cell>
          <cell r="M12">
            <v>3</v>
          </cell>
          <cell r="N12">
            <v>15.7373824689671</v>
          </cell>
          <cell r="O12">
            <v>102.69192816262087</v>
          </cell>
          <cell r="P12">
            <v>86.875904373690886</v>
          </cell>
          <cell r="Q12">
            <v>0.54789719626168221</v>
          </cell>
          <cell r="R12">
            <v>69.654545454545456</v>
          </cell>
          <cell r="S12">
            <v>64.848484848484844</v>
          </cell>
          <cell r="T12">
            <v>16.363636363636363</v>
          </cell>
          <cell r="U12">
            <v>13.090909090909092</v>
          </cell>
          <cell r="V12">
            <v>10.696969696969697</v>
          </cell>
          <cell r="W12">
            <v>0</v>
          </cell>
          <cell r="X12">
            <v>-3</v>
          </cell>
        </row>
        <row r="13">
          <cell r="A13">
            <v>12</v>
          </cell>
          <cell r="B13" t="str">
            <v>Iowa State</v>
          </cell>
          <cell r="C13" t="str">
            <v>Tennessee State</v>
          </cell>
          <cell r="D13">
            <v>20.641493911570723</v>
          </cell>
          <cell r="E13">
            <v>101.50134460238188</v>
          </cell>
          <cell r="F13">
            <v>96.951162965358421</v>
          </cell>
          <cell r="G13">
            <v>0.56497313141182215</v>
          </cell>
          <cell r="H13">
            <v>67.654117647058825</v>
          </cell>
          <cell r="I13">
            <v>60.205882352941174</v>
          </cell>
          <cell r="J13">
            <v>20.470588235294116</v>
          </cell>
          <cell r="K13">
            <v>11.823529411764707</v>
          </cell>
          <cell r="L13">
            <v>10.264705882352942</v>
          </cell>
          <cell r="M13">
            <v>4</v>
          </cell>
          <cell r="N13">
            <v>1.0639361366167945</v>
          </cell>
          <cell r="O13">
            <v>100.59318477066054</v>
          </cell>
          <cell r="P13">
            <v>92.0991626269942</v>
          </cell>
          <cell r="Q13">
            <v>0.50690890481064488</v>
          </cell>
          <cell r="R13">
            <v>71.468387096774194</v>
          </cell>
          <cell r="S13">
            <v>63.032258064516128</v>
          </cell>
          <cell r="T13">
            <v>21.225806451612904</v>
          </cell>
          <cell r="U13">
            <v>13.129032258064516</v>
          </cell>
          <cell r="V13">
            <v>12.225806451612904</v>
          </cell>
          <cell r="W13">
            <v>0</v>
          </cell>
          <cell r="X13">
            <v>-24.5</v>
          </cell>
        </row>
        <row r="14">
          <cell r="A14">
            <v>13</v>
          </cell>
          <cell r="B14" t="str">
            <v>St. John's</v>
          </cell>
          <cell r="C14" t="str">
            <v>Northern Iowa</v>
          </cell>
          <cell r="D14">
            <v>15.123966744544841</v>
          </cell>
          <cell r="E14">
            <v>102.62076624097725</v>
          </cell>
          <cell r="F14">
            <v>99.067983608660882</v>
          </cell>
          <cell r="G14">
            <v>0.50957290132547861</v>
          </cell>
          <cell r="H14">
            <v>70.527272727272731</v>
          </cell>
          <cell r="I14">
            <v>61.727272727272727</v>
          </cell>
          <cell r="J14">
            <v>26.060606060606062</v>
          </cell>
          <cell r="K14">
            <v>13.242424242424242</v>
          </cell>
          <cell r="L14">
            <v>10.575757575757576</v>
          </cell>
          <cell r="M14">
            <v>5</v>
          </cell>
          <cell r="N14">
            <v>9.044790611595948</v>
          </cell>
          <cell r="O14">
            <v>96.067511414353874</v>
          </cell>
          <cell r="P14">
            <v>96.437852753995415</v>
          </cell>
          <cell r="Q14">
            <v>0.54763144195731395</v>
          </cell>
          <cell r="R14">
            <v>63.515428571428572</v>
          </cell>
          <cell r="S14">
            <v>54.885714285714286</v>
          </cell>
          <cell r="T14">
            <v>14.028571428571428</v>
          </cell>
          <cell r="U14">
            <v>6.8571428571428568</v>
          </cell>
          <cell r="V14">
            <v>9.3142857142857149</v>
          </cell>
          <cell r="W14">
            <v>0</v>
          </cell>
          <cell r="X14">
            <v>-10</v>
          </cell>
        </row>
        <row r="15">
          <cell r="A15">
            <v>14</v>
          </cell>
          <cell r="B15" t="str">
            <v>Kansas</v>
          </cell>
          <cell r="C15" t="str">
            <v>California Baptist</v>
          </cell>
          <cell r="D15">
            <v>16.809475334579385</v>
          </cell>
          <cell r="E15">
            <v>98.782531105933685</v>
          </cell>
          <cell r="F15">
            <v>105.39233290147665</v>
          </cell>
          <cell r="G15">
            <v>0.51565708418891165</v>
          </cell>
          <cell r="H15">
            <v>68.042424242424246</v>
          </cell>
          <cell r="I15">
            <v>59.030303030303031</v>
          </cell>
          <cell r="J15">
            <v>19.242424242424242</v>
          </cell>
          <cell r="K15">
            <v>10.121212121212121</v>
          </cell>
          <cell r="L15">
            <v>10.666666666666666</v>
          </cell>
          <cell r="M15">
            <v>6</v>
          </cell>
          <cell r="N15">
            <v>4.6851123682196496</v>
          </cell>
          <cell r="O15">
            <v>101.15808245043532</v>
          </cell>
          <cell r="P15">
            <v>89.740557985976295</v>
          </cell>
          <cell r="Q15">
            <v>0.48558215451577802</v>
          </cell>
          <cell r="R15">
            <v>67.477419354838716</v>
          </cell>
          <cell r="S15">
            <v>59.29032258064516</v>
          </cell>
          <cell r="T15">
            <v>21.612903225806452</v>
          </cell>
          <cell r="U15">
            <v>13.838709677419354</v>
          </cell>
          <cell r="V15">
            <v>12.516129032258064</v>
          </cell>
          <cell r="W15">
            <v>0</v>
          </cell>
          <cell r="X15">
            <v>-14</v>
          </cell>
        </row>
        <row r="16">
          <cell r="A16">
            <v>15</v>
          </cell>
          <cell r="B16" t="str">
            <v>Arizona</v>
          </cell>
          <cell r="C16" t="str">
            <v>Long Island University</v>
          </cell>
          <cell r="D16">
            <v>23.687310951598352</v>
          </cell>
          <cell r="E16">
            <v>101.76807841686704</v>
          </cell>
          <cell r="F16">
            <v>98.493332637771204</v>
          </cell>
          <cell r="G16">
            <v>0.55109126984126988</v>
          </cell>
          <cell r="H16">
            <v>70.587878787878793</v>
          </cell>
          <cell r="I16">
            <v>61.090909090909093</v>
          </cell>
          <cell r="J16">
            <v>26.060606060606062</v>
          </cell>
          <cell r="K16">
            <v>12.878787878787879</v>
          </cell>
          <cell r="L16">
            <v>10.909090909090908</v>
          </cell>
          <cell r="M16">
            <v>7</v>
          </cell>
          <cell r="N16">
            <v>-5.3079314642110162</v>
          </cell>
          <cell r="O16">
            <v>97.176470588235304</v>
          </cell>
          <cell r="P16">
            <v>96.766501308175762</v>
          </cell>
          <cell r="Q16">
            <v>0.53577106518282991</v>
          </cell>
          <cell r="R16">
            <v>67.672727272727272</v>
          </cell>
          <cell r="S16">
            <v>57.18181818181818</v>
          </cell>
          <cell r="T16">
            <v>19.848484848484848</v>
          </cell>
          <cell r="U16">
            <v>11.303030303030303</v>
          </cell>
          <cell r="V16">
            <v>13.060606060606061</v>
          </cell>
          <cell r="W16">
            <v>0</v>
          </cell>
          <cell r="X16">
            <v>-31</v>
          </cell>
        </row>
        <row r="17">
          <cell r="A17">
            <v>16</v>
          </cell>
          <cell r="B17" t="str">
            <v>Villanova</v>
          </cell>
          <cell r="C17" t="str">
            <v>Utah State</v>
          </cell>
          <cell r="D17">
            <v>11.840993072985095</v>
          </cell>
          <cell r="E17">
            <v>101.29752325216845</v>
          </cell>
          <cell r="F17">
            <v>98.574654865749267</v>
          </cell>
          <cell r="G17">
            <v>0.53713389121338917</v>
          </cell>
          <cell r="H17">
            <v>66.628749999999997</v>
          </cell>
          <cell r="I17">
            <v>59.75</v>
          </cell>
          <cell r="J17">
            <v>18.6875</v>
          </cell>
          <cell r="K17">
            <v>11.5</v>
          </cell>
          <cell r="L17">
            <v>10.15625</v>
          </cell>
          <cell r="M17">
            <v>8</v>
          </cell>
          <cell r="N17">
            <v>16.287809545840613</v>
          </cell>
          <cell r="O17">
            <v>99.539689712306071</v>
          </cell>
          <cell r="P17">
            <v>89.1227776403734</v>
          </cell>
          <cell r="Q17">
            <v>0.5741935483870968</v>
          </cell>
          <cell r="R17">
            <v>67.972499999999997</v>
          </cell>
          <cell r="S17">
            <v>58.125</v>
          </cell>
          <cell r="T17">
            <v>22.59375</v>
          </cell>
          <cell r="U17">
            <v>10.65625</v>
          </cell>
          <cell r="V17">
            <v>10.5625</v>
          </cell>
          <cell r="W17">
            <v>0</v>
          </cell>
          <cell r="X17">
            <v>2</v>
          </cell>
        </row>
        <row r="18">
          <cell r="A18">
            <v>17</v>
          </cell>
          <cell r="B18" t="str">
            <v>Michigan State</v>
          </cell>
          <cell r="C18" t="str">
            <v>Louisville</v>
          </cell>
          <cell r="D18">
            <v>19.982154388171562</v>
          </cell>
          <cell r="E18">
            <v>101.32466702184337</v>
          </cell>
          <cell r="F18">
            <v>94.579391423053281</v>
          </cell>
          <cell r="G18">
            <v>0.53589041095890411</v>
          </cell>
          <cell r="H18">
            <v>66.620645161290327</v>
          </cell>
          <cell r="I18">
            <v>58.87096774193548</v>
          </cell>
          <cell r="J18">
            <v>20.838709677419356</v>
          </cell>
          <cell r="K18">
            <v>12.774193548387096</v>
          </cell>
          <cell r="L18">
            <v>11.35483870967742</v>
          </cell>
          <cell r="M18">
            <v>9</v>
          </cell>
          <cell r="N18">
            <v>16.631119331501349</v>
          </cell>
          <cell r="O18">
            <v>99.101896527014759</v>
          </cell>
          <cell r="P18">
            <v>98.314439245284362</v>
          </cell>
          <cell r="Q18">
            <v>0.56448412698412698</v>
          </cell>
          <cell r="R18">
            <v>70.393939393939391</v>
          </cell>
          <cell r="S18">
            <v>61.090909090909093</v>
          </cell>
          <cell r="T18">
            <v>20.454545454545453</v>
          </cell>
          <cell r="U18">
            <v>11.333333333333334</v>
          </cell>
          <cell r="V18">
            <v>11.636363636363637</v>
          </cell>
          <cell r="W18">
            <v>0</v>
          </cell>
          <cell r="X18">
            <v>-4</v>
          </cell>
        </row>
        <row r="19">
          <cell r="A19">
            <v>18</v>
          </cell>
          <cell r="B19" t="str">
            <v>Michigan</v>
          </cell>
          <cell r="C19" t="str">
            <v>Saint Louis</v>
          </cell>
          <cell r="D19">
            <v>23.158914646956031</v>
          </cell>
          <cell r="E19">
            <v>98.200984374253366</v>
          </cell>
          <cell r="F19">
            <v>96.383444817292968</v>
          </cell>
          <cell r="G19">
            <v>0.58467532467532468</v>
          </cell>
          <cell r="H19">
            <v>71.510000000000005</v>
          </cell>
          <cell r="I19">
            <v>60.15625</v>
          </cell>
          <cell r="J19">
            <v>23.53125</v>
          </cell>
          <cell r="K19">
            <v>11.0625</v>
          </cell>
          <cell r="L19">
            <v>12.0625</v>
          </cell>
          <cell r="M19">
            <v>10</v>
          </cell>
          <cell r="N19">
            <v>12.891007564287897</v>
          </cell>
          <cell r="O19">
            <v>96.587342281204442</v>
          </cell>
          <cell r="P19">
            <v>96.419529699076293</v>
          </cell>
          <cell r="Q19">
            <v>0.59935205183585316</v>
          </cell>
          <cell r="R19">
            <v>71.190967741935481</v>
          </cell>
          <cell r="S19">
            <v>59.741935483870968</v>
          </cell>
          <cell r="T19">
            <v>20.741935483870968</v>
          </cell>
          <cell r="U19">
            <v>10.03225806451613</v>
          </cell>
          <cell r="V19">
            <v>12.35483870967742</v>
          </cell>
          <cell r="W19">
            <v>0</v>
          </cell>
          <cell r="X19">
            <v>-12.5</v>
          </cell>
        </row>
        <row r="20">
          <cell r="A20">
            <v>19</v>
          </cell>
          <cell r="B20" t="str">
            <v>Duke</v>
          </cell>
          <cell r="C20" t="str">
            <v>TCU</v>
          </cell>
          <cell r="D20">
            <v>23.054887624413109</v>
          </cell>
          <cell r="E20">
            <v>101.57301127857072</v>
          </cell>
          <cell r="F20">
            <v>99.414290660558592</v>
          </cell>
          <cell r="G20">
            <v>0.57213541666666667</v>
          </cell>
          <cell r="H20">
            <v>66.278787878787867</v>
          </cell>
          <cell r="I20">
            <v>58.18181818181818</v>
          </cell>
          <cell r="J20">
            <v>22.121212121212121</v>
          </cell>
          <cell r="K20">
            <v>12.212121212121213</v>
          </cell>
          <cell r="L20">
            <v>10.575757575757576</v>
          </cell>
          <cell r="M20">
            <v>11</v>
          </cell>
          <cell r="N20">
            <v>12.676356416890858</v>
          </cell>
          <cell r="O20">
            <v>101.27537334728432</v>
          </cell>
          <cell r="P20">
            <v>97.104848064562987</v>
          </cell>
          <cell r="Q20">
            <v>0.50900000000000001</v>
          </cell>
          <cell r="R20">
            <v>69.441212121212118</v>
          </cell>
          <cell r="S20">
            <v>60.606060606060609</v>
          </cell>
          <cell r="T20">
            <v>23.454545454545453</v>
          </cell>
          <cell r="U20">
            <v>12.424242424242424</v>
          </cell>
          <cell r="V20">
            <v>10.939393939393939</v>
          </cell>
          <cell r="W20">
            <v>0</v>
          </cell>
          <cell r="X20">
            <v>-11</v>
          </cell>
        </row>
        <row r="21">
          <cell r="A21">
            <v>20</v>
          </cell>
          <cell r="B21" t="str">
            <v>Illinois</v>
          </cell>
          <cell r="C21" t="str">
            <v>VCU</v>
          </cell>
          <cell r="D21">
            <v>18.826343007871433</v>
          </cell>
          <cell r="E21">
            <v>105.08780903665816</v>
          </cell>
          <cell r="F21">
            <v>108.91673393133649</v>
          </cell>
          <cell r="G21">
            <v>0.5511688311688312</v>
          </cell>
          <cell r="H21">
            <v>66.809032258064519</v>
          </cell>
          <cell r="I21">
            <v>62.096774193548384</v>
          </cell>
          <cell r="J21">
            <v>20.387096774193548</v>
          </cell>
          <cell r="K21">
            <v>13.258064516129032</v>
          </cell>
          <cell r="L21">
            <v>9</v>
          </cell>
          <cell r="M21">
            <v>12</v>
          </cell>
          <cell r="N21">
            <v>10.280535393881047</v>
          </cell>
          <cell r="O21">
            <v>99.976592216912124</v>
          </cell>
          <cell r="P21">
            <v>99.94980567668172</v>
          </cell>
          <cell r="Q21">
            <v>0.54290339989206693</v>
          </cell>
          <cell r="R21">
            <v>68.818749999999994</v>
          </cell>
          <cell r="S21">
            <v>57.90625</v>
          </cell>
          <cell r="T21">
            <v>25.9375</v>
          </cell>
          <cell r="U21">
            <v>11.3125</v>
          </cell>
          <cell r="V21">
            <v>10.8125</v>
          </cell>
          <cell r="W21">
            <v>0</v>
          </cell>
          <cell r="X21">
            <v>-10.5</v>
          </cell>
        </row>
        <row r="22">
          <cell r="A22">
            <v>21</v>
          </cell>
          <cell r="B22" t="str">
            <v>Nebraska</v>
          </cell>
          <cell r="C22" t="str">
            <v>Vanderbilt</v>
          </cell>
          <cell r="D22">
            <v>15.82631796216417</v>
          </cell>
          <cell r="E22">
            <v>98.25476089716463</v>
          </cell>
          <cell r="F22">
            <v>102.35159180352665</v>
          </cell>
          <cell r="G22">
            <v>0.55440552016985134</v>
          </cell>
          <cell r="H22">
            <v>66.883750000000006</v>
          </cell>
          <cell r="I22">
            <v>58.875</v>
          </cell>
          <cell r="J22">
            <v>16</v>
          </cell>
          <cell r="K22">
            <v>8.78125</v>
          </cell>
          <cell r="L22">
            <v>9.75</v>
          </cell>
          <cell r="M22">
            <v>13</v>
          </cell>
          <cell r="N22">
            <v>19.334095266215517</v>
          </cell>
          <cell r="O22">
            <v>100.88210871874095</v>
          </cell>
          <cell r="P22">
            <v>97.473801766777243</v>
          </cell>
          <cell r="Q22">
            <v>0.55371690427698572</v>
          </cell>
          <cell r="R22">
            <v>70.61</v>
          </cell>
          <cell r="S22">
            <v>61.375</v>
          </cell>
          <cell r="T22">
            <v>23.6875</v>
          </cell>
          <cell r="U22">
            <v>10.8125</v>
          </cell>
          <cell r="V22">
            <v>9.625</v>
          </cell>
          <cell r="W22">
            <v>0</v>
          </cell>
          <cell r="X22">
            <v>2.5</v>
          </cell>
        </row>
        <row r="23">
          <cell r="A23">
            <v>22</v>
          </cell>
          <cell r="B23" t="str">
            <v>Houston</v>
          </cell>
          <cell r="C23" t="str">
            <v>Texas A&amp;M</v>
          </cell>
          <cell r="D23">
            <v>20.901069562815731</v>
          </cell>
          <cell r="E23">
            <v>105.43571389837862</v>
          </cell>
          <cell r="F23">
            <v>97.084637989347655</v>
          </cell>
          <cell r="G23">
            <v>0.52154080081094778</v>
          </cell>
          <cell r="H23">
            <v>64.762500000000003</v>
          </cell>
          <cell r="I23">
            <v>61.65625</v>
          </cell>
          <cell r="J23">
            <v>16.71875</v>
          </cell>
          <cell r="K23">
            <v>12.78125</v>
          </cell>
          <cell r="L23">
            <v>8.53125</v>
          </cell>
          <cell r="M23">
            <v>14</v>
          </cell>
          <cell r="N23">
            <v>13.344745551152522</v>
          </cell>
          <cell r="O23">
            <v>101.09664255240216</v>
          </cell>
          <cell r="P23">
            <v>98.213295342640578</v>
          </cell>
          <cell r="Q23">
            <v>0.54188861985472159</v>
          </cell>
          <cell r="R23">
            <v>73.739999999999995</v>
          </cell>
          <cell r="S23">
            <v>64.53125</v>
          </cell>
          <cell r="T23">
            <v>24.125</v>
          </cell>
          <cell r="U23">
            <v>12.25</v>
          </cell>
          <cell r="V23">
            <v>10.84375</v>
          </cell>
          <cell r="W23">
            <v>0</v>
          </cell>
          <cell r="X23">
            <v>-10</v>
          </cell>
        </row>
        <row r="24">
          <cell r="A24">
            <v>23</v>
          </cell>
          <cell r="B24" t="str">
            <v>Arkansas</v>
          </cell>
          <cell r="C24" t="str">
            <v>High Point</v>
          </cell>
          <cell r="D24">
            <v>19.899076876872613</v>
          </cell>
          <cell r="E24">
            <v>101.9693472090823</v>
          </cell>
          <cell r="F24">
            <v>97.545722643013036</v>
          </cell>
          <cell r="G24">
            <v>0.56447688564476883</v>
          </cell>
          <cell r="H24">
            <v>72.41</v>
          </cell>
          <cell r="I24">
            <v>64.21875</v>
          </cell>
          <cell r="J24">
            <v>23.375</v>
          </cell>
          <cell r="K24">
            <v>11.0625</v>
          </cell>
          <cell r="L24">
            <v>8.96875</v>
          </cell>
          <cell r="M24">
            <v>15</v>
          </cell>
          <cell r="N24">
            <v>9.7914064574296606</v>
          </cell>
          <cell r="O24">
            <v>102.08135263134599</v>
          </cell>
          <cell r="P24">
            <v>95.473025683474958</v>
          </cell>
          <cell r="Q24">
            <v>0.56606463878326996</v>
          </cell>
          <cell r="R24">
            <v>71.407058823529411</v>
          </cell>
          <cell r="S24">
            <v>61.882352941176471</v>
          </cell>
          <cell r="T24">
            <v>26.794117647058822</v>
          </cell>
          <cell r="U24">
            <v>11.617647058823529</v>
          </cell>
          <cell r="V24">
            <v>9.3529411764705888</v>
          </cell>
          <cell r="W24">
            <v>0</v>
          </cell>
          <cell r="X24">
            <v>-11</v>
          </cell>
        </row>
        <row r="25">
          <cell r="A25">
            <v>24</v>
          </cell>
          <cell r="B25" t="str">
            <v>Gonzaga</v>
          </cell>
          <cell r="C25" t="str">
            <v>Texas</v>
          </cell>
          <cell r="D25">
            <v>20.959854873623506</v>
          </cell>
          <cell r="E25">
            <v>102.65043408841434</v>
          </cell>
          <cell r="F25">
            <v>86.043703668873505</v>
          </cell>
          <cell r="G25">
            <v>0.56074766355140182</v>
          </cell>
          <cell r="H25">
            <v>69.724999999999994</v>
          </cell>
          <cell r="I25">
            <v>63.53125</v>
          </cell>
          <cell r="J25">
            <v>19.6875</v>
          </cell>
          <cell r="K25">
            <v>12.03125</v>
          </cell>
          <cell r="L25">
            <v>9.5625</v>
          </cell>
          <cell r="M25">
            <v>16</v>
          </cell>
          <cell r="N25">
            <v>14.532052109666417</v>
          </cell>
          <cell r="O25">
            <v>100.55048907489414</v>
          </cell>
          <cell r="P25">
            <v>96.670144874968173</v>
          </cell>
          <cell r="Q25">
            <v>0.5496777658431794</v>
          </cell>
          <cell r="R25">
            <v>68.81</v>
          </cell>
          <cell r="S25">
            <v>58.1875</v>
          </cell>
          <cell r="T25">
            <v>26.34375</v>
          </cell>
          <cell r="U25">
            <v>12</v>
          </cell>
          <cell r="V25">
            <v>11.03125</v>
          </cell>
          <cell r="W25">
            <v>0</v>
          </cell>
          <cell r="X25">
            <v>-5.5</v>
          </cell>
        </row>
        <row r="26">
          <cell r="A26">
            <v>25</v>
          </cell>
          <cell r="B26" t="str">
            <v>Akron</v>
          </cell>
          <cell r="C26" t="str">
            <v>Texas Tech</v>
          </cell>
          <cell r="D26">
            <v>10.62898797126984</v>
          </cell>
          <cell r="E26">
            <v>99.852760736196316</v>
          </cell>
          <cell r="F26">
            <v>94.235250093919447</v>
          </cell>
          <cell r="G26">
            <v>0.58984747378455671</v>
          </cell>
          <cell r="H26">
            <v>71.226666666666659</v>
          </cell>
          <cell r="I26">
            <v>63.575757575757578</v>
          </cell>
          <cell r="J26">
            <v>17.939393939393938</v>
          </cell>
          <cell r="K26">
            <v>11.272727272727273</v>
          </cell>
          <cell r="L26">
            <v>11.030303030303031</v>
          </cell>
          <cell r="M26">
            <v>17</v>
          </cell>
          <cell r="N26">
            <v>17.052374181699321</v>
          </cell>
          <cell r="O26">
            <v>100.51882408229335</v>
          </cell>
          <cell r="P26">
            <v>104.30065451536628</v>
          </cell>
          <cell r="Q26">
            <v>0.56166837256908908</v>
          </cell>
          <cell r="R26">
            <v>67.617500000000007</v>
          </cell>
          <cell r="S26">
            <v>61.0625</v>
          </cell>
          <cell r="T26">
            <v>16.53125</v>
          </cell>
          <cell r="U26">
            <v>11.53125</v>
          </cell>
          <cell r="V26">
            <v>10.8125</v>
          </cell>
          <cell r="W26">
            <v>0</v>
          </cell>
          <cell r="X26">
            <v>7.5</v>
          </cell>
        </row>
        <row r="27">
          <cell r="A27">
            <v>26</v>
          </cell>
          <cell r="B27" t="str">
            <v>Hofstra</v>
          </cell>
          <cell r="C27" t="str">
            <v>Alabama</v>
          </cell>
          <cell r="D27">
            <v>2.1356002741910172</v>
          </cell>
          <cell r="E27">
            <v>101.93227153239523</v>
          </cell>
          <cell r="F27">
            <v>108.25319811541539</v>
          </cell>
          <cell r="G27">
            <v>0.52252944188428063</v>
          </cell>
          <cell r="H27">
            <v>65.487272727272725</v>
          </cell>
          <cell r="I27">
            <v>59.18181818181818</v>
          </cell>
          <cell r="J27">
            <v>18.393939393939394</v>
          </cell>
          <cell r="K27">
            <v>12.484848484848484</v>
          </cell>
          <cell r="L27">
            <v>10.696969696969697</v>
          </cell>
          <cell r="M27">
            <v>18</v>
          </cell>
          <cell r="N27">
            <v>19.673613604820769</v>
          </cell>
          <cell r="O27">
            <v>102.29455081001471</v>
          </cell>
          <cell r="P27">
            <v>103.71887375881523</v>
          </cell>
          <cell r="Q27">
            <v>0.55384250474383301</v>
          </cell>
          <cell r="R27">
            <v>74.217500000000001</v>
          </cell>
          <cell r="S27">
            <v>65.875</v>
          </cell>
          <cell r="T27">
            <v>24.5</v>
          </cell>
          <cell r="U27">
            <v>12.21875</v>
          </cell>
          <cell r="V27">
            <v>9.78125</v>
          </cell>
          <cell r="W27">
            <v>0</v>
          </cell>
          <cell r="X27">
            <v>14</v>
          </cell>
        </row>
        <row r="28">
          <cell r="A28">
            <v>27</v>
          </cell>
          <cell r="B28" t="str">
            <v>Prairie View A&amp;M</v>
          </cell>
          <cell r="C28" t="str">
            <v>Florida</v>
          </cell>
          <cell r="D28">
            <v>-11.471425536201773</v>
          </cell>
          <cell r="E28">
            <v>97.164732374848427</v>
          </cell>
          <cell r="F28">
            <v>95.447708530170132</v>
          </cell>
          <cell r="G28">
            <v>0.49387855044074436</v>
          </cell>
          <cell r="H28">
            <v>73.484705882352941</v>
          </cell>
          <cell r="I28">
            <v>60.058823529411768</v>
          </cell>
          <cell r="J28">
            <v>26.235294117647058</v>
          </cell>
          <cell r="K28">
            <v>10.058823529411764</v>
          </cell>
          <cell r="L28">
            <v>11.941176470588236</v>
          </cell>
          <cell r="M28">
            <v>19</v>
          </cell>
          <cell r="N28">
            <v>22.650454216704585</v>
          </cell>
          <cell r="O28">
            <v>104.38676700269771</v>
          </cell>
          <cell r="P28">
            <v>99.448258680413886</v>
          </cell>
          <cell r="Q28">
            <v>0.53652636671504594</v>
          </cell>
          <cell r="R28">
            <v>71.564999999999998</v>
          </cell>
          <cell r="S28">
            <v>64.59375</v>
          </cell>
          <cell r="T28">
            <v>25.21875</v>
          </cell>
          <cell r="U28">
            <v>15.96875</v>
          </cell>
          <cell r="V28">
            <v>11.84375</v>
          </cell>
          <cell r="W28">
            <v>0</v>
          </cell>
          <cell r="X28">
            <v>35</v>
          </cell>
        </row>
        <row r="29">
          <cell r="A29">
            <v>28</v>
          </cell>
          <cell r="B29" t="str">
            <v>Iowa</v>
          </cell>
          <cell r="C29" t="str">
            <v>Clemson</v>
          </cell>
          <cell r="D29">
            <v>15.51511812576733</v>
          </cell>
          <cell r="E29">
            <v>98.238539943433466</v>
          </cell>
          <cell r="F29">
            <v>93.168875634820807</v>
          </cell>
          <cell r="G29">
            <v>0.56555993247045577</v>
          </cell>
          <cell r="H29">
            <v>62.900606060606066</v>
          </cell>
          <cell r="I29">
            <v>53.848484848484851</v>
          </cell>
          <cell r="J29">
            <v>18.575757575757574</v>
          </cell>
          <cell r="K29">
            <v>8.8181818181818183</v>
          </cell>
          <cell r="L29">
            <v>9.6969696969696972</v>
          </cell>
          <cell r="M29">
            <v>20</v>
          </cell>
          <cell r="N29">
            <v>11.025556023298106</v>
          </cell>
          <cell r="O29">
            <v>99.36088590073166</v>
          </cell>
          <cell r="P29">
            <v>103.15195066761017</v>
          </cell>
          <cell r="Q29">
            <v>0.52621919244887261</v>
          </cell>
          <cell r="R29">
            <v>65.309411764705885</v>
          </cell>
          <cell r="S29">
            <v>56.088235294117645</v>
          </cell>
          <cell r="T29">
            <v>20.823529411764707</v>
          </cell>
          <cell r="U29">
            <v>9.3235294117647065</v>
          </cell>
          <cell r="V29">
            <v>9.382352941176471</v>
          </cell>
          <cell r="W29">
            <v>0</v>
          </cell>
          <cell r="X29">
            <v>-2</v>
          </cell>
        </row>
        <row r="30">
          <cell r="A30">
            <v>29</v>
          </cell>
          <cell r="B30" t="str">
            <v>UCF</v>
          </cell>
          <cell r="C30" t="str">
            <v>UCLA</v>
          </cell>
          <cell r="D30">
            <v>12.780422052740661</v>
          </cell>
          <cell r="E30">
            <v>101.06601066010661</v>
          </cell>
          <cell r="F30">
            <v>97.015666781333081</v>
          </cell>
          <cell r="G30">
            <v>0.52792008196721307</v>
          </cell>
          <cell r="H30">
            <v>70.258064516129025</v>
          </cell>
          <cell r="I30">
            <v>62.967741935483872</v>
          </cell>
          <cell r="J30">
            <v>19.35483870967742</v>
          </cell>
          <cell r="K30">
            <v>12.387096774193548</v>
          </cell>
          <cell r="L30">
            <v>11.161290322580646</v>
          </cell>
          <cell r="M30">
            <v>21</v>
          </cell>
          <cell r="N30">
            <v>15.943406980069799</v>
          </cell>
          <cell r="O30">
            <v>100.85863980873899</v>
          </cell>
          <cell r="P30">
            <v>91.898292422931632</v>
          </cell>
          <cell r="Q30">
            <v>0.54047742605085625</v>
          </cell>
          <cell r="R30">
            <v>65.963636363636368</v>
          </cell>
          <cell r="S30">
            <v>58.393939393939391</v>
          </cell>
          <cell r="T30">
            <v>19.545454545454547</v>
          </cell>
          <cell r="U30">
            <v>10</v>
          </cell>
          <cell r="V30">
            <v>8.9696969696969688</v>
          </cell>
          <cell r="W30">
            <v>0</v>
          </cell>
          <cell r="X30">
            <v>5.5</v>
          </cell>
        </row>
        <row r="31">
          <cell r="A31">
            <v>30</v>
          </cell>
          <cell r="B31" t="str">
            <v>Furman</v>
          </cell>
          <cell r="C31" t="str">
            <v>Uconn</v>
          </cell>
          <cell r="D31">
            <v>0.19358290778345913</v>
          </cell>
          <cell r="E31">
            <v>98.095219377978665</v>
          </cell>
          <cell r="F31">
            <v>107.97637861090803</v>
          </cell>
          <cell r="G31">
            <v>0.5527254202750892</v>
          </cell>
          <cell r="H31">
            <v>66.856470588235297</v>
          </cell>
          <cell r="I31">
            <v>57.735294117647058</v>
          </cell>
          <cell r="J31">
            <v>18.323529411764707</v>
          </cell>
          <cell r="K31">
            <v>10.882352941176471</v>
          </cell>
          <cell r="L31">
            <v>11.941176470588236</v>
          </cell>
          <cell r="M31">
            <v>22</v>
          </cell>
          <cell r="N31">
            <v>18.120431537245491</v>
          </cell>
          <cell r="O31">
            <v>100.0952772073922</v>
          </cell>
          <cell r="P31">
            <v>94.261774983054991</v>
          </cell>
          <cell r="Q31">
            <v>0.55882352941176472</v>
          </cell>
          <cell r="R31">
            <v>66.089696969696973</v>
          </cell>
          <cell r="S31">
            <v>58.727272727272727</v>
          </cell>
          <cell r="T31">
            <v>17.696969696969695</v>
          </cell>
          <cell r="U31">
            <v>11.454545454545455</v>
          </cell>
          <cell r="V31">
            <v>11.030303030303031</v>
          </cell>
          <cell r="W31">
            <v>0</v>
          </cell>
          <cell r="X31">
            <v>20.5</v>
          </cell>
        </row>
        <row r="32">
          <cell r="A32">
            <v>31</v>
          </cell>
          <cell r="B32" t="str">
            <v>Miami (OH)</v>
          </cell>
          <cell r="C32" t="str">
            <v>Tennessee</v>
          </cell>
          <cell r="D32">
            <v>7.7337055835141966</v>
          </cell>
          <cell r="E32">
            <v>96.443484662576694</v>
          </cell>
          <cell r="F32">
            <v>99.09137666807915</v>
          </cell>
          <cell r="G32">
            <v>0.61211129296235678</v>
          </cell>
          <cell r="H32">
            <v>71.92774193548388</v>
          </cell>
          <cell r="I32">
            <v>59.12903225806452</v>
          </cell>
          <cell r="J32">
            <v>23.516129032258064</v>
          </cell>
          <cell r="K32">
            <v>8</v>
          </cell>
          <cell r="L32">
            <v>10.451612903225806</v>
          </cell>
          <cell r="M32">
            <v>23</v>
          </cell>
          <cell r="N32">
            <v>20.582457175121956</v>
          </cell>
          <cell r="O32">
            <v>105.02195491662999</v>
          </cell>
          <cell r="P32">
            <v>93.637950339797769</v>
          </cell>
          <cell r="Q32">
            <v>0.51561725334655428</v>
          </cell>
          <cell r="R32">
            <v>67.170909090909092</v>
          </cell>
          <cell r="S32">
            <v>61.121212121212125</v>
          </cell>
          <cell r="T32">
            <v>23.666666666666668</v>
          </cell>
          <cell r="U32">
            <v>16.030303030303031</v>
          </cell>
          <cell r="V32">
            <v>11.666666666666666</v>
          </cell>
          <cell r="W32">
            <v>0</v>
          </cell>
          <cell r="X32">
            <v>11</v>
          </cell>
        </row>
        <row r="33">
          <cell r="A33">
            <v>32</v>
          </cell>
          <cell r="B33" t="str">
            <v>Wright State</v>
          </cell>
          <cell r="C33" t="str">
            <v>Virginia</v>
          </cell>
          <cell r="D33">
            <v>3.0807597689023769</v>
          </cell>
          <cell r="E33">
            <v>99.432741654503502</v>
          </cell>
          <cell r="F33">
            <v>99.184832714478731</v>
          </cell>
          <cell r="G33">
            <v>0.5488476953907816</v>
          </cell>
          <cell r="H33">
            <v>68.45058823529412</v>
          </cell>
          <cell r="I33">
            <v>58.705882352941174</v>
          </cell>
          <cell r="J33">
            <v>22.147058823529413</v>
          </cell>
          <cell r="K33">
            <v>11.264705882352942</v>
          </cell>
          <cell r="L33">
            <v>11.264705882352942</v>
          </cell>
          <cell r="M33">
            <v>24</v>
          </cell>
          <cell r="N33">
            <v>12.898930744177012</v>
          </cell>
          <cell r="O33">
            <v>102.74660271782574</v>
          </cell>
          <cell r="P33">
            <v>105.30602921182151</v>
          </cell>
          <cell r="Q33">
            <v>0.54717923115327005</v>
          </cell>
          <cell r="R33">
            <v>67.065454545454543</v>
          </cell>
          <cell r="S33">
            <v>60.696969696969695</v>
          </cell>
          <cell r="T33">
            <v>20.121212121212121</v>
          </cell>
          <cell r="U33">
            <v>13.272727272727273</v>
          </cell>
          <cell r="V33">
            <v>10.787878787878787</v>
          </cell>
          <cell r="W33">
            <v>0</v>
          </cell>
          <cell r="X33">
            <v>18</v>
          </cell>
        </row>
        <row r="34">
          <cell r="A34">
            <v>33</v>
          </cell>
          <cell r="B34" t="str">
            <v>Missouri</v>
          </cell>
          <cell r="C34" t="str">
            <v>Miami</v>
          </cell>
          <cell r="D34">
            <v>11.938625469494365</v>
          </cell>
          <cell r="E34">
            <v>98.436590436590436</v>
          </cell>
          <cell r="F34">
            <v>95.737468863684654</v>
          </cell>
          <cell r="G34">
            <v>0.55317982456140347</v>
          </cell>
          <cell r="H34">
            <v>68.392499999999998</v>
          </cell>
          <cell r="I34">
            <v>57</v>
          </cell>
          <cell r="J34">
            <v>24.1875</v>
          </cell>
          <cell r="K34">
            <v>11.625</v>
          </cell>
          <cell r="L34">
            <v>12.375</v>
          </cell>
          <cell r="M34">
            <v>25</v>
          </cell>
          <cell r="N34">
            <v>12.238890418004498</v>
          </cell>
          <cell r="O34">
            <v>100.74202898550723</v>
          </cell>
          <cell r="P34">
            <v>98.35968575523485</v>
          </cell>
          <cell r="Q34">
            <v>0.55597771023302933</v>
          </cell>
          <cell r="R34">
            <v>68.654545454545456</v>
          </cell>
          <cell r="S34">
            <v>59.81818181818182</v>
          </cell>
          <cell r="T34">
            <v>22.424242424242426</v>
          </cell>
          <cell r="U34">
            <v>12.242424242424242</v>
          </cell>
          <cell r="V34">
            <v>11.212121212121213</v>
          </cell>
          <cell r="W34">
            <v>0</v>
          </cell>
          <cell r="X34">
            <v>2</v>
          </cell>
        </row>
        <row r="35">
          <cell r="A35">
            <v>34</v>
          </cell>
          <cell r="B35" t="str">
            <v>Queens University</v>
          </cell>
          <cell r="C35" t="str">
            <v>Purdue</v>
          </cell>
          <cell r="D35">
            <v>-2.4386972367557296</v>
          </cell>
          <cell r="E35">
            <v>98.853272311212805</v>
          </cell>
          <cell r="F35">
            <v>98.255343754602677</v>
          </cell>
          <cell r="G35">
            <v>0.56723716381418088</v>
          </cell>
          <cell r="H35">
            <v>70.530588235294118</v>
          </cell>
          <cell r="I35">
            <v>60.147058823529413</v>
          </cell>
          <cell r="J35">
            <v>22.529411764705884</v>
          </cell>
          <cell r="K35">
            <v>10.235294117647058</v>
          </cell>
          <cell r="L35">
            <v>10.705882352941176</v>
          </cell>
          <cell r="M35">
            <v>26</v>
          </cell>
          <cell r="N35">
            <v>20.933350618351088</v>
          </cell>
          <cell r="O35">
            <v>102.749921687376</v>
          </cell>
          <cell r="P35">
            <v>101.56518525976452</v>
          </cell>
          <cell r="Q35">
            <v>0.5771558245083207</v>
          </cell>
          <cell r="R35">
            <v>65.197575757575763</v>
          </cell>
          <cell r="S35">
            <v>60.090909090909093</v>
          </cell>
          <cell r="T35">
            <v>16.90909090909091</v>
          </cell>
          <cell r="U35">
            <v>11.363636363636363</v>
          </cell>
          <cell r="V35">
            <v>9.0303030303030312</v>
          </cell>
          <cell r="W35">
            <v>0</v>
          </cell>
          <cell r="X35">
            <v>25</v>
          </cell>
        </row>
        <row r="36">
          <cell r="A36">
            <v>35</v>
          </cell>
          <cell r="B36" t="str">
            <v>Santa Clara</v>
          </cell>
          <cell r="C36" t="str">
            <v>Kentucky</v>
          </cell>
          <cell r="D36">
            <v>15.7373824689671</v>
          </cell>
          <cell r="E36">
            <v>102.69192816262087</v>
          </cell>
          <cell r="F36">
            <v>86.875904373690886</v>
          </cell>
          <cell r="G36">
            <v>0.54789719626168221</v>
          </cell>
          <cell r="H36">
            <v>69.654545454545456</v>
          </cell>
          <cell r="I36">
            <v>64.848484848484844</v>
          </cell>
          <cell r="J36">
            <v>16.363636363636363</v>
          </cell>
          <cell r="K36">
            <v>13.090909090909092</v>
          </cell>
          <cell r="L36">
            <v>10.696969696969697</v>
          </cell>
          <cell r="M36">
            <v>27</v>
          </cell>
          <cell r="N36">
            <v>18.034523649586539</v>
          </cell>
          <cell r="O36">
            <v>101.2517590047062</v>
          </cell>
          <cell r="P36">
            <v>98.419793855345077</v>
          </cell>
          <cell r="Q36">
            <v>0.53111327175498302</v>
          </cell>
          <cell r="R36">
            <v>69.036470588235289</v>
          </cell>
          <cell r="S36">
            <v>60.5</v>
          </cell>
          <cell r="T36">
            <v>22.676470588235293</v>
          </cell>
          <cell r="U36">
            <v>11.941176470588236</v>
          </cell>
          <cell r="V36">
            <v>10.5</v>
          </cell>
          <cell r="W36">
            <v>0</v>
          </cell>
          <cell r="X36">
            <v>3</v>
          </cell>
        </row>
        <row r="37">
          <cell r="A37">
            <v>36</v>
          </cell>
          <cell r="B37" t="str">
            <v>Tennessee State</v>
          </cell>
          <cell r="C37" t="str">
            <v>Iowa State</v>
          </cell>
          <cell r="D37">
            <v>1.0639361366167945</v>
          </cell>
          <cell r="E37">
            <v>100.59318477066054</v>
          </cell>
          <cell r="F37">
            <v>92.0991626269942</v>
          </cell>
          <cell r="G37">
            <v>0.50690890481064488</v>
          </cell>
          <cell r="H37">
            <v>71.468387096774194</v>
          </cell>
          <cell r="I37">
            <v>63.032258064516128</v>
          </cell>
          <cell r="J37">
            <v>21.225806451612904</v>
          </cell>
          <cell r="K37">
            <v>13.129032258064516</v>
          </cell>
          <cell r="L37">
            <v>12.225806451612904</v>
          </cell>
          <cell r="M37">
            <v>28</v>
          </cell>
          <cell r="N37">
            <v>20.641493911570723</v>
          </cell>
          <cell r="O37">
            <v>101.50134460238188</v>
          </cell>
          <cell r="P37">
            <v>96.951162965358421</v>
          </cell>
          <cell r="Q37">
            <v>0.56497313141182215</v>
          </cell>
          <cell r="R37">
            <v>67.654117647058825</v>
          </cell>
          <cell r="S37">
            <v>60.205882352941174</v>
          </cell>
          <cell r="T37">
            <v>20.470588235294116</v>
          </cell>
          <cell r="U37">
            <v>11.823529411764707</v>
          </cell>
          <cell r="V37">
            <v>10.264705882352942</v>
          </cell>
          <cell r="W37">
            <v>0</v>
          </cell>
          <cell r="X37">
            <v>24.5</v>
          </cell>
        </row>
        <row r="38">
          <cell r="A38">
            <v>37</v>
          </cell>
          <cell r="B38" t="str">
            <v>Northern Iowa</v>
          </cell>
          <cell r="C38" t="str">
            <v>St. John's</v>
          </cell>
          <cell r="D38">
            <v>9.044790611595948</v>
          </cell>
          <cell r="E38">
            <v>96.067511414353874</v>
          </cell>
          <cell r="F38">
            <v>96.437852753995415</v>
          </cell>
          <cell r="G38">
            <v>0.54763144195731395</v>
          </cell>
          <cell r="H38">
            <v>63.515428571428572</v>
          </cell>
          <cell r="I38">
            <v>54.885714285714286</v>
          </cell>
          <cell r="J38">
            <v>14.028571428571428</v>
          </cell>
          <cell r="K38">
            <v>6.8571428571428568</v>
          </cell>
          <cell r="L38">
            <v>9.3142857142857149</v>
          </cell>
          <cell r="M38">
            <v>29</v>
          </cell>
          <cell r="N38">
            <v>15.123966744544841</v>
          </cell>
          <cell r="O38">
            <v>102.62076624097725</v>
          </cell>
          <cell r="P38">
            <v>99.067983608660882</v>
          </cell>
          <cell r="Q38">
            <v>0.50957290132547861</v>
          </cell>
          <cell r="R38">
            <v>70.527272727272731</v>
          </cell>
          <cell r="S38">
            <v>61.727272727272727</v>
          </cell>
          <cell r="T38">
            <v>26.060606060606062</v>
          </cell>
          <cell r="U38">
            <v>13.242424242424242</v>
          </cell>
          <cell r="V38">
            <v>10.575757575757576</v>
          </cell>
          <cell r="W38">
            <v>0</v>
          </cell>
          <cell r="X38">
            <v>10</v>
          </cell>
        </row>
        <row r="39">
          <cell r="A39">
            <v>38</v>
          </cell>
          <cell r="B39" t="str">
            <v>California Baptist</v>
          </cell>
          <cell r="C39" t="str">
            <v>Kansas</v>
          </cell>
          <cell r="D39">
            <v>4.6851123682196496</v>
          </cell>
          <cell r="E39">
            <v>101.15808245043532</v>
          </cell>
          <cell r="F39">
            <v>89.740557985976295</v>
          </cell>
          <cell r="G39">
            <v>0.48558215451577802</v>
          </cell>
          <cell r="H39">
            <v>67.477419354838716</v>
          </cell>
          <cell r="I39">
            <v>59.29032258064516</v>
          </cell>
          <cell r="J39">
            <v>21.612903225806452</v>
          </cell>
          <cell r="K39">
            <v>13.838709677419354</v>
          </cell>
          <cell r="L39">
            <v>12.516129032258064</v>
          </cell>
          <cell r="M39">
            <v>30</v>
          </cell>
          <cell r="N39">
            <v>16.809475334579385</v>
          </cell>
          <cell r="O39">
            <v>98.782531105933685</v>
          </cell>
          <cell r="P39">
            <v>105.39233290147665</v>
          </cell>
          <cell r="Q39">
            <v>0.51565708418891165</v>
          </cell>
          <cell r="R39">
            <v>68.042424242424246</v>
          </cell>
          <cell r="S39">
            <v>59.030303030303031</v>
          </cell>
          <cell r="T39">
            <v>19.242424242424242</v>
          </cell>
          <cell r="U39">
            <v>10.121212121212121</v>
          </cell>
          <cell r="V39">
            <v>10.666666666666666</v>
          </cell>
          <cell r="W39">
            <v>0</v>
          </cell>
          <cell r="X39">
            <v>14</v>
          </cell>
        </row>
        <row r="40">
          <cell r="A40">
            <v>39</v>
          </cell>
          <cell r="B40" t="str">
            <v>Long Island University</v>
          </cell>
          <cell r="C40" t="str">
            <v>Arizona</v>
          </cell>
          <cell r="D40">
            <v>-5.3079314642110162</v>
          </cell>
          <cell r="E40">
            <v>97.176470588235304</v>
          </cell>
          <cell r="F40">
            <v>96.766501308175762</v>
          </cell>
          <cell r="G40">
            <v>0.53577106518282991</v>
          </cell>
          <cell r="H40">
            <v>67.672727272727272</v>
          </cell>
          <cell r="I40">
            <v>57.18181818181818</v>
          </cell>
          <cell r="J40">
            <v>19.848484848484848</v>
          </cell>
          <cell r="K40">
            <v>11.303030303030303</v>
          </cell>
          <cell r="L40">
            <v>13.060606060606061</v>
          </cell>
          <cell r="M40">
            <v>31</v>
          </cell>
          <cell r="N40">
            <v>23.687310951598352</v>
          </cell>
          <cell r="O40">
            <v>101.76807841686704</v>
          </cell>
          <cell r="P40">
            <v>98.493332637771204</v>
          </cell>
          <cell r="Q40">
            <v>0.55109126984126988</v>
          </cell>
          <cell r="R40">
            <v>70.587878787878793</v>
          </cell>
          <cell r="S40">
            <v>61.090909090909093</v>
          </cell>
          <cell r="T40">
            <v>26.060606060606062</v>
          </cell>
          <cell r="U40">
            <v>12.878787878787879</v>
          </cell>
          <cell r="V40">
            <v>10.909090909090908</v>
          </cell>
          <cell r="W40">
            <v>0</v>
          </cell>
          <cell r="X40">
            <v>31</v>
          </cell>
        </row>
        <row r="41">
          <cell r="A41">
            <v>40</v>
          </cell>
          <cell r="B41" t="str">
            <v>Utah State</v>
          </cell>
          <cell r="C41" t="str">
            <v>Villanova</v>
          </cell>
          <cell r="D41">
            <v>16.287809545840613</v>
          </cell>
          <cell r="E41">
            <v>99.539689712306071</v>
          </cell>
          <cell r="F41">
            <v>89.1227776403734</v>
          </cell>
          <cell r="G41">
            <v>0.5741935483870968</v>
          </cell>
          <cell r="H41">
            <v>67.972499999999997</v>
          </cell>
          <cell r="I41">
            <v>58.125</v>
          </cell>
          <cell r="J41">
            <v>22.59375</v>
          </cell>
          <cell r="K41">
            <v>10.65625</v>
          </cell>
          <cell r="L41">
            <v>10.5625</v>
          </cell>
          <cell r="M41">
            <v>32</v>
          </cell>
          <cell r="N41">
            <v>11.840993072985095</v>
          </cell>
          <cell r="O41">
            <v>101.29752325216845</v>
          </cell>
          <cell r="P41">
            <v>98.574654865749267</v>
          </cell>
          <cell r="Q41">
            <v>0.53713389121338917</v>
          </cell>
          <cell r="R41">
            <v>66.628749999999997</v>
          </cell>
          <cell r="S41">
            <v>59.75</v>
          </cell>
          <cell r="T41">
            <v>18.6875</v>
          </cell>
          <cell r="U41">
            <v>11.5</v>
          </cell>
          <cell r="V41">
            <v>10.15625</v>
          </cell>
          <cell r="W41">
            <v>0</v>
          </cell>
          <cell r="X41">
            <v>-2</v>
          </cell>
        </row>
        <row r="42">
          <cell r="A42">
            <v>41</v>
          </cell>
          <cell r="B42" t="str">
            <v>Louisville</v>
          </cell>
          <cell r="C42" t="str">
            <v>Michigan State</v>
          </cell>
          <cell r="D42">
            <v>16.631119331501349</v>
          </cell>
          <cell r="E42">
            <v>99.101896527014759</v>
          </cell>
          <cell r="F42">
            <v>98.314439245284362</v>
          </cell>
          <cell r="G42">
            <v>0.56448412698412698</v>
          </cell>
          <cell r="H42">
            <v>70.393939393939391</v>
          </cell>
          <cell r="I42">
            <v>61.090909090909093</v>
          </cell>
          <cell r="J42">
            <v>20.454545454545453</v>
          </cell>
          <cell r="K42">
            <v>11.333333333333334</v>
          </cell>
          <cell r="L42">
            <v>11.636363636363637</v>
          </cell>
          <cell r="M42">
            <v>33</v>
          </cell>
          <cell r="N42">
            <v>19.982154388171562</v>
          </cell>
          <cell r="O42">
            <v>101.32466702184337</v>
          </cell>
          <cell r="P42">
            <v>94.579391423053281</v>
          </cell>
          <cell r="Q42">
            <v>0.53589041095890411</v>
          </cell>
          <cell r="R42">
            <v>66.620645161290327</v>
          </cell>
          <cell r="S42">
            <v>58.87096774193548</v>
          </cell>
          <cell r="T42">
            <v>20.838709677419356</v>
          </cell>
          <cell r="U42">
            <v>12.774193548387096</v>
          </cell>
          <cell r="V42">
            <v>11.35483870967742</v>
          </cell>
          <cell r="W42">
            <v>0</v>
          </cell>
          <cell r="X42">
            <v>4</v>
          </cell>
        </row>
        <row r="43">
          <cell r="A43">
            <v>42</v>
          </cell>
          <cell r="B43" t="str">
            <v>Saint Louis</v>
          </cell>
          <cell r="C43" t="str">
            <v>Michigan</v>
          </cell>
          <cell r="D43">
            <v>12.891007564287897</v>
          </cell>
          <cell r="E43">
            <v>96.587342281204442</v>
          </cell>
          <cell r="F43">
            <v>96.419529699076293</v>
          </cell>
          <cell r="G43">
            <v>0.59935205183585316</v>
          </cell>
          <cell r="H43">
            <v>71.190967741935481</v>
          </cell>
          <cell r="I43">
            <v>59.741935483870968</v>
          </cell>
          <cell r="J43">
            <v>20.741935483870968</v>
          </cell>
          <cell r="K43">
            <v>10.03225806451613</v>
          </cell>
          <cell r="L43">
            <v>12.35483870967742</v>
          </cell>
          <cell r="M43">
            <v>34</v>
          </cell>
          <cell r="N43">
            <v>23.158914646956031</v>
          </cell>
          <cell r="O43">
            <v>98.200984374253366</v>
          </cell>
          <cell r="P43">
            <v>96.383444817292968</v>
          </cell>
          <cell r="Q43">
            <v>0.58467532467532468</v>
          </cell>
          <cell r="R43">
            <v>71.510000000000005</v>
          </cell>
          <cell r="S43">
            <v>60.15625</v>
          </cell>
          <cell r="T43">
            <v>23.53125</v>
          </cell>
          <cell r="U43">
            <v>11.0625</v>
          </cell>
          <cell r="V43">
            <v>12.0625</v>
          </cell>
          <cell r="W43">
            <v>0</v>
          </cell>
          <cell r="X43">
            <v>12.5</v>
          </cell>
        </row>
        <row r="44">
          <cell r="A44">
            <v>43</v>
          </cell>
          <cell r="B44" t="str">
            <v>TCU</v>
          </cell>
          <cell r="C44" t="str">
            <v>Duke</v>
          </cell>
          <cell r="D44">
            <v>12.676356416890858</v>
          </cell>
          <cell r="E44">
            <v>101.27537334728432</v>
          </cell>
          <cell r="F44">
            <v>97.104848064562987</v>
          </cell>
          <cell r="G44">
            <v>0.50900000000000001</v>
          </cell>
          <cell r="H44">
            <v>69.441212121212118</v>
          </cell>
          <cell r="I44">
            <v>60.606060606060609</v>
          </cell>
          <cell r="J44">
            <v>23.454545454545453</v>
          </cell>
          <cell r="K44">
            <v>12.424242424242424</v>
          </cell>
          <cell r="L44">
            <v>10.939393939393939</v>
          </cell>
          <cell r="M44">
            <v>35</v>
          </cell>
          <cell r="N44">
            <v>23.054887624413109</v>
          </cell>
          <cell r="O44">
            <v>101.57301127857072</v>
          </cell>
          <cell r="P44">
            <v>99.414290660558592</v>
          </cell>
          <cell r="Q44">
            <v>0.57213541666666667</v>
          </cell>
          <cell r="R44">
            <v>66.278787878787867</v>
          </cell>
          <cell r="S44">
            <v>58.18181818181818</v>
          </cell>
          <cell r="T44">
            <v>22.121212121212121</v>
          </cell>
          <cell r="U44">
            <v>12.212121212121213</v>
          </cell>
          <cell r="V44">
            <v>10.575757575757576</v>
          </cell>
          <cell r="W44">
            <v>0</v>
          </cell>
          <cell r="X44">
            <v>11</v>
          </cell>
        </row>
        <row r="45">
          <cell r="A45">
            <v>44</v>
          </cell>
          <cell r="B45" t="str">
            <v>VCU</v>
          </cell>
          <cell r="C45" t="str">
            <v>Illinois</v>
          </cell>
          <cell r="D45">
            <v>10.280535393881047</v>
          </cell>
          <cell r="E45">
            <v>99.976592216912124</v>
          </cell>
          <cell r="F45">
            <v>99.94980567668172</v>
          </cell>
          <cell r="G45">
            <v>0.54290339989206693</v>
          </cell>
          <cell r="H45">
            <v>68.818749999999994</v>
          </cell>
          <cell r="I45">
            <v>57.90625</v>
          </cell>
          <cell r="J45">
            <v>25.9375</v>
          </cell>
          <cell r="K45">
            <v>11.3125</v>
          </cell>
          <cell r="L45">
            <v>10.8125</v>
          </cell>
          <cell r="M45">
            <v>36</v>
          </cell>
          <cell r="N45">
            <v>18.826343007871433</v>
          </cell>
          <cell r="O45">
            <v>105.08780903665816</v>
          </cell>
          <cell r="P45">
            <v>108.91673393133649</v>
          </cell>
          <cell r="Q45">
            <v>0.5511688311688312</v>
          </cell>
          <cell r="R45">
            <v>66.809032258064519</v>
          </cell>
          <cell r="S45">
            <v>62.096774193548384</v>
          </cell>
          <cell r="T45">
            <v>20.387096774193548</v>
          </cell>
          <cell r="U45">
            <v>13.258064516129032</v>
          </cell>
          <cell r="V45">
            <v>9</v>
          </cell>
          <cell r="W45">
            <v>0</v>
          </cell>
          <cell r="X45">
            <v>10.5</v>
          </cell>
        </row>
        <row r="46">
          <cell r="A46">
            <v>45</v>
          </cell>
          <cell r="B46" t="str">
            <v>Vanderbilt</v>
          </cell>
          <cell r="C46" t="str">
            <v>Nebraska</v>
          </cell>
          <cell r="D46">
            <v>19.334095266215517</v>
          </cell>
          <cell r="E46">
            <v>100.88210871874095</v>
          </cell>
          <cell r="F46">
            <v>97.473801766777243</v>
          </cell>
          <cell r="G46">
            <v>0.55371690427698572</v>
          </cell>
          <cell r="H46">
            <v>70.61</v>
          </cell>
          <cell r="I46">
            <v>61.375</v>
          </cell>
          <cell r="J46">
            <v>23.6875</v>
          </cell>
          <cell r="K46">
            <v>10.8125</v>
          </cell>
          <cell r="L46">
            <v>9.625</v>
          </cell>
          <cell r="M46">
            <v>37</v>
          </cell>
          <cell r="N46">
            <v>15.82631796216417</v>
          </cell>
          <cell r="O46">
            <v>98.25476089716463</v>
          </cell>
          <cell r="P46">
            <v>102.35159180352665</v>
          </cell>
          <cell r="Q46">
            <v>0.55440552016985134</v>
          </cell>
          <cell r="R46">
            <v>66.883750000000006</v>
          </cell>
          <cell r="S46">
            <v>58.875</v>
          </cell>
          <cell r="T46">
            <v>16</v>
          </cell>
          <cell r="U46">
            <v>8.78125</v>
          </cell>
          <cell r="V46">
            <v>9.75</v>
          </cell>
          <cell r="W46">
            <v>0</v>
          </cell>
          <cell r="X46">
            <v>-2.5</v>
          </cell>
        </row>
        <row r="47">
          <cell r="A47">
            <v>46</v>
          </cell>
          <cell r="B47" t="str">
            <v>Texas A&amp;M</v>
          </cell>
          <cell r="C47" t="str">
            <v>Houston</v>
          </cell>
          <cell r="D47">
            <v>13.344745551152522</v>
          </cell>
          <cell r="E47">
            <v>101.09664255240216</v>
          </cell>
          <cell r="F47">
            <v>98.213295342640578</v>
          </cell>
          <cell r="G47">
            <v>0.54188861985472159</v>
          </cell>
          <cell r="H47">
            <v>73.739999999999995</v>
          </cell>
          <cell r="I47">
            <v>64.53125</v>
          </cell>
          <cell r="J47">
            <v>24.125</v>
          </cell>
          <cell r="K47">
            <v>12.25</v>
          </cell>
          <cell r="L47">
            <v>10.84375</v>
          </cell>
          <cell r="M47">
            <v>38</v>
          </cell>
          <cell r="N47">
            <v>20.901069562815731</v>
          </cell>
          <cell r="O47">
            <v>105.43571389837862</v>
          </cell>
          <cell r="P47">
            <v>97.084637989347655</v>
          </cell>
          <cell r="Q47">
            <v>0.52154080081094778</v>
          </cell>
          <cell r="R47">
            <v>64.762500000000003</v>
          </cell>
          <cell r="S47">
            <v>61.65625</v>
          </cell>
          <cell r="T47">
            <v>16.71875</v>
          </cell>
          <cell r="U47">
            <v>12.78125</v>
          </cell>
          <cell r="V47">
            <v>8.53125</v>
          </cell>
          <cell r="W47">
            <v>0</v>
          </cell>
          <cell r="X47">
            <v>10</v>
          </cell>
        </row>
        <row r="48">
          <cell r="A48">
            <v>47</v>
          </cell>
          <cell r="B48" t="str">
            <v>High Point</v>
          </cell>
          <cell r="C48" t="str">
            <v>Arkansas</v>
          </cell>
          <cell r="D48">
            <v>9.7914064574296606</v>
          </cell>
          <cell r="E48">
            <v>102.08135263134599</v>
          </cell>
          <cell r="F48">
            <v>95.473025683474958</v>
          </cell>
          <cell r="G48">
            <v>0.56606463878326996</v>
          </cell>
          <cell r="H48">
            <v>71.407058823529411</v>
          </cell>
          <cell r="I48">
            <v>61.882352941176471</v>
          </cell>
          <cell r="J48">
            <v>26.794117647058822</v>
          </cell>
          <cell r="K48">
            <v>11.617647058823529</v>
          </cell>
          <cell r="L48">
            <v>9.3529411764705888</v>
          </cell>
          <cell r="M48">
            <v>39</v>
          </cell>
          <cell r="N48">
            <v>19.899076876872613</v>
          </cell>
          <cell r="O48">
            <v>101.9693472090823</v>
          </cell>
          <cell r="P48">
            <v>97.545722643013036</v>
          </cell>
          <cell r="Q48">
            <v>0.56447688564476883</v>
          </cell>
          <cell r="R48">
            <v>72.41</v>
          </cell>
          <cell r="S48">
            <v>64.21875</v>
          </cell>
          <cell r="T48">
            <v>23.375</v>
          </cell>
          <cell r="U48">
            <v>11.0625</v>
          </cell>
          <cell r="V48">
            <v>8.96875</v>
          </cell>
          <cell r="W48">
            <v>0</v>
          </cell>
          <cell r="X48">
            <v>11</v>
          </cell>
        </row>
        <row r="49">
          <cell r="A49">
            <v>48</v>
          </cell>
          <cell r="B49" t="str">
            <v>Texas</v>
          </cell>
          <cell r="C49" t="str">
            <v>Gonzaga</v>
          </cell>
          <cell r="D49">
            <v>14.532052109666417</v>
          </cell>
          <cell r="E49">
            <v>100.55048907489414</v>
          </cell>
          <cell r="F49">
            <v>96.670144874968173</v>
          </cell>
          <cell r="G49">
            <v>0.5496777658431794</v>
          </cell>
          <cell r="H49">
            <v>68.81</v>
          </cell>
          <cell r="I49">
            <v>58.1875</v>
          </cell>
          <cell r="J49">
            <v>26.34375</v>
          </cell>
          <cell r="K49">
            <v>12</v>
          </cell>
          <cell r="L49">
            <v>11.03125</v>
          </cell>
          <cell r="M49">
            <v>40</v>
          </cell>
          <cell r="N49">
            <v>20.959854873623506</v>
          </cell>
          <cell r="O49">
            <v>102.65043408841434</v>
          </cell>
          <cell r="P49">
            <v>86.043703668873505</v>
          </cell>
          <cell r="Q49">
            <v>0.56074766355140182</v>
          </cell>
          <cell r="R49">
            <v>69.724999999999994</v>
          </cell>
          <cell r="S49">
            <v>63.53125</v>
          </cell>
          <cell r="T49">
            <v>19.6875</v>
          </cell>
          <cell r="U49">
            <v>12.03125</v>
          </cell>
          <cell r="V49">
            <v>9.5625</v>
          </cell>
          <cell r="W49">
            <v>0</v>
          </cell>
          <cell r="X49">
            <v>5.5</v>
          </cell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7"/>
  <sheetViews>
    <sheetView tabSelected="1" workbookViewId="0">
      <selection activeCell="F23" sqref="F23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1</v>
      </c>
      <c r="B2" s="6" t="str">
        <f>VLOOKUP(A2,[1]Games!$B$2:$K$398,2,FALSE)</f>
        <v>Texas Tech</v>
      </c>
      <c r="C2" s="6" t="str">
        <f>VLOOKUP(A2,[1]Games!$B$2:$K$398,3,FALSE)</f>
        <v>Akron</v>
      </c>
      <c r="D2" s="6" t="str">
        <f>B2</f>
        <v>Texas Tech</v>
      </c>
      <c r="E2" s="5">
        <f>VLOOKUP(A2,[1]Games!$B$2:$K$398,4,FALSE)</f>
        <v>10.105811312700951</v>
      </c>
      <c r="F2" s="5">
        <f>-VLOOKUP(A2,[2]Games!$A$2:$X$284,24,FALSE)</f>
        <v>7.5</v>
      </c>
      <c r="G2" s="7">
        <f>VLOOKUP(A2,[1]Games!$B$2:$K$398,9,FALSE)</f>
        <v>0.46800018669531451</v>
      </c>
      <c r="H2" s="7">
        <f>VLOOKUP(A2,[1]Games!$B$2:$K$398,7,FALSE)</f>
        <v>0</v>
      </c>
      <c r="I2" s="7">
        <f>VLOOKUP(A2,[1]Games!$B$2:$K$398,8,FALSE)/4</f>
        <v>1.9509671014441871E-2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Alabama</v>
      </c>
      <c r="C3" s="6" t="str">
        <f>VLOOKUP(A3,[1]Games!$B$2:$K$398,3,FALSE)</f>
        <v>Hofstra</v>
      </c>
      <c r="D3" s="6" t="str">
        <f t="shared" ref="D3:D19" si="0">B3</f>
        <v>Alabama</v>
      </c>
      <c r="E3" s="5">
        <f>VLOOKUP(A3,[1]Games!$B$2:$K$398,4,FALSE)</f>
        <v>21.35</v>
      </c>
      <c r="F3" s="5">
        <f>-VLOOKUP(A3,[2]Games!$A$2:$X$284,24,FALSE)</f>
        <v>14</v>
      </c>
      <c r="G3" s="7">
        <f>VLOOKUP(A3,[1]Games!$B$2:$K$398,9,FALSE)</f>
        <v>0.82374745212732714</v>
      </c>
      <c r="H3" s="7">
        <v>6.3E-2</v>
      </c>
      <c r="I3" s="7">
        <f>VLOOKUP(A3,[1]Games!$B$2:$K$398,8,FALSE)/4</f>
        <v>5.4544259143531226E-2</v>
      </c>
      <c r="J3" s="8" t="s">
        <v>444</v>
      </c>
      <c r="K3" s="9">
        <v>0.94599999999999995</v>
      </c>
    </row>
    <row r="4" spans="1:12" x14ac:dyDescent="0.2">
      <c r="A4" s="1">
        <v>3</v>
      </c>
      <c r="B4" s="6" t="str">
        <f>VLOOKUP(A4,[1]Games!$B$2:$K$398,2,FALSE)</f>
        <v>Florida</v>
      </c>
      <c r="C4" s="6" t="str">
        <f>VLOOKUP(A4,[1]Games!$B$2:$K$398,3,FALSE)</f>
        <v>Prairie View A&amp;M</v>
      </c>
      <c r="D4" s="6" t="str">
        <f t="shared" si="0"/>
        <v>Florida</v>
      </c>
      <c r="E4" s="5">
        <f>VLOOKUP(A4,[1]Games!$B$2:$K$398,4,FALSE)</f>
        <v>35</v>
      </c>
      <c r="F4" s="5">
        <f>-VLOOKUP(A4,[2]Games!$A$2:$X$284,24,FALSE)</f>
        <v>35</v>
      </c>
      <c r="G4" s="7">
        <f>VLOOKUP(A4,[1]Games!$B$2:$K$398,9,FALSE)</f>
        <v>0.82374745212732714</v>
      </c>
      <c r="H4" s="7">
        <f>VLOOKUP(A4,[1]Games!$B$2:$K$398,7,FALSE)</f>
        <v>0</v>
      </c>
      <c r="I4" s="7">
        <f>VLOOKUP(A4,[1]Games!$B$2:$K$398,8,FALSE)/4</f>
        <v>-1.1363636363636352E-2</v>
      </c>
      <c r="J4" s="8" t="s">
        <v>443</v>
      </c>
      <c r="K4" s="9">
        <f t="shared" ref="K3:K25" si="1">IF(J4="Yes",(H4*1500)/100,0)</f>
        <v>0</v>
      </c>
    </row>
    <row r="5" spans="1:12" x14ac:dyDescent="0.2">
      <c r="A5" s="1">
        <v>4</v>
      </c>
      <c r="B5" s="6" t="str">
        <f>VLOOKUP(A5,[1]Games!$B$2:$K$398,2,FALSE)</f>
        <v>Clemson</v>
      </c>
      <c r="C5" s="6" t="str">
        <f>VLOOKUP(A5,[1]Games!$B$2:$K$398,3,FALSE)</f>
        <v>Iowa</v>
      </c>
      <c r="D5" s="6" t="str">
        <f t="shared" si="0"/>
        <v>Clemson</v>
      </c>
      <c r="E5" s="5">
        <f>VLOOKUP(A5,[1]Games!$B$2:$K$398,4,FALSE)</f>
        <v>3.3395963530867379E-2</v>
      </c>
      <c r="F5" s="5">
        <f>-VLOOKUP(A5,[2]Games!$A$2:$X$284,24,FALSE)</f>
        <v>-2</v>
      </c>
      <c r="G5" s="7">
        <f>VLOOKUP(A5,[1]Games!$B$2:$K$398,9,FALSE)</f>
        <v>0.12227695604597411</v>
      </c>
      <c r="H5" s="7">
        <f>VLOOKUP(A5,[1]Games!$B$2:$K$398,7,FALSE)</f>
        <v>0</v>
      </c>
      <c r="I5" s="7">
        <f>VLOOKUP(A5,[1]Games!$B$2:$K$398,8,FALSE)/4</f>
        <v>1.2769338252811707E-2</v>
      </c>
      <c r="J5" s="8" t="s">
        <v>443</v>
      </c>
      <c r="K5" s="9">
        <f t="shared" si="1"/>
        <v>0</v>
      </c>
    </row>
    <row r="6" spans="1:12" x14ac:dyDescent="0.2">
      <c r="A6" s="1">
        <v>5</v>
      </c>
      <c r="B6" s="6" t="str">
        <f>VLOOKUP(A6,[1]Games!$B$2:$K$398,2,FALSE)</f>
        <v>UCLA</v>
      </c>
      <c r="C6" s="6" t="str">
        <f>VLOOKUP(A6,[1]Games!$B$2:$K$398,3,FALSE)</f>
        <v>UCF</v>
      </c>
      <c r="D6" s="6" t="str">
        <f t="shared" si="0"/>
        <v>UCLA</v>
      </c>
      <c r="E6" s="5">
        <f>VLOOKUP(A6,[1]Games!$B$2:$K$398,4,FALSE)</f>
        <v>7.0470101204148357</v>
      </c>
      <c r="F6" s="5">
        <f>-VLOOKUP(A6,[2]Games!$A$2:$X$284,24,FALSE)</f>
        <v>5.5</v>
      </c>
      <c r="G6" s="7">
        <f>VLOOKUP(A6,[1]Games!$B$2:$K$398,9,FALSE)</f>
        <v>0.3157571093517878</v>
      </c>
      <c r="H6" s="7">
        <f>VLOOKUP(A6,[1]Games!$B$2:$K$398,7,FALSE)</f>
        <v>0</v>
      </c>
      <c r="I6" s="7">
        <f>VLOOKUP(A6,[1]Games!$B$2:$K$398,8,FALSE)/4</f>
        <v>7.0175527793244772E-3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Uconn</v>
      </c>
      <c r="C7" s="6" t="str">
        <f>VLOOKUP(A7,[1]Games!$B$2:$K$398,3,FALSE)</f>
        <v>Furman</v>
      </c>
      <c r="D7" s="6" t="str">
        <f t="shared" si="0"/>
        <v>Uconn</v>
      </c>
      <c r="E7" s="5">
        <f>VLOOKUP(A7,[1]Games!$B$2:$K$398,4,FALSE)</f>
        <v>25.574999999999999</v>
      </c>
      <c r="F7" s="5">
        <f>-VLOOKUP(A7,[2]Games!$A$2:$X$284,24,FALSE)</f>
        <v>20.5</v>
      </c>
      <c r="G7" s="7">
        <f>VLOOKUP(A7,[1]Games!$B$2:$K$398,9,FALSE)</f>
        <v>0.82374745212732714</v>
      </c>
      <c r="H7" s="7">
        <f>VLOOKUP(A7,[1]Games!$B$2:$K$398,7,FALSE)</f>
        <v>0</v>
      </c>
      <c r="I7" s="7">
        <f>VLOOKUP(A7,[1]Games!$B$2:$K$398,8,FALSE)/4</f>
        <v>3.4636322676250428E-2</v>
      </c>
      <c r="J7" s="8" t="s">
        <v>443</v>
      </c>
      <c r="K7" s="9">
        <f t="shared" si="1"/>
        <v>0</v>
      </c>
    </row>
    <row r="8" spans="1:12" x14ac:dyDescent="0.2">
      <c r="A8" s="1">
        <v>7</v>
      </c>
      <c r="B8" s="6" t="str">
        <f>VLOOKUP(A8,[1]Games!$B$2:$K$398,2,FALSE)</f>
        <v>Tennessee</v>
      </c>
      <c r="C8" s="6" t="str">
        <f>VLOOKUP(A8,[1]Games!$B$2:$K$398,3,FALSE)</f>
        <v>Miami (OH)</v>
      </c>
      <c r="D8" s="6" t="str">
        <f t="shared" si="0"/>
        <v>Tennessee</v>
      </c>
      <c r="E8" s="5">
        <f>VLOOKUP(A8,[1]Games!$B$2:$K$398,4,FALSE)</f>
        <v>17.763320142231279</v>
      </c>
      <c r="F8" s="5">
        <f>-VLOOKUP(A8,[2]Games!$A$2:$X$284,24,FALSE)</f>
        <v>11</v>
      </c>
      <c r="G8" s="7">
        <f>VLOOKUP(A8,[1]Games!$B$2:$K$398,9,FALSE)</f>
        <v>0.77130206914028421</v>
      </c>
      <c r="H8" s="7">
        <v>4.9000000000000002E-2</v>
      </c>
      <c r="I8" s="7">
        <f>VLOOKUP(A8,[1]Games!$B$2:$K$398,8,FALSE)/4</f>
        <v>5.2813231743093977E-2</v>
      </c>
      <c r="J8" s="8" t="s">
        <v>444</v>
      </c>
      <c r="K8" s="9">
        <v>0.73099999999999998</v>
      </c>
    </row>
    <row r="9" spans="1:12" x14ac:dyDescent="0.2">
      <c r="A9" s="1">
        <v>8</v>
      </c>
      <c r="B9" s="6" t="str">
        <f>VLOOKUP(A9,[1]Games!$B$2:$K$398,2,FALSE)</f>
        <v>Virginia</v>
      </c>
      <c r="C9" s="6" t="str">
        <f>VLOOKUP(A9,[1]Games!$B$2:$K$398,3,FALSE)</f>
        <v>Wright State</v>
      </c>
      <c r="D9" s="6" t="str">
        <f t="shared" si="0"/>
        <v>Virginia</v>
      </c>
      <c r="E9" s="5">
        <f>VLOOKUP(A9,[1]Games!$B$2:$K$398,4,FALSE)</f>
        <v>20.115791597901271</v>
      </c>
      <c r="F9" s="5">
        <f>-VLOOKUP(A9,[2]Games!$A$2:$X$284,24,FALSE)</f>
        <v>18</v>
      </c>
      <c r="G9" s="7">
        <f>VLOOKUP(A9,[1]Games!$B$2:$K$398,9,FALSE)</f>
        <v>0.67485538426353442</v>
      </c>
      <c r="H9" s="7">
        <f>VLOOKUP(A9,[1]Games!$B$2:$K$398,7,FALSE)</f>
        <v>0</v>
      </c>
      <c r="I9" s="7">
        <f>VLOOKUP(A9,[1]Games!$B$2:$K$398,8,FALSE)/4</f>
        <v>1.0756834462292366E-2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Miami</v>
      </c>
      <c r="C10" s="6" t="str">
        <f>VLOOKUP(A10,[1]Games!$B$2:$K$398,3,FALSE)</f>
        <v>Missouri</v>
      </c>
      <c r="D10" s="6" t="str">
        <f t="shared" si="0"/>
        <v>Miami</v>
      </c>
      <c r="E10" s="5">
        <f>VLOOKUP(A10,[1]Games!$B$2:$K$398,4,FALSE)</f>
        <v>4.4969385785639577</v>
      </c>
      <c r="F10" s="5">
        <f>-VLOOKUP(A10,[2]Games!$A$2:$X$284,24,FALSE)</f>
        <v>2</v>
      </c>
      <c r="G10" s="7">
        <f>VLOOKUP(A10,[1]Games!$B$2:$K$398,9,FALSE)</f>
        <v>0.2912235406823202</v>
      </c>
      <c r="H10" s="7">
        <f>VLOOKUP(A10,[1]Games!$B$2:$K$398,7,FALSE)</f>
        <v>0</v>
      </c>
      <c r="I10" s="7">
        <f>VLOOKUP(A10,[1]Games!$B$2:$K$398,8,FALSE)/4</f>
        <v>1.8230426863063337E-2</v>
      </c>
      <c r="J10" s="8" t="s">
        <v>443</v>
      </c>
      <c r="K10" s="9">
        <f t="shared" si="1"/>
        <v>0</v>
      </c>
    </row>
    <row r="11" spans="1:12" x14ac:dyDescent="0.2">
      <c r="A11" s="1">
        <v>10</v>
      </c>
      <c r="B11" s="6" t="str">
        <f>VLOOKUP(A11,[1]Games!$B$2:$K$398,2,FALSE)</f>
        <v>Purdue</v>
      </c>
      <c r="C11" s="6" t="str">
        <f>VLOOKUP(A11,[1]Games!$B$2:$K$398,3,FALSE)</f>
        <v>Queens University</v>
      </c>
      <c r="D11" s="6" t="str">
        <f t="shared" si="0"/>
        <v>Purdue</v>
      </c>
      <c r="E11" s="5">
        <f>VLOOKUP(A11,[1]Games!$B$2:$K$398,4,FALSE)</f>
        <v>28.5</v>
      </c>
      <c r="F11" s="5">
        <f>-VLOOKUP(A11,[2]Games!$A$2:$X$284,24,FALSE)</f>
        <v>25</v>
      </c>
      <c r="G11" s="7">
        <f>VLOOKUP(A11,[1]Games!$B$2:$K$398,9,FALSE)</f>
        <v>0.82374745212732714</v>
      </c>
      <c r="H11" s="7">
        <f>VLOOKUP(A11,[1]Games!$B$2:$K$398,7,FALSE)</f>
        <v>0</v>
      </c>
      <c r="I11" s="7">
        <f>VLOOKUP(A11,[1]Games!$B$2:$K$398,8,FALSE)/4</f>
        <v>2.0524987971197367E-2</v>
      </c>
      <c r="J11" s="8" t="s">
        <v>443</v>
      </c>
      <c r="K11" s="9">
        <f t="shared" si="1"/>
        <v>0</v>
      </c>
    </row>
    <row r="12" spans="1:12" x14ac:dyDescent="0.2">
      <c r="A12" s="1">
        <v>11</v>
      </c>
      <c r="B12" s="6" t="str">
        <f>VLOOKUP(A12,[1]Games!$B$2:$K$398,2,FALSE)</f>
        <v>Kentucky</v>
      </c>
      <c r="C12" s="6" t="str">
        <f>VLOOKUP(A12,[1]Games!$B$2:$K$398,3,FALSE)</f>
        <v>Santa Clara</v>
      </c>
      <c r="D12" s="6" t="str">
        <f t="shared" si="0"/>
        <v>Kentucky</v>
      </c>
      <c r="E12" s="5">
        <f>VLOOKUP(A12,[1]Games!$B$2:$K$398,4,FALSE)</f>
        <v>5.6593475628966718</v>
      </c>
      <c r="F12" s="5">
        <f>-VLOOKUP(A12,[2]Games!$A$2:$X$284,24,FALSE)</f>
        <v>3</v>
      </c>
      <c r="G12" s="7">
        <f>VLOOKUP(A12,[1]Games!$B$2:$K$398,9,FALSE)</f>
        <v>0.3368011492256191</v>
      </c>
      <c r="H12" s="7">
        <f>VLOOKUP(A12,[1]Games!$B$2:$K$398,7,FALSE)</f>
        <v>0</v>
      </c>
      <c r="I12" s="7">
        <f>VLOOKUP(A12,[1]Games!$B$2:$K$398,8,FALSE)/4</f>
        <v>2.0138200718464033E-2</v>
      </c>
      <c r="J12" s="8" t="s">
        <v>443</v>
      </c>
      <c r="K12" s="9">
        <f t="shared" si="1"/>
        <v>0</v>
      </c>
    </row>
    <row r="13" spans="1:12" x14ac:dyDescent="0.2">
      <c r="A13" s="1">
        <v>12</v>
      </c>
      <c r="B13" s="6" t="str">
        <f>VLOOKUP(A13,[1]Games!$B$2:$K$398,2,FALSE)</f>
        <v>Iowa State</v>
      </c>
      <c r="C13" s="6" t="str">
        <f>VLOOKUP(A13,[1]Games!$B$2:$K$398,3,FALSE)</f>
        <v>Tennessee State</v>
      </c>
      <c r="D13" s="6" t="str">
        <f t="shared" si="0"/>
        <v>Iowa State</v>
      </c>
      <c r="E13" s="5">
        <f>VLOOKUP(A13,[1]Games!$B$2:$K$398,4,FALSE)</f>
        <v>28.175000000000001</v>
      </c>
      <c r="F13" s="5">
        <f>-VLOOKUP(A13,[2]Games!$A$2:$X$284,24,FALSE)</f>
        <v>24.5</v>
      </c>
      <c r="G13" s="7">
        <f>VLOOKUP(A13,[1]Games!$B$2:$K$398,9,FALSE)</f>
        <v>0.82374745212732714</v>
      </c>
      <c r="H13" s="7">
        <f>VLOOKUP(A13,[1]Games!$B$2:$K$398,7,FALSE)</f>
        <v>0</v>
      </c>
      <c r="I13" s="7">
        <f>VLOOKUP(A13,[1]Games!$B$2:$K$398,8,FALSE)/4</f>
        <v>2.2103291284134408E-2</v>
      </c>
      <c r="J13" s="8" t="s">
        <v>443</v>
      </c>
      <c r="K13" s="9">
        <f t="shared" si="1"/>
        <v>0</v>
      </c>
    </row>
    <row r="14" spans="1:12" x14ac:dyDescent="0.2">
      <c r="A14" s="1">
        <v>13</v>
      </c>
      <c r="B14" s="6" t="str">
        <f>VLOOKUP(A14,[1]Games!$B$2:$K$398,2,FALSE)</f>
        <v>St. John's</v>
      </c>
      <c r="C14" s="6" t="str">
        <f>VLOOKUP(A14,[1]Games!$B$2:$K$398,3,FALSE)</f>
        <v>Northern Iowa</v>
      </c>
      <c r="D14" s="6" t="str">
        <f t="shared" si="0"/>
        <v>St. John's</v>
      </c>
      <c r="E14" s="5">
        <f>VLOOKUP(A14,[1]Games!$B$2:$K$398,4,FALSE)</f>
        <v>11.95141219900553</v>
      </c>
      <c r="F14" s="5">
        <f>-VLOOKUP(A14,[2]Games!$A$2:$X$284,24,FALSE)</f>
        <v>10</v>
      </c>
      <c r="G14" s="7">
        <f>VLOOKUP(A14,[1]Games!$B$2:$K$398,9,FALSE)</f>
        <v>0.48515083858939739</v>
      </c>
      <c r="H14" s="7">
        <f>VLOOKUP(A14,[1]Games!$B$2:$K$398,7,FALSE)</f>
        <v>0</v>
      </c>
      <c r="I14" s="7">
        <f>VLOOKUP(A14,[1]Games!$B$2:$K$398,8,FALSE)/4</f>
        <v>1.160396731018816E-2</v>
      </c>
      <c r="J14" s="8" t="s">
        <v>443</v>
      </c>
      <c r="K14" s="9">
        <f t="shared" si="1"/>
        <v>0</v>
      </c>
    </row>
    <row r="15" spans="1:12" x14ac:dyDescent="0.2">
      <c r="A15" s="1">
        <v>14</v>
      </c>
      <c r="B15" s="6" t="str">
        <f>VLOOKUP(A15,[1]Games!$B$2:$K$398,2,FALSE)</f>
        <v>Kansas</v>
      </c>
      <c r="C15" s="6" t="str">
        <f>VLOOKUP(A15,[1]Games!$B$2:$K$398,3,FALSE)</f>
        <v>California Baptist</v>
      </c>
      <c r="D15" s="6" t="str">
        <f t="shared" si="0"/>
        <v>Kansas</v>
      </c>
      <c r="E15" s="5">
        <f>VLOOKUP(A15,[1]Games!$B$2:$K$398,4,FALSE)</f>
        <v>20.297186452323341</v>
      </c>
      <c r="F15" s="5">
        <f>-VLOOKUP(A15,[2]Games!$A$2:$X$284,24,FALSE)</f>
        <v>14</v>
      </c>
      <c r="G15" s="7">
        <f>VLOOKUP(A15,[1]Games!$B$2:$K$398,9,FALSE)</f>
        <v>0.79167581956681854</v>
      </c>
      <c r="H15" s="7">
        <v>0</v>
      </c>
      <c r="I15" s="7">
        <f>VLOOKUP(A15,[1]Games!$B$2:$K$398,8,FALSE)/4</f>
        <v>4.7389055048904248E-2</v>
      </c>
      <c r="J15" s="8" t="s">
        <v>443</v>
      </c>
      <c r="K15" s="9">
        <f t="shared" si="1"/>
        <v>0</v>
      </c>
    </row>
    <row r="16" spans="1:12" x14ac:dyDescent="0.2">
      <c r="A16" s="1">
        <v>15</v>
      </c>
      <c r="B16" s="6" t="str">
        <f>VLOOKUP(A16,[1]Games!$B$2:$K$398,2,FALSE)</f>
        <v>Arizona</v>
      </c>
      <c r="C16" s="6" t="str">
        <f>VLOOKUP(A16,[1]Games!$B$2:$K$398,3,FALSE)</f>
        <v>Long Island University</v>
      </c>
      <c r="D16" s="6" t="str">
        <f t="shared" si="0"/>
        <v>Arizona</v>
      </c>
      <c r="E16" s="5">
        <f>VLOOKUP(A16,[1]Games!$B$2:$K$398,4,FALSE)</f>
        <v>32.400000000000013</v>
      </c>
      <c r="F16" s="5">
        <f>-VLOOKUP(A16,[2]Games!$A$2:$X$284,24,FALSE)</f>
        <v>31</v>
      </c>
      <c r="G16" s="7">
        <f>VLOOKUP(A16,[1]Games!$B$2:$K$398,9,FALSE)</f>
        <v>0.82374745212732714</v>
      </c>
      <c r="H16" s="7">
        <f>VLOOKUP(A16,[1]Games!$B$2:$K$398,7,FALSE)</f>
        <v>0</v>
      </c>
      <c r="I16" s="7">
        <f>VLOOKUP(A16,[1]Games!$B$2:$K$398,8,FALSE)/4</f>
        <v>1.4423657131036882E-3</v>
      </c>
      <c r="J16" s="8" t="s">
        <v>443</v>
      </c>
      <c r="K16" s="9">
        <f t="shared" si="1"/>
        <v>0</v>
      </c>
    </row>
    <row r="17" spans="1:11" x14ac:dyDescent="0.2">
      <c r="A17" s="1">
        <v>16</v>
      </c>
      <c r="B17" s="6" t="str">
        <f>VLOOKUP(A17,[1]Games!$B$2:$K$398,2,FALSE)</f>
        <v>Villanova</v>
      </c>
      <c r="C17" s="6" t="str">
        <f>VLOOKUP(A17,[1]Games!$B$2:$K$398,3,FALSE)</f>
        <v>Utah State</v>
      </c>
      <c r="D17" s="6" t="str">
        <f t="shared" si="0"/>
        <v>Villanova</v>
      </c>
      <c r="E17" s="5">
        <f>VLOOKUP(A17,[1]Games!$B$2:$K$398,4,FALSE)</f>
        <v>-0.1780563139182261</v>
      </c>
      <c r="F17" s="5">
        <f>-VLOOKUP(A17,[2]Games!$A$2:$X$284,24,FALSE)</f>
        <v>-2</v>
      </c>
      <c r="G17" s="7">
        <f>VLOOKUP(A17,[1]Games!$B$2:$K$398,9,FALSE)</f>
        <v>0.102922512580872</v>
      </c>
      <c r="H17" s="7">
        <f>VLOOKUP(A17,[1]Games!$B$2:$K$398,7,FALSE)</f>
        <v>0</v>
      </c>
      <c r="I17" s="7">
        <f>VLOOKUP(A17,[1]Games!$B$2:$K$398,8,FALSE)/4</f>
        <v>1.0271214196896016E-2</v>
      </c>
      <c r="J17" s="8" t="s">
        <v>443</v>
      </c>
      <c r="K17" s="9">
        <f t="shared" si="1"/>
        <v>0</v>
      </c>
    </row>
    <row r="18" spans="1:11" x14ac:dyDescent="0.2">
      <c r="A18" s="1">
        <v>17</v>
      </c>
      <c r="B18" s="6" t="str">
        <f>VLOOKUP(A18,[1]Games!$B$2:$K$398,2,FALSE)</f>
        <v>Michigan State</v>
      </c>
      <c r="C18" s="6" t="str">
        <f>VLOOKUP(A18,[1]Games!$B$2:$K$398,3,FALSE)</f>
        <v>Louisville</v>
      </c>
      <c r="D18" s="6" t="str">
        <f t="shared" si="0"/>
        <v>Michigan State</v>
      </c>
      <c r="E18" s="5">
        <f>VLOOKUP(A18,[1]Games!$B$2:$K$398,4,FALSE)</f>
        <v>7.7185281356503328</v>
      </c>
      <c r="F18" s="5">
        <f>-VLOOKUP(A18,[2]Games!$A$2:$X$284,24,FALSE)</f>
        <v>4</v>
      </c>
      <c r="G18" s="7">
        <f>VLOOKUP(A18,[1]Games!$B$2:$K$398,9,FALSE)</f>
        <v>0.45858766203522988</v>
      </c>
      <c r="H18" s="7">
        <f>VLOOKUP(A18,[1]Games!$B$2:$K$398,7,FALSE)</f>
        <v>0</v>
      </c>
      <c r="I18" s="7">
        <f>VLOOKUP(A18,[1]Games!$B$2:$K$398,8,FALSE)/4</f>
        <v>3.2492685044687476E-2</v>
      </c>
      <c r="J18" s="8" t="s">
        <v>443</v>
      </c>
      <c r="K18" s="9">
        <f t="shared" si="1"/>
        <v>0</v>
      </c>
    </row>
    <row r="19" spans="1:11" x14ac:dyDescent="0.2">
      <c r="A19" s="1">
        <v>18</v>
      </c>
      <c r="B19" s="6" t="str">
        <f>VLOOKUP(A19,[1]Games!$B$2:$K$398,2,FALSE)</f>
        <v>Michigan</v>
      </c>
      <c r="C19" s="6" t="str">
        <f>VLOOKUP(A19,[1]Games!$B$2:$K$398,3,FALSE)</f>
        <v>Saint Louis</v>
      </c>
      <c r="D19" s="6" t="str">
        <f t="shared" si="0"/>
        <v>Michigan</v>
      </c>
      <c r="E19" s="5">
        <f>VLOOKUP(A19,[1]Games!$B$2:$K$398,4,FALSE)</f>
        <v>15.5119498017062</v>
      </c>
      <c r="F19" s="5">
        <f>-VLOOKUP(A19,[2]Games!$A$2:$X$284,24,FALSE)</f>
        <v>12.5</v>
      </c>
      <c r="G19" s="7">
        <f>VLOOKUP(A19,[1]Games!$B$2:$K$398,9,FALSE)</f>
        <v>0.61731951279916419</v>
      </c>
      <c r="H19" s="7">
        <f>VLOOKUP(A19,[1]Games!$B$2:$K$398,7,FALSE)</f>
        <v>0</v>
      </c>
      <c r="I19" s="7">
        <f>VLOOKUP(A19,[1]Games!$B$2:$K$398,8,FALSE)/4</f>
        <v>2.1310118896945618E-2</v>
      </c>
      <c r="J19" s="8" t="s">
        <v>443</v>
      </c>
      <c r="K19" s="9">
        <f t="shared" si="1"/>
        <v>0</v>
      </c>
    </row>
    <row r="20" spans="1:11" x14ac:dyDescent="0.2">
      <c r="A20" s="1">
        <v>19</v>
      </c>
      <c r="B20" s="6" t="str">
        <f>VLOOKUP(A20,[1]Games!$B$2:$K$398,2,FALSE)</f>
        <v>Duke</v>
      </c>
      <c r="C20" s="6" t="str">
        <f>VLOOKUP(A20,[1]Games!$B$2:$K$398,3,FALSE)</f>
        <v>TCU</v>
      </c>
      <c r="D20" s="6" t="str">
        <f t="shared" ref="D20:D25" si="2">B20</f>
        <v>Duke</v>
      </c>
      <c r="E20" s="5">
        <f>VLOOKUP(A20,[1]Games!$B$2:$K$398,4,FALSE)</f>
        <v>16.140216310663</v>
      </c>
      <c r="F20" s="5">
        <f>-VLOOKUP(A20,[2]Games!$A$2:$X$284,24,FALSE)</f>
        <v>11</v>
      </c>
      <c r="G20" s="7">
        <f>VLOOKUP(A20,[1]Games!$B$2:$K$398,9,FALSE)</f>
        <v>0.70336153249742339</v>
      </c>
      <c r="H20" s="7">
        <f>VLOOKUP(A20,[1]Games!$B$2:$K$398,7,FALSE)</f>
        <v>0</v>
      </c>
      <c r="I20" s="7">
        <f>VLOOKUP(A20,[1]Games!$B$2:$K$398,8,FALSE)/4</f>
        <v>4.0689741555315628E-2</v>
      </c>
      <c r="J20" s="8" t="s">
        <v>443</v>
      </c>
      <c r="K20" s="9">
        <f t="shared" si="1"/>
        <v>0</v>
      </c>
    </row>
    <row r="21" spans="1:11" x14ac:dyDescent="0.2">
      <c r="A21" s="1">
        <v>20</v>
      </c>
      <c r="B21" s="6" t="str">
        <f>VLOOKUP(A21,[1]Games!$B$2:$K$398,2,FALSE)</f>
        <v>Illinois</v>
      </c>
      <c r="C21" s="6" t="str">
        <f>VLOOKUP(A21,[1]Games!$B$2:$K$398,3,FALSE)</f>
        <v>VCU</v>
      </c>
      <c r="D21" s="6" t="str">
        <f t="shared" si="2"/>
        <v>Illinois</v>
      </c>
      <c r="E21" s="5">
        <f>VLOOKUP(A21,[1]Games!$B$2:$K$398,4,FALSE)</f>
        <v>14.438763270417709</v>
      </c>
      <c r="F21" s="5">
        <f>-VLOOKUP(A21,[2]Games!$A$2:$X$284,24,FALSE)</f>
        <v>10.5</v>
      </c>
      <c r="G21" s="7">
        <f>VLOOKUP(A21,[1]Games!$B$2:$K$398,9,FALSE)</f>
        <v>0.63074311573987751</v>
      </c>
      <c r="H21" s="7">
        <f>VLOOKUP(A21,[1]Games!$B$2:$K$398,7,FALSE)</f>
        <v>0</v>
      </c>
      <c r="I21" s="7">
        <f>VLOOKUP(A21,[1]Games!$B$2:$K$398,8,FALSE)/4</f>
        <v>3.0845333654386374E-2</v>
      </c>
      <c r="J21" s="8" t="s">
        <v>443</v>
      </c>
      <c r="K21" s="9">
        <f t="shared" si="1"/>
        <v>0</v>
      </c>
    </row>
    <row r="22" spans="1:11" x14ac:dyDescent="0.2">
      <c r="A22" s="1">
        <v>21</v>
      </c>
      <c r="B22" s="6" t="str">
        <f>VLOOKUP(A22,[1]Games!$B$2:$K$398,2,FALSE)</f>
        <v>Nebraska</v>
      </c>
      <c r="C22" s="6" t="str">
        <f>VLOOKUP(A22,[1]Games!$B$2:$K$398,3,FALSE)</f>
        <v>Vanderbilt</v>
      </c>
      <c r="D22" s="6" t="str">
        <f t="shared" si="2"/>
        <v>Nebraska</v>
      </c>
      <c r="E22" s="5">
        <f>VLOOKUP(A22,[1]Games!$B$2:$K$398,4,FALSE)</f>
        <v>-1.093500554042212</v>
      </c>
      <c r="F22" s="5">
        <f>-VLOOKUP(A22,[2]Games!$A$2:$X$284,24,FALSE)</f>
        <v>-2.5</v>
      </c>
      <c r="G22" s="7">
        <f>VLOOKUP(A22,[1]Games!$B$2:$K$398,9,FALSE)</f>
        <v>4.8789164423594489E-2</v>
      </c>
      <c r="H22" s="7">
        <f>VLOOKUP(A22,[1]Games!$B$2:$K$398,7,FALSE)</f>
        <v>0</v>
      </c>
      <c r="I22" s="7">
        <f>VLOOKUP(A22,[1]Games!$B$2:$K$398,8,FALSE)/4</f>
        <v>5.3525505891840325E-3</v>
      </c>
      <c r="J22" s="8" t="s">
        <v>443</v>
      </c>
      <c r="K22" s="9">
        <f t="shared" si="1"/>
        <v>0</v>
      </c>
    </row>
    <row r="23" spans="1:11" x14ac:dyDescent="0.2">
      <c r="A23" s="1">
        <v>22</v>
      </c>
      <c r="B23" s="6" t="str">
        <f>VLOOKUP(A23,[1]Games!$B$2:$K$398,2,FALSE)</f>
        <v>Houston</v>
      </c>
      <c r="C23" s="6" t="str">
        <f>VLOOKUP(A23,[1]Games!$B$2:$K$398,3,FALSE)</f>
        <v>Texas A&amp;M</v>
      </c>
      <c r="D23" s="6" t="str">
        <f t="shared" si="2"/>
        <v>Houston</v>
      </c>
      <c r="E23" s="5">
        <f>VLOOKUP(A23,[1]Games!$B$2:$K$398,4,FALSE)</f>
        <v>12.80869246587973</v>
      </c>
      <c r="F23" s="5">
        <f>-VLOOKUP(A23,[2]Games!$A$2:$X$284,24,FALSE)</f>
        <v>10</v>
      </c>
      <c r="G23" s="7">
        <f>VLOOKUP(A23,[1]Games!$B$2:$K$398,9,FALSE)</f>
        <v>0.54759166061732523</v>
      </c>
      <c r="H23" s="7">
        <f>VLOOKUP(A23,[1]Games!$B$2:$K$398,7,FALSE)</f>
        <v>0</v>
      </c>
      <c r="I23" s="7">
        <f>VLOOKUP(A23,[1]Games!$B$2:$K$398,8,FALSE)/4</f>
        <v>2.0460202169939601E-2</v>
      </c>
      <c r="J23" s="8" t="s">
        <v>443</v>
      </c>
      <c r="K23" s="9">
        <f t="shared" si="1"/>
        <v>0</v>
      </c>
    </row>
    <row r="24" spans="1:11" x14ac:dyDescent="0.2">
      <c r="A24" s="1">
        <v>23</v>
      </c>
      <c r="B24" s="6" t="str">
        <f>VLOOKUP(A24,[1]Games!$B$2:$K$398,2,FALSE)</f>
        <v>Arkansas</v>
      </c>
      <c r="C24" s="6" t="str">
        <f>VLOOKUP(A24,[1]Games!$B$2:$K$398,3,FALSE)</f>
        <v>High Point</v>
      </c>
      <c r="D24" s="6" t="str">
        <f t="shared" si="2"/>
        <v>Arkansas</v>
      </c>
      <c r="E24" s="5">
        <f>VLOOKUP(A24,[1]Games!$B$2:$K$398,4,FALSE)</f>
        <v>14.531806056773171</v>
      </c>
      <c r="F24" s="5">
        <f>-VLOOKUP(A24,[2]Games!$A$2:$X$284,24,FALSE)</f>
        <v>11</v>
      </c>
      <c r="G24" s="7">
        <f>VLOOKUP(A24,[1]Games!$B$2:$K$398,9,FALSE)</f>
        <v>0.61701013724196296</v>
      </c>
      <c r="H24" s="7">
        <f>VLOOKUP(A24,[1]Games!$B$2:$K$398,7,FALSE)</f>
        <v>0</v>
      </c>
      <c r="I24" s="7">
        <f>VLOOKUP(A24,[1]Games!$B$2:$K$398,8,FALSE)/4</f>
        <v>2.6886349055742175E-2</v>
      </c>
      <c r="J24" s="8" t="s">
        <v>443</v>
      </c>
      <c r="K24" s="9">
        <f t="shared" si="1"/>
        <v>0</v>
      </c>
    </row>
    <row r="25" spans="1:11" x14ac:dyDescent="0.2">
      <c r="A25" s="1">
        <v>24</v>
      </c>
      <c r="B25" s="6" t="str">
        <f>VLOOKUP(A25,[1]Games!$B$2:$K$398,2,FALSE)</f>
        <v>Gonzaga</v>
      </c>
      <c r="C25" s="6" t="str">
        <f>VLOOKUP(A25,[1]Games!$B$2:$K$398,3,FALSE)</f>
        <v>Texas</v>
      </c>
      <c r="D25" s="6" t="str">
        <f t="shared" si="2"/>
        <v>Gonzaga</v>
      </c>
      <c r="E25" s="5">
        <f>VLOOKUP(A25,[1]Games!$B$2:$K$398,4,FALSE)</f>
        <v>8.5492026218240404</v>
      </c>
      <c r="F25" s="5">
        <f>-VLOOKUP(A25,[2]Games!$A$2:$X$284,24,FALSE)</f>
        <v>5.5</v>
      </c>
      <c r="G25" s="7">
        <f>VLOOKUP(A25,[1]Games!$B$2:$K$398,9,FALSE)</f>
        <v>0.44641629054277171</v>
      </c>
      <c r="H25" s="7">
        <f>VLOOKUP(A25,[1]Games!$B$2:$K$398,7,FALSE)</f>
        <v>0</v>
      </c>
      <c r="I25" s="7">
        <f>VLOOKUP(A25,[1]Games!$B$2:$K$398,8,FALSE)/4</f>
        <v>2.470423354456186E-2</v>
      </c>
      <c r="J25" s="8" t="s">
        <v>443</v>
      </c>
      <c r="K25" s="9">
        <f t="shared" si="1"/>
        <v>0</v>
      </c>
    </row>
    <row r="26" spans="1:11" x14ac:dyDescent="0.2">
      <c r="B26" s="6"/>
      <c r="C26" s="6"/>
      <c r="D26" s="6"/>
      <c r="E26" s="5"/>
      <c r="F26" s="5"/>
      <c r="G26" s="7"/>
      <c r="H26" s="7"/>
      <c r="I26" s="7"/>
      <c r="J26" s="8"/>
      <c r="K26" s="9"/>
    </row>
    <row r="27" spans="1:11" x14ac:dyDescent="0.2">
      <c r="B27" s="6"/>
      <c r="C27" s="6"/>
      <c r="D27" s="6"/>
      <c r="E27" s="5"/>
      <c r="F27" s="5"/>
      <c r="G27" s="7"/>
      <c r="H27" s="7"/>
      <c r="I27" s="7"/>
      <c r="J27" s="8"/>
      <c r="K27" s="9"/>
    </row>
    <row r="28" spans="1:11" x14ac:dyDescent="0.2">
      <c r="B28" s="6"/>
      <c r="C28" s="6"/>
      <c r="D28" s="6"/>
      <c r="E28" s="5"/>
      <c r="F28" s="5"/>
      <c r="G28" s="7"/>
      <c r="H28" s="7"/>
      <c r="I28" s="7"/>
      <c r="J28" s="8"/>
      <c r="K28" s="9"/>
    </row>
    <row r="29" spans="1:11" x14ac:dyDescent="0.2">
      <c r="B29" s="6"/>
      <c r="C29" s="6"/>
      <c r="D29" s="6"/>
      <c r="E29" s="5"/>
      <c r="F29" s="5"/>
      <c r="G29" s="7"/>
      <c r="H29" s="7"/>
      <c r="I29" s="7"/>
      <c r="J29" s="8"/>
      <c r="K29" s="9"/>
    </row>
    <row r="30" spans="1:11" x14ac:dyDescent="0.2">
      <c r="B30" s="6"/>
      <c r="C30" s="6"/>
      <c r="D30" s="6"/>
      <c r="E30" s="5"/>
      <c r="F30" s="5"/>
      <c r="G30" s="7"/>
      <c r="H30" s="7"/>
      <c r="I30" s="7"/>
      <c r="J30" s="8"/>
      <c r="K30" s="9"/>
    </row>
    <row r="31" spans="1:11" x14ac:dyDescent="0.2">
      <c r="B31" s="6"/>
      <c r="C31" s="6"/>
      <c r="D31" s="6"/>
      <c r="E31" s="5"/>
      <c r="F31" s="5"/>
      <c r="G31" s="7"/>
      <c r="H31" s="7"/>
      <c r="I31" s="7"/>
      <c r="J31" s="8"/>
      <c r="K31" s="9"/>
    </row>
    <row r="32" spans="1:11" x14ac:dyDescent="0.2">
      <c r="B32" s="6"/>
      <c r="C32" s="6"/>
      <c r="D32" s="6"/>
      <c r="E32" s="5"/>
      <c r="F32" s="5"/>
      <c r="G32" s="7"/>
      <c r="H32" s="7"/>
      <c r="I32" s="7"/>
      <c r="J32" s="8"/>
      <c r="K32" s="9"/>
    </row>
    <row r="33" spans="2:11" x14ac:dyDescent="0.2">
      <c r="B33" s="6"/>
      <c r="C33" s="6"/>
      <c r="D33" s="6"/>
      <c r="E33" s="5"/>
      <c r="F33" s="5"/>
      <c r="G33" s="7"/>
      <c r="H33" s="7"/>
      <c r="I33" s="7"/>
      <c r="J33" s="8"/>
      <c r="K33" s="9"/>
    </row>
    <row r="34" spans="2:11" x14ac:dyDescent="0.2">
      <c r="B34" s="6"/>
      <c r="C34" s="6"/>
      <c r="D34" s="6"/>
      <c r="E34" s="5"/>
      <c r="F34" s="5"/>
      <c r="G34" s="7"/>
      <c r="H34" s="7"/>
      <c r="I34" s="7"/>
      <c r="J34" s="8"/>
      <c r="K34" s="9"/>
    </row>
    <row r="35" spans="2:11" x14ac:dyDescent="0.2">
      <c r="B35" s="6"/>
      <c r="C35" s="6"/>
      <c r="D35" s="6"/>
      <c r="E35" s="5"/>
      <c r="F35" s="5"/>
      <c r="G35" s="7"/>
      <c r="H35" s="7"/>
      <c r="I35" s="7"/>
      <c r="J35" s="8"/>
      <c r="K35" s="9"/>
    </row>
    <row r="36" spans="2:11" x14ac:dyDescent="0.2">
      <c r="B36" s="6"/>
      <c r="C36" s="6"/>
      <c r="D36" s="6"/>
      <c r="E36" s="5"/>
      <c r="F36" s="5"/>
      <c r="G36" s="7"/>
      <c r="H36" s="7"/>
      <c r="I36" s="7"/>
      <c r="J36" s="8"/>
      <c r="K36" s="9"/>
    </row>
    <row r="37" spans="2:11" x14ac:dyDescent="0.2">
      <c r="B37" s="6"/>
      <c r="C37" s="6"/>
      <c r="D37" s="6"/>
      <c r="E37" s="5"/>
      <c r="F37" s="5"/>
      <c r="G37" s="7"/>
      <c r="H37" s="7"/>
      <c r="I37" s="7"/>
      <c r="J37" s="8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I21" sqref="I21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8</v>
      </c>
      <c r="B2" s="1">
        <f>COUNTIF($C$6:$C$150,"L")</f>
        <v>8</v>
      </c>
      <c r="C2" s="12">
        <f>SUM(F6:F21)/SUM(E6:E21)</f>
        <v>-5.983462673712589E-2</v>
      </c>
      <c r="D2" s="13">
        <f>AVERAGE(H6:H150)</f>
        <v>2.5783431206901603E-2</v>
      </c>
      <c r="E2" s="1">
        <f ca="1">COUNTIF(OFFSET($C$6,COUNTA($C$6:$C$1500)-10,0,10,1),"W")</f>
        <v>6</v>
      </c>
      <c r="F2" s="1">
        <f ca="1">COUNTIF(OFFSET($C$6,COUNTA($C$6:$C$1500)-10,0,10,1),"L")</f>
        <v>4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1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F22" s="14"/>
      <c r="G22" s="14"/>
      <c r="H22" s="10"/>
      <c r="I22" s="10"/>
      <c r="J22" s="1"/>
      <c r="K22" s="1"/>
      <c r="L22" s="12"/>
      <c r="M22" s="1"/>
      <c r="N22" s="1"/>
      <c r="O22" s="12"/>
      <c r="P22" s="1"/>
    </row>
    <row r="23" spans="1:16" x14ac:dyDescent="0.2">
      <c r="F23" s="14"/>
      <c r="G23" s="14"/>
      <c r="H23" s="10"/>
      <c r="I23" s="10"/>
      <c r="J23" s="1"/>
      <c r="K23" s="1"/>
      <c r="L23" s="12"/>
      <c r="M23" s="1"/>
      <c r="N23" s="1"/>
      <c r="O23" s="12"/>
      <c r="P23" s="1"/>
    </row>
    <row r="24" spans="1:16" x14ac:dyDescent="0.2">
      <c r="F24" s="14"/>
      <c r="G24" s="14"/>
      <c r="H24" s="10"/>
      <c r="I24" s="10"/>
      <c r="J24" s="1"/>
      <c r="K24" s="1"/>
      <c r="L24" s="12"/>
      <c r="M24" s="1"/>
      <c r="N24" s="1"/>
      <c r="O24" s="12"/>
      <c r="P24" s="1"/>
    </row>
    <row r="25" spans="1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1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413</v>
      </c>
      <c r="H11" s="1" t="s">
        <v>451</v>
      </c>
      <c r="K11" s="1">
        <f t="shared" si="0"/>
        <v>0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413</v>
      </c>
      <c r="H12" s="1" t="s">
        <v>451</v>
      </c>
      <c r="K12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topLeftCell="A32" workbookViewId="0">
      <selection sqref="A1:XFD104857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0.7752</v>
      </c>
      <c r="D2">
        <v>0.56345000000000001</v>
      </c>
      <c r="E2">
        <v>0.36745</v>
      </c>
      <c r="F2">
        <v>0.21435000000000001</v>
      </c>
      <c r="G2">
        <v>0.1188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0.96835000000000004</v>
      </c>
      <c r="C3">
        <v>0.73114999999999997</v>
      </c>
      <c r="D3">
        <v>0.48599999999999999</v>
      </c>
      <c r="E3">
        <v>0.30630000000000002</v>
      </c>
      <c r="F3">
        <v>0.18210000000000001</v>
      </c>
      <c r="G3">
        <v>0.1114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1</v>
      </c>
      <c r="C4">
        <v>0.77395000000000003</v>
      </c>
      <c r="D4">
        <v>0.50795000000000001</v>
      </c>
      <c r="E4">
        <v>0.31414999999999998</v>
      </c>
      <c r="F4">
        <v>0.18015</v>
      </c>
      <c r="G4">
        <v>0.11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0.98219999999999996</v>
      </c>
      <c r="C5">
        <v>0.72609999999999997</v>
      </c>
      <c r="D5">
        <v>0.45924999999999999</v>
      </c>
      <c r="E5">
        <v>0.28594999999999998</v>
      </c>
      <c r="F5">
        <v>0.16994999999999999</v>
      </c>
      <c r="G5">
        <v>9.3850000000000003E-2</v>
      </c>
      <c r="H5" t="s">
        <v>385</v>
      </c>
      <c r="I5">
        <v>1</v>
      </c>
      <c r="J5">
        <v>22.650454216704581</v>
      </c>
    </row>
    <row r="6" spans="1:10" x14ac:dyDescent="0.2">
      <c r="A6" t="s">
        <v>6</v>
      </c>
      <c r="B6">
        <v>1</v>
      </c>
      <c r="C6">
        <v>0.71684999999999999</v>
      </c>
      <c r="D6">
        <v>0.44435000000000002</v>
      </c>
      <c r="E6">
        <v>0.23180000000000001</v>
      </c>
      <c r="F6">
        <v>0.125</v>
      </c>
      <c r="G6">
        <v>6.3250000000000001E-2</v>
      </c>
      <c r="H6" t="s">
        <v>385</v>
      </c>
      <c r="I6">
        <v>2</v>
      </c>
      <c r="J6">
        <v>20.901069562815731</v>
      </c>
    </row>
    <row r="7" spans="1:10" x14ac:dyDescent="0.2">
      <c r="A7" t="s">
        <v>5</v>
      </c>
      <c r="B7">
        <v>1</v>
      </c>
      <c r="C7">
        <v>0.68510000000000004</v>
      </c>
      <c r="D7">
        <v>0.39145000000000002</v>
      </c>
      <c r="E7">
        <v>0.19384999999999999</v>
      </c>
      <c r="F7">
        <v>0.1008</v>
      </c>
      <c r="G7">
        <v>5.355E-2</v>
      </c>
      <c r="H7" t="s">
        <v>383</v>
      </c>
      <c r="I7">
        <v>3</v>
      </c>
      <c r="J7">
        <v>20.95985487362351</v>
      </c>
    </row>
    <row r="8" spans="1:10" x14ac:dyDescent="0.2">
      <c r="A8" t="s">
        <v>7</v>
      </c>
      <c r="B8">
        <v>0.94215000000000004</v>
      </c>
      <c r="C8">
        <v>0.69989999999999997</v>
      </c>
      <c r="D8">
        <v>0.38795000000000002</v>
      </c>
      <c r="E8">
        <v>0.19655</v>
      </c>
      <c r="F8">
        <v>0.10085</v>
      </c>
      <c r="G8">
        <v>0.05</v>
      </c>
      <c r="H8" t="s">
        <v>383</v>
      </c>
      <c r="I8">
        <v>2</v>
      </c>
      <c r="J8">
        <v>20.933350618351088</v>
      </c>
    </row>
    <row r="9" spans="1:10" x14ac:dyDescent="0.2">
      <c r="A9" t="s">
        <v>8</v>
      </c>
      <c r="B9">
        <v>1</v>
      </c>
      <c r="C9">
        <v>0.77595000000000003</v>
      </c>
      <c r="D9">
        <v>0.35199999999999998</v>
      </c>
      <c r="E9">
        <v>0.18149999999999999</v>
      </c>
      <c r="F9">
        <v>9.0749999999999997E-2</v>
      </c>
      <c r="G9">
        <v>4.5150000000000003E-2</v>
      </c>
      <c r="H9" t="s">
        <v>383</v>
      </c>
      <c r="I9">
        <v>4</v>
      </c>
      <c r="J9">
        <v>19.899076876872609</v>
      </c>
    </row>
    <row r="10" spans="1:10" x14ac:dyDescent="0.2">
      <c r="A10" t="s">
        <v>14</v>
      </c>
      <c r="B10">
        <v>0.91315000000000002</v>
      </c>
      <c r="C10">
        <v>0.5484</v>
      </c>
      <c r="D10">
        <v>0.33679999999999999</v>
      </c>
      <c r="E10">
        <v>0.17115</v>
      </c>
      <c r="F10">
        <v>8.4250000000000005E-2</v>
      </c>
      <c r="G10">
        <v>4.3799999999999999E-2</v>
      </c>
      <c r="H10" t="s">
        <v>382</v>
      </c>
      <c r="I10">
        <v>2</v>
      </c>
      <c r="J10">
        <v>20.64149391157072</v>
      </c>
    </row>
    <row r="11" spans="1:10" x14ac:dyDescent="0.2">
      <c r="A11" t="s">
        <v>9</v>
      </c>
      <c r="B11">
        <v>1</v>
      </c>
      <c r="C11">
        <v>0.6018</v>
      </c>
      <c r="D11">
        <v>0.36314999999999997</v>
      </c>
      <c r="E11">
        <v>0.18440000000000001</v>
      </c>
      <c r="F11">
        <v>9.4049999999999995E-2</v>
      </c>
      <c r="G11">
        <v>4.2549999999999998E-2</v>
      </c>
      <c r="H11" t="s">
        <v>384</v>
      </c>
      <c r="I11">
        <v>3</v>
      </c>
      <c r="J11">
        <v>19.982154388171558</v>
      </c>
    </row>
    <row r="12" spans="1:10" x14ac:dyDescent="0.2">
      <c r="A12" t="s">
        <v>10</v>
      </c>
      <c r="B12">
        <v>0.77900000000000003</v>
      </c>
      <c r="C12">
        <v>0.57984999999999998</v>
      </c>
      <c r="D12">
        <v>0.31735000000000002</v>
      </c>
      <c r="E12">
        <v>0.1603</v>
      </c>
      <c r="F12">
        <v>7.7600000000000002E-2</v>
      </c>
      <c r="G12">
        <v>3.8899999999999997E-2</v>
      </c>
      <c r="H12" t="s">
        <v>382</v>
      </c>
      <c r="I12">
        <v>6</v>
      </c>
      <c r="J12">
        <v>20.582457175121959</v>
      </c>
    </row>
    <row r="13" spans="1:10" x14ac:dyDescent="0.2">
      <c r="A13" t="s">
        <v>13</v>
      </c>
      <c r="B13">
        <v>1</v>
      </c>
      <c r="C13">
        <v>0.73540000000000005</v>
      </c>
      <c r="D13">
        <v>0.36675000000000002</v>
      </c>
      <c r="E13">
        <v>0.17235</v>
      </c>
      <c r="F13">
        <v>8.3099999999999993E-2</v>
      </c>
      <c r="G13">
        <v>3.6249999999999998E-2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12</v>
      </c>
      <c r="B14">
        <v>0.87385000000000002</v>
      </c>
      <c r="C14">
        <v>0.55259999999999998</v>
      </c>
      <c r="D14">
        <v>0.25640000000000002</v>
      </c>
      <c r="E14">
        <v>0.13675000000000001</v>
      </c>
      <c r="F14">
        <v>6.2449999999999999E-2</v>
      </c>
      <c r="G14">
        <v>3.1800000000000002E-2</v>
      </c>
      <c r="H14" t="s">
        <v>382</v>
      </c>
      <c r="I14">
        <v>4</v>
      </c>
      <c r="J14">
        <v>19.673613604820769</v>
      </c>
    </row>
    <row r="15" spans="1:10" x14ac:dyDescent="0.2">
      <c r="A15" t="s">
        <v>15</v>
      </c>
      <c r="B15">
        <v>1</v>
      </c>
      <c r="C15">
        <v>0.60494999999999999</v>
      </c>
      <c r="D15">
        <v>0.28505000000000003</v>
      </c>
      <c r="E15">
        <v>0.1489</v>
      </c>
      <c r="F15">
        <v>7.2099999999999997E-2</v>
      </c>
      <c r="G15">
        <v>3.1600000000000003E-2</v>
      </c>
      <c r="H15" t="s">
        <v>385</v>
      </c>
      <c r="I15">
        <v>5</v>
      </c>
      <c r="J15">
        <v>19.33409526621552</v>
      </c>
    </row>
    <row r="16" spans="1:10" x14ac:dyDescent="0.2">
      <c r="A16" t="s">
        <v>386</v>
      </c>
      <c r="B16">
        <v>0.89975000000000005</v>
      </c>
      <c r="C16">
        <v>0.54085000000000005</v>
      </c>
      <c r="D16">
        <v>0.25785000000000002</v>
      </c>
      <c r="E16">
        <v>0.1166</v>
      </c>
      <c r="F16">
        <v>5.3400000000000003E-2</v>
      </c>
      <c r="G16">
        <v>2.12E-2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20</v>
      </c>
      <c r="B17">
        <v>0.80815000000000003</v>
      </c>
      <c r="C17">
        <v>0.49080000000000001</v>
      </c>
      <c r="D17">
        <v>0.19114999999999999</v>
      </c>
      <c r="E17">
        <v>8.8400000000000006E-2</v>
      </c>
      <c r="F17">
        <v>3.705E-2</v>
      </c>
      <c r="G17">
        <v>1.37E-2</v>
      </c>
      <c r="H17" t="s">
        <v>384</v>
      </c>
      <c r="I17">
        <v>4</v>
      </c>
      <c r="J17">
        <v>16.809475334579389</v>
      </c>
    </row>
    <row r="18" spans="1:10" x14ac:dyDescent="0.2">
      <c r="A18" t="s">
        <v>18</v>
      </c>
      <c r="B18">
        <v>1</v>
      </c>
      <c r="C18">
        <v>0.3982</v>
      </c>
      <c r="D18">
        <v>0.20280000000000001</v>
      </c>
      <c r="E18">
        <v>8.3199999999999996E-2</v>
      </c>
      <c r="F18">
        <v>3.4099999999999998E-2</v>
      </c>
      <c r="G18">
        <v>1.315E-2</v>
      </c>
      <c r="H18" t="s">
        <v>384</v>
      </c>
      <c r="I18">
        <v>6</v>
      </c>
      <c r="J18">
        <v>16.631119331501349</v>
      </c>
    </row>
    <row r="19" spans="1:10" x14ac:dyDescent="0.2">
      <c r="A19" t="s">
        <v>17</v>
      </c>
      <c r="B19">
        <v>0.60145000000000004</v>
      </c>
      <c r="C19">
        <v>0.27960000000000002</v>
      </c>
      <c r="D19">
        <v>0.14715</v>
      </c>
      <c r="E19">
        <v>6.3649999999999998E-2</v>
      </c>
      <c r="F19">
        <v>2.665E-2</v>
      </c>
      <c r="G19">
        <v>1.11E-2</v>
      </c>
      <c r="H19" t="s">
        <v>382</v>
      </c>
      <c r="I19">
        <v>7</v>
      </c>
      <c r="J19">
        <v>18.034523649586539</v>
      </c>
    </row>
    <row r="20" spans="1:10" x14ac:dyDescent="0.2">
      <c r="A20" t="s">
        <v>24</v>
      </c>
      <c r="B20">
        <v>1</v>
      </c>
      <c r="C20">
        <v>0.39505000000000001</v>
      </c>
      <c r="D20">
        <v>0.14799999999999999</v>
      </c>
      <c r="E20">
        <v>6.4799999999999996E-2</v>
      </c>
      <c r="F20">
        <v>2.6849999999999999E-2</v>
      </c>
      <c r="G20">
        <v>9.1999999999999998E-3</v>
      </c>
      <c r="H20" t="s">
        <v>385</v>
      </c>
      <c r="I20">
        <v>4</v>
      </c>
      <c r="J20">
        <v>15.82631796216417</v>
      </c>
    </row>
    <row r="21" spans="1:10" x14ac:dyDescent="0.2">
      <c r="A21" t="s">
        <v>11</v>
      </c>
      <c r="B21">
        <v>0.66815000000000002</v>
      </c>
      <c r="C21">
        <v>0.31840000000000002</v>
      </c>
      <c r="D21">
        <v>0.1239</v>
      </c>
      <c r="E21">
        <v>5.3900000000000003E-2</v>
      </c>
      <c r="F21">
        <v>2.2349999999999998E-2</v>
      </c>
      <c r="G21">
        <v>8.6999999999999994E-3</v>
      </c>
      <c r="H21" t="s">
        <v>382</v>
      </c>
      <c r="I21">
        <v>5</v>
      </c>
      <c r="J21">
        <v>17.052374181699321</v>
      </c>
    </row>
    <row r="22" spans="1:10" x14ac:dyDescent="0.2">
      <c r="A22" t="s">
        <v>23</v>
      </c>
      <c r="B22">
        <v>0.61529999999999996</v>
      </c>
      <c r="C22">
        <v>0.2949</v>
      </c>
      <c r="D22">
        <v>0.125</v>
      </c>
      <c r="E22">
        <v>4.965E-2</v>
      </c>
      <c r="F22">
        <v>1.9599999999999999E-2</v>
      </c>
      <c r="G22">
        <v>7.3000000000000001E-3</v>
      </c>
      <c r="H22" t="s">
        <v>384</v>
      </c>
      <c r="I22">
        <v>7</v>
      </c>
      <c r="J22">
        <v>15.943406980069801</v>
      </c>
    </row>
    <row r="23" spans="1:10" x14ac:dyDescent="0.2">
      <c r="A23" t="s">
        <v>30</v>
      </c>
      <c r="B23">
        <v>0.65805000000000002</v>
      </c>
      <c r="C23">
        <v>0.33760000000000001</v>
      </c>
      <c r="D23">
        <v>0.1181</v>
      </c>
      <c r="E23">
        <v>5.0650000000000001E-2</v>
      </c>
      <c r="F23">
        <v>1.8599999999999998E-2</v>
      </c>
      <c r="G23">
        <v>5.8500000000000002E-3</v>
      </c>
      <c r="H23" t="s">
        <v>384</v>
      </c>
      <c r="I23">
        <v>5</v>
      </c>
      <c r="J23">
        <v>15.123966744544839</v>
      </c>
    </row>
    <row r="24" spans="1:10" x14ac:dyDescent="0.2">
      <c r="A24" t="s">
        <v>21</v>
      </c>
      <c r="B24">
        <v>0.58784999999999998</v>
      </c>
      <c r="C24">
        <v>0.17824999999999999</v>
      </c>
      <c r="D24">
        <v>8.3000000000000004E-2</v>
      </c>
      <c r="E24">
        <v>3.27E-2</v>
      </c>
      <c r="F24">
        <v>1.375E-2</v>
      </c>
      <c r="G24">
        <v>5.1000000000000004E-3</v>
      </c>
      <c r="H24" t="s">
        <v>383</v>
      </c>
      <c r="I24">
        <v>9</v>
      </c>
      <c r="J24">
        <v>16.287809545840609</v>
      </c>
    </row>
    <row r="25" spans="1:10" x14ac:dyDescent="0.2">
      <c r="A25" t="s">
        <v>25</v>
      </c>
      <c r="B25">
        <v>1</v>
      </c>
      <c r="C25">
        <v>0.31490000000000001</v>
      </c>
      <c r="D25">
        <v>0.1273</v>
      </c>
      <c r="E25">
        <v>4.1950000000000001E-2</v>
      </c>
      <c r="F25">
        <v>1.495E-2</v>
      </c>
      <c r="G25">
        <v>4.8999999999999998E-3</v>
      </c>
      <c r="H25" t="s">
        <v>383</v>
      </c>
      <c r="I25">
        <v>11</v>
      </c>
      <c r="J25">
        <v>14.53205210966642</v>
      </c>
    </row>
    <row r="26" spans="1:10" x14ac:dyDescent="0.2">
      <c r="A26" t="s">
        <v>28</v>
      </c>
      <c r="B26">
        <v>0.58265</v>
      </c>
      <c r="C26">
        <v>0.18260000000000001</v>
      </c>
      <c r="D26">
        <v>7.9350000000000004E-2</v>
      </c>
      <c r="E26">
        <v>3.3300000000000003E-2</v>
      </c>
      <c r="F26">
        <v>1.35E-2</v>
      </c>
      <c r="G26">
        <v>4.7499999999999999E-3</v>
      </c>
      <c r="H26" t="s">
        <v>385</v>
      </c>
      <c r="I26">
        <v>9</v>
      </c>
      <c r="J26">
        <v>15.51511812576733</v>
      </c>
    </row>
    <row r="27" spans="1:10" x14ac:dyDescent="0.2">
      <c r="A27" t="s">
        <v>46</v>
      </c>
      <c r="B27">
        <v>1</v>
      </c>
      <c r="C27">
        <v>0.2248</v>
      </c>
      <c r="D27">
        <v>9.6199999999999994E-2</v>
      </c>
      <c r="E27">
        <v>3.5950000000000003E-2</v>
      </c>
      <c r="F27">
        <v>1.125E-2</v>
      </c>
      <c r="G27">
        <v>3.8500000000000001E-3</v>
      </c>
      <c r="H27" t="s">
        <v>384</v>
      </c>
      <c r="I27">
        <v>9</v>
      </c>
      <c r="J27">
        <v>12.67635641689086</v>
      </c>
    </row>
    <row r="28" spans="1:10" x14ac:dyDescent="0.2">
      <c r="A28" t="s">
        <v>37</v>
      </c>
      <c r="B28">
        <v>1</v>
      </c>
      <c r="C28">
        <v>0.28315000000000001</v>
      </c>
      <c r="D28">
        <v>0.11855</v>
      </c>
      <c r="E28">
        <v>3.8449999999999998E-2</v>
      </c>
      <c r="F28">
        <v>1.2999999999999999E-2</v>
      </c>
      <c r="G28">
        <v>3.5999999999999999E-3</v>
      </c>
      <c r="H28" t="s">
        <v>385</v>
      </c>
      <c r="I28">
        <v>10</v>
      </c>
      <c r="J28">
        <v>13.344745551152521</v>
      </c>
    </row>
    <row r="29" spans="1:10" x14ac:dyDescent="0.2">
      <c r="A29" t="s">
        <v>27</v>
      </c>
      <c r="B29">
        <v>0.39855000000000002</v>
      </c>
      <c r="C29">
        <v>0.16075</v>
      </c>
      <c r="D29">
        <v>7.5499999999999998E-2</v>
      </c>
      <c r="E29">
        <v>2.8750000000000001E-2</v>
      </c>
      <c r="F29">
        <v>1.025E-2</v>
      </c>
      <c r="G29">
        <v>3.4499999999999999E-3</v>
      </c>
      <c r="H29" t="s">
        <v>382</v>
      </c>
      <c r="I29">
        <v>10</v>
      </c>
      <c r="J29">
        <v>15.7373824689671</v>
      </c>
    </row>
    <row r="30" spans="1:10" x14ac:dyDescent="0.2">
      <c r="A30" t="s">
        <v>40</v>
      </c>
      <c r="B30">
        <v>0.78995000000000004</v>
      </c>
      <c r="C30">
        <v>0.29594999999999999</v>
      </c>
      <c r="D30">
        <v>9.7350000000000006E-2</v>
      </c>
      <c r="E30">
        <v>2.9649999999999999E-2</v>
      </c>
      <c r="F30">
        <v>8.7500000000000008E-3</v>
      </c>
      <c r="G30">
        <v>3.0500000000000002E-3</v>
      </c>
      <c r="H30" t="s">
        <v>382</v>
      </c>
      <c r="I30">
        <v>3</v>
      </c>
      <c r="J30">
        <v>12.89893074417701</v>
      </c>
    </row>
    <row r="31" spans="1:10" x14ac:dyDescent="0.2">
      <c r="A31" t="s">
        <v>38</v>
      </c>
      <c r="B31">
        <v>1</v>
      </c>
      <c r="C31">
        <v>0.22605</v>
      </c>
      <c r="D31">
        <v>8.4699999999999998E-2</v>
      </c>
      <c r="E31">
        <v>2.955E-2</v>
      </c>
      <c r="F31">
        <v>8.1499999999999993E-3</v>
      </c>
      <c r="G31">
        <v>2.5000000000000001E-3</v>
      </c>
      <c r="H31" t="s">
        <v>382</v>
      </c>
      <c r="I31">
        <v>9</v>
      </c>
      <c r="J31">
        <v>12.8910075642879</v>
      </c>
    </row>
    <row r="32" spans="1:10" x14ac:dyDescent="0.2">
      <c r="A32" t="s">
        <v>43</v>
      </c>
      <c r="B32">
        <v>0.38469999999999999</v>
      </c>
      <c r="C32">
        <v>0.14824999999999999</v>
      </c>
      <c r="D32">
        <v>4.9500000000000002E-2</v>
      </c>
      <c r="E32">
        <v>1.55E-2</v>
      </c>
      <c r="F32">
        <v>5.3499999999999997E-3</v>
      </c>
      <c r="G32">
        <v>1.4499999999999999E-3</v>
      </c>
      <c r="H32" t="s">
        <v>384</v>
      </c>
      <c r="I32">
        <v>10</v>
      </c>
      <c r="J32">
        <v>12.78042205274066</v>
      </c>
    </row>
    <row r="33" spans="1:10" x14ac:dyDescent="0.2">
      <c r="A33" t="s">
        <v>63</v>
      </c>
      <c r="B33">
        <v>1</v>
      </c>
      <c r="C33">
        <v>0.2646</v>
      </c>
      <c r="D33">
        <v>7.0349999999999996E-2</v>
      </c>
      <c r="E33">
        <v>1.695E-2</v>
      </c>
      <c r="F33">
        <v>4.7000000000000002E-3</v>
      </c>
      <c r="G33">
        <v>1.25E-3</v>
      </c>
      <c r="H33" t="s">
        <v>385</v>
      </c>
      <c r="I33">
        <v>11</v>
      </c>
      <c r="J33">
        <v>10.280535393881051</v>
      </c>
    </row>
    <row r="34" spans="1:10" x14ac:dyDescent="0.2">
      <c r="A34" t="s">
        <v>53</v>
      </c>
      <c r="B34">
        <v>0.57250000000000001</v>
      </c>
      <c r="C34">
        <v>0.16875000000000001</v>
      </c>
      <c r="D34">
        <v>5.425E-2</v>
      </c>
      <c r="E34">
        <v>1.465E-2</v>
      </c>
      <c r="F34">
        <v>4.45E-3</v>
      </c>
      <c r="G34">
        <v>1.25E-3</v>
      </c>
      <c r="H34" t="s">
        <v>383</v>
      </c>
      <c r="I34">
        <v>7</v>
      </c>
      <c r="J34">
        <v>12.2388904180045</v>
      </c>
    </row>
    <row r="35" spans="1:10" x14ac:dyDescent="0.2">
      <c r="A35" t="s">
        <v>50</v>
      </c>
      <c r="B35">
        <v>0.42749999999999999</v>
      </c>
      <c r="C35">
        <v>0.12335</v>
      </c>
      <c r="D35">
        <v>3.8300000000000001E-2</v>
      </c>
      <c r="E35">
        <v>1.1599999999999999E-2</v>
      </c>
      <c r="F35">
        <v>3.7499999999999999E-3</v>
      </c>
      <c r="G35">
        <v>1.1000000000000001E-3</v>
      </c>
      <c r="H35" t="s">
        <v>383</v>
      </c>
      <c r="I35">
        <v>10</v>
      </c>
      <c r="J35">
        <v>11.938625469494371</v>
      </c>
    </row>
    <row r="36" spans="1:10" x14ac:dyDescent="0.2">
      <c r="A36" t="s">
        <v>44</v>
      </c>
      <c r="B36">
        <v>0.41215000000000002</v>
      </c>
      <c r="C36">
        <v>8.7599999999999997E-2</v>
      </c>
      <c r="D36">
        <v>3.1099999999999999E-2</v>
      </c>
      <c r="E36">
        <v>9.1999999999999998E-3</v>
      </c>
      <c r="F36">
        <v>3.15E-3</v>
      </c>
      <c r="G36">
        <v>9.5E-4</v>
      </c>
      <c r="H36" t="s">
        <v>383</v>
      </c>
      <c r="I36">
        <v>8</v>
      </c>
      <c r="J36">
        <v>11.840993072985089</v>
      </c>
    </row>
    <row r="37" spans="1:10" x14ac:dyDescent="0.2">
      <c r="A37" t="s">
        <v>60</v>
      </c>
      <c r="B37">
        <v>1</v>
      </c>
      <c r="C37">
        <v>0.22405</v>
      </c>
      <c r="D37">
        <v>4.7699999999999999E-2</v>
      </c>
      <c r="E37">
        <v>1.1599999999999999E-2</v>
      </c>
      <c r="F37">
        <v>2.5500000000000002E-3</v>
      </c>
      <c r="G37">
        <v>5.0000000000000001E-4</v>
      </c>
      <c r="H37" t="s">
        <v>383</v>
      </c>
      <c r="I37">
        <v>12</v>
      </c>
      <c r="J37">
        <v>9.7914064574296606</v>
      </c>
    </row>
    <row r="38" spans="1:10" x14ac:dyDescent="0.2">
      <c r="A38" t="s">
        <v>77</v>
      </c>
      <c r="B38">
        <v>0.34194999999999998</v>
      </c>
      <c r="C38">
        <v>0.11650000000000001</v>
      </c>
      <c r="D38">
        <v>2.375E-2</v>
      </c>
      <c r="E38">
        <v>6.7499999999999999E-3</v>
      </c>
      <c r="F38">
        <v>1.5499999999999999E-3</v>
      </c>
      <c r="G38">
        <v>5.0000000000000001E-4</v>
      </c>
      <c r="H38" t="s">
        <v>384</v>
      </c>
      <c r="I38">
        <v>12</v>
      </c>
      <c r="J38">
        <v>9.044790611595948</v>
      </c>
    </row>
    <row r="39" spans="1:10" x14ac:dyDescent="0.2">
      <c r="A39" t="s">
        <v>56</v>
      </c>
      <c r="B39">
        <v>0.41735</v>
      </c>
      <c r="C39">
        <v>9.035E-2</v>
      </c>
      <c r="D39">
        <v>2.835E-2</v>
      </c>
      <c r="E39">
        <v>7.4999999999999997E-3</v>
      </c>
      <c r="F39">
        <v>2.3500000000000001E-3</v>
      </c>
      <c r="G39">
        <v>4.0000000000000002E-4</v>
      </c>
      <c r="H39" t="s">
        <v>385</v>
      </c>
      <c r="I39">
        <v>8</v>
      </c>
      <c r="J39">
        <v>11.02555602329811</v>
      </c>
    </row>
    <row r="40" spans="1:10" x14ac:dyDescent="0.2">
      <c r="A40" t="s">
        <v>58</v>
      </c>
      <c r="B40">
        <v>0.33184999999999998</v>
      </c>
      <c r="C40">
        <v>0.1057</v>
      </c>
      <c r="D40">
        <v>2.4850000000000001E-2</v>
      </c>
      <c r="E40">
        <v>7.5500000000000003E-3</v>
      </c>
      <c r="F40">
        <v>1.3500000000000001E-3</v>
      </c>
      <c r="G40">
        <v>1.4999999999999999E-4</v>
      </c>
      <c r="H40" t="s">
        <v>382</v>
      </c>
      <c r="I40">
        <v>12</v>
      </c>
      <c r="J40">
        <v>10.62898797126984</v>
      </c>
    </row>
    <row r="41" spans="1:10" x14ac:dyDescent="0.2">
      <c r="A41" t="s">
        <v>78</v>
      </c>
      <c r="B41">
        <v>0.221</v>
      </c>
      <c r="C41">
        <v>8.8200000000000001E-2</v>
      </c>
      <c r="D41">
        <v>1.8800000000000001E-2</v>
      </c>
      <c r="E41">
        <v>3.65E-3</v>
      </c>
      <c r="F41">
        <v>7.5000000000000002E-4</v>
      </c>
      <c r="G41">
        <v>1E-4</v>
      </c>
      <c r="H41" t="s">
        <v>382</v>
      </c>
      <c r="I41">
        <v>11</v>
      </c>
      <c r="J41">
        <v>7.7337055835141966</v>
      </c>
    </row>
    <row r="42" spans="1:10" x14ac:dyDescent="0.2">
      <c r="A42" t="s">
        <v>206</v>
      </c>
      <c r="B42">
        <v>0.10025000000000001</v>
      </c>
      <c r="C42">
        <v>1.6E-2</v>
      </c>
      <c r="D42">
        <v>1.6999999999999999E-3</v>
      </c>
      <c r="E42">
        <v>1.4999999999999999E-4</v>
      </c>
      <c r="F42">
        <v>5.0000000000000002E-5</v>
      </c>
      <c r="G42">
        <v>5.0000000000000002E-5</v>
      </c>
      <c r="H42" t="s">
        <v>384</v>
      </c>
      <c r="I42">
        <v>15</v>
      </c>
      <c r="J42">
        <v>0.1935829077834591</v>
      </c>
    </row>
    <row r="43" spans="1:10" x14ac:dyDescent="0.2">
      <c r="A43" t="s">
        <v>132</v>
      </c>
      <c r="B43">
        <v>0.19184999999999999</v>
      </c>
      <c r="C43">
        <v>5.5100000000000003E-2</v>
      </c>
      <c r="D43">
        <v>7.3499999999999998E-3</v>
      </c>
      <c r="E43">
        <v>1.2999999999999999E-3</v>
      </c>
      <c r="F43">
        <v>1E-4</v>
      </c>
      <c r="G43">
        <v>0</v>
      </c>
      <c r="H43" t="s">
        <v>384</v>
      </c>
      <c r="I43">
        <v>13</v>
      </c>
      <c r="J43">
        <v>4.6851123682196496</v>
      </c>
    </row>
    <row r="44" spans="1:10" x14ac:dyDescent="0.2">
      <c r="A44" t="s">
        <v>160</v>
      </c>
      <c r="B44">
        <v>0.21004999999999999</v>
      </c>
      <c r="C44">
        <v>3.5999999999999997E-2</v>
      </c>
      <c r="D44">
        <v>5.1999999999999998E-3</v>
      </c>
      <c r="E44">
        <v>4.0000000000000002E-4</v>
      </c>
      <c r="F44">
        <v>1E-4</v>
      </c>
      <c r="G44">
        <v>0</v>
      </c>
      <c r="H44" t="s">
        <v>382</v>
      </c>
      <c r="I44">
        <v>14</v>
      </c>
      <c r="J44">
        <v>3.0807597689023769</v>
      </c>
    </row>
    <row r="45" spans="1:10" x14ac:dyDescent="0.2">
      <c r="A45" t="s">
        <v>182</v>
      </c>
      <c r="B45">
        <v>0.12615000000000001</v>
      </c>
      <c r="C45">
        <v>2.3300000000000001E-2</v>
      </c>
      <c r="D45">
        <v>2.2000000000000001E-3</v>
      </c>
      <c r="E45">
        <v>2.9999999999999997E-4</v>
      </c>
      <c r="F45">
        <v>0</v>
      </c>
      <c r="G45">
        <v>0</v>
      </c>
      <c r="H45" t="s">
        <v>382</v>
      </c>
      <c r="I45">
        <v>13</v>
      </c>
      <c r="J45">
        <v>2.1356002741910172</v>
      </c>
    </row>
    <row r="46" spans="1:10" x14ac:dyDescent="0.2">
      <c r="A46" t="s">
        <v>186</v>
      </c>
      <c r="B46">
        <v>8.6849999999999997E-2</v>
      </c>
      <c r="C46">
        <v>1.125E-2</v>
      </c>
      <c r="D46">
        <v>1.8500000000000001E-3</v>
      </c>
      <c r="E46">
        <v>2.5000000000000001E-4</v>
      </c>
      <c r="F46">
        <v>1E-4</v>
      </c>
      <c r="G46">
        <v>0</v>
      </c>
      <c r="H46" t="s">
        <v>382</v>
      </c>
      <c r="I46">
        <v>15</v>
      </c>
      <c r="J46">
        <v>1.063936136616795</v>
      </c>
    </row>
    <row r="47" spans="1:10" x14ac:dyDescent="0.2">
      <c r="A47" t="s">
        <v>235</v>
      </c>
      <c r="B47">
        <v>5.7849999999999999E-2</v>
      </c>
      <c r="C47">
        <v>8.0000000000000002E-3</v>
      </c>
      <c r="D47">
        <v>7.5000000000000002E-4</v>
      </c>
      <c r="E47">
        <v>1E-4</v>
      </c>
      <c r="F47">
        <v>0</v>
      </c>
      <c r="G47">
        <v>0</v>
      </c>
      <c r="H47" t="s">
        <v>383</v>
      </c>
      <c r="I47">
        <v>15</v>
      </c>
      <c r="J47">
        <v>-2.43869723675573</v>
      </c>
    </row>
    <row r="48" spans="1:10" x14ac:dyDescent="0.2">
      <c r="A48" t="s">
        <v>22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6</v>
      </c>
      <c r="J48">
        <v>16.95891571245977</v>
      </c>
    </row>
    <row r="49" spans="1:10" x14ac:dyDescent="0.2">
      <c r="A49" t="s">
        <v>29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382</v>
      </c>
      <c r="I49">
        <v>8</v>
      </c>
      <c r="J49">
        <v>14.114224917334671</v>
      </c>
    </row>
    <row r="50" spans="1:10" x14ac:dyDescent="0.2">
      <c r="A50" t="s">
        <v>154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383</v>
      </c>
      <c r="I50">
        <v>13</v>
      </c>
      <c r="J50">
        <v>2.5953665153972891</v>
      </c>
    </row>
    <row r="51" spans="1:10" x14ac:dyDescent="0.2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16</v>
      </c>
      <c r="J51">
        <v>-7.2160644315092952</v>
      </c>
    </row>
    <row r="52" spans="1:10" x14ac:dyDescent="0.2">
      <c r="A52" t="s">
        <v>139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385</v>
      </c>
      <c r="I52">
        <v>15</v>
      </c>
      <c r="J52">
        <v>3.928312715113337</v>
      </c>
    </row>
    <row r="53" spans="1:10" x14ac:dyDescent="0.2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14</v>
      </c>
      <c r="J53">
        <v>6.9567142213273874</v>
      </c>
    </row>
    <row r="54" spans="1:10" x14ac:dyDescent="0.2">
      <c r="A54" t="s">
        <v>275</v>
      </c>
      <c r="B54">
        <v>3.1649999999999998E-2</v>
      </c>
      <c r="C54">
        <v>3.0000000000000001E-3</v>
      </c>
      <c r="D54">
        <v>2.0000000000000001E-4</v>
      </c>
      <c r="E54">
        <v>0</v>
      </c>
      <c r="F54">
        <v>0</v>
      </c>
      <c r="G54">
        <v>0</v>
      </c>
      <c r="H54" t="s">
        <v>383</v>
      </c>
      <c r="I54">
        <v>16</v>
      </c>
      <c r="J54">
        <v>-5.3079314642110162</v>
      </c>
    </row>
    <row r="55" spans="1:10" x14ac:dyDescent="0.2">
      <c r="A55" t="s">
        <v>89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385</v>
      </c>
      <c r="I55">
        <v>12</v>
      </c>
      <c r="J55">
        <v>7.3382243907443794</v>
      </c>
    </row>
    <row r="56" spans="1:10" x14ac:dyDescent="0.2">
      <c r="A56" t="s">
        <v>35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6</v>
      </c>
      <c r="J56">
        <v>13.976487221924669</v>
      </c>
    </row>
    <row r="57" spans="1:10" x14ac:dyDescent="0.2">
      <c r="A57" t="s">
        <v>138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14</v>
      </c>
      <c r="J57">
        <v>3.8559349343715992</v>
      </c>
    </row>
    <row r="58" spans="1:10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8</v>
      </c>
      <c r="J58">
        <v>14.72942352472889</v>
      </c>
    </row>
    <row r="59" spans="1:10" x14ac:dyDescent="0.2">
      <c r="A59" t="s">
        <v>221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385</v>
      </c>
      <c r="I59">
        <v>14</v>
      </c>
      <c r="J59">
        <v>-0.34703170207646011</v>
      </c>
    </row>
    <row r="60" spans="1:10" x14ac:dyDescent="0.2">
      <c r="A60" t="s">
        <v>319</v>
      </c>
      <c r="B60">
        <v>1.78E-2</v>
      </c>
      <c r="C60">
        <v>9.5E-4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16</v>
      </c>
      <c r="J60">
        <v>-11.471425536201769</v>
      </c>
    </row>
    <row r="61" spans="1:10" x14ac:dyDescent="0.2">
      <c r="A61" t="s">
        <v>31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7</v>
      </c>
      <c r="J61">
        <v>15.01820898903012</v>
      </c>
    </row>
    <row r="62" spans="1:10" x14ac:dyDescent="0.2">
      <c r="A62" t="s">
        <v>316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-9.4717636747576321</v>
      </c>
    </row>
    <row r="63" spans="1:10" x14ac:dyDescent="0.2">
      <c r="A63" t="s">
        <v>55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384</v>
      </c>
      <c r="I63">
        <v>11</v>
      </c>
      <c r="J63">
        <v>10.62507679613563</v>
      </c>
    </row>
    <row r="64" spans="1:10" x14ac:dyDescent="0.2">
      <c r="A64" t="s">
        <v>179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385</v>
      </c>
      <c r="I64">
        <v>13</v>
      </c>
      <c r="J64">
        <v>1.3139417704256631</v>
      </c>
    </row>
    <row r="65" spans="1:10" x14ac:dyDescent="0.2">
      <c r="A65" t="s">
        <v>26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5</v>
      </c>
      <c r="J65">
        <v>16.148066436541431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2026-03-20T13:19:42Z</dcterms:modified>
</cp:coreProperties>
</file>