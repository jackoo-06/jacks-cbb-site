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27ACE55A-4E6F-FE4C-8ECF-DF978CB7330E}" xr6:coauthVersionLast="47" xr6:coauthVersionMax="47" xr10:uidLastSave="{00000000-0000-0000-0000-000000000000}"/>
  <bookViews>
    <workbookView xWindow="0" yWindow="780" windowWidth="3420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C10" i="1"/>
  <c r="D10" i="1"/>
  <c r="E10" i="1"/>
  <c r="F10" i="1"/>
  <c r="G10" i="1"/>
  <c r="H10" i="1"/>
  <c r="I10" i="1"/>
  <c r="K10" i="1"/>
  <c r="B11" i="1"/>
  <c r="C11" i="1"/>
  <c r="D11" i="1"/>
  <c r="E11" i="1"/>
  <c r="F11" i="1"/>
  <c r="G11" i="1"/>
  <c r="H11" i="1"/>
  <c r="I11" i="1"/>
  <c r="K11" i="1"/>
  <c r="B12" i="1"/>
  <c r="C12" i="1"/>
  <c r="D12" i="1"/>
  <c r="E12" i="1"/>
  <c r="F12" i="1"/>
  <c r="G12" i="1"/>
  <c r="H12" i="1"/>
  <c r="I12" i="1"/>
  <c r="K12" i="1"/>
  <c r="B13" i="1"/>
  <c r="C13" i="1"/>
  <c r="D13" i="1"/>
  <c r="E13" i="1"/>
  <c r="F13" i="1"/>
  <c r="G13" i="1"/>
  <c r="H13" i="1"/>
  <c r="I13" i="1"/>
  <c r="K13" i="1"/>
  <c r="B3" i="1"/>
  <c r="D3" i="1" s="1"/>
  <c r="C3" i="1"/>
  <c r="E3" i="1"/>
  <c r="F3" i="1"/>
  <c r="G3" i="1"/>
  <c r="H3" i="1"/>
  <c r="I3" i="1"/>
  <c r="K3" i="1"/>
  <c r="B4" i="1"/>
  <c r="D4" i="1" s="1"/>
  <c r="C4" i="1"/>
  <c r="E4" i="1"/>
  <c r="F4" i="1"/>
  <c r="G4" i="1"/>
  <c r="H4" i="1"/>
  <c r="I4" i="1"/>
  <c r="K4" i="1"/>
  <c r="B5" i="1"/>
  <c r="D5" i="1" s="1"/>
  <c r="C5" i="1"/>
  <c r="E5" i="1"/>
  <c r="F5" i="1"/>
  <c r="G5" i="1"/>
  <c r="H5" i="1"/>
  <c r="I5" i="1"/>
  <c r="K5" i="1"/>
  <c r="B6" i="1"/>
  <c r="D6" i="1" s="1"/>
  <c r="C6" i="1"/>
  <c r="E6" i="1"/>
  <c r="F6" i="1"/>
  <c r="G6" i="1"/>
  <c r="H6" i="1"/>
  <c r="I6" i="1"/>
  <c r="K6" i="1"/>
  <c r="B7" i="1"/>
  <c r="D7" i="1" s="1"/>
  <c r="C7" i="1"/>
  <c r="E7" i="1"/>
  <c r="F7" i="1"/>
  <c r="G7" i="1"/>
  <c r="H7" i="1"/>
  <c r="I7" i="1"/>
  <c r="K7" i="1"/>
  <c r="B8" i="1"/>
  <c r="C8" i="1"/>
  <c r="D8" i="1"/>
  <c r="E8" i="1"/>
  <c r="F8" i="1"/>
  <c r="G8" i="1"/>
  <c r="H8" i="1"/>
  <c r="I8" i="1"/>
  <c r="K8" i="1"/>
  <c r="B9" i="1"/>
  <c r="D9" i="1" s="1"/>
  <c r="C9" i="1"/>
  <c r="E9" i="1"/>
  <c r="F9" i="1"/>
  <c r="G9" i="1"/>
  <c r="H9" i="1"/>
  <c r="I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2" i="1" l="1"/>
  <c r="G2" i="1" l="1"/>
  <c r="I2" i="1"/>
  <c r="H2" i="1" l="1"/>
  <c r="K2" i="1" s="1"/>
</calcChain>
</file>

<file path=xl/sharedStrings.xml><?xml version="1.0" encoding="utf-8"?>
<sst xmlns="http://schemas.openxmlformats.org/spreadsheetml/2006/main" count="697" uniqueCount="462">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</sst>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7.2987974976589882</v>
          </cell>
          <cell r="F2" t="b">
            <v>0</v>
          </cell>
          <cell r="G2">
            <v>0.56943065556782912</v>
          </cell>
          <cell r="H2">
            <v>0</v>
          </cell>
          <cell r="I2">
            <v>8.7094887902219309E-2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16.481515841644931</v>
          </cell>
          <cell r="F4" t="b">
            <v>0</v>
          </cell>
          <cell r="G4">
            <v>0.59645578309119174</v>
          </cell>
          <cell r="H4">
            <v>0</v>
          </cell>
          <cell r="I4">
            <v>0.13868831317409341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13.813979689921981</v>
          </cell>
          <cell r="F5" t="b">
            <v>0</v>
          </cell>
          <cell r="G5">
            <v>0.57642572201149722</v>
          </cell>
          <cell r="H5">
            <v>0</v>
          </cell>
          <cell r="I5">
            <v>0.1004491056583129</v>
          </cell>
          <cell r="J5">
            <v>0.59272854171055378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12.490512577712639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0.50131716872622822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0.56733563667959253</v>
          </cell>
          <cell r="H8">
            <v>0</v>
          </cell>
          <cell r="I8">
            <v>8.3095306388313084E-2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0.41516446029663601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4.1278919748299394</v>
          </cell>
          <cell r="F10" t="b">
            <v>0</v>
          </cell>
          <cell r="G10">
            <v>0.57749658865455844</v>
          </cell>
          <cell r="H10">
            <v>0</v>
          </cell>
          <cell r="I10">
            <v>0.1024934874314298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Virginia</v>
          </cell>
          <cell r="D11" t="str">
            <v>Tennessee</v>
          </cell>
          <cell r="E11">
            <v>0.62393594721707213</v>
          </cell>
          <cell r="F11" t="b">
            <v>0</v>
          </cell>
          <cell r="G11">
            <v>0.54042163234016005</v>
          </cell>
          <cell r="H11">
            <v>0</v>
          </cell>
          <cell r="I11">
            <v>3.171402537666923E-2</v>
          </cell>
          <cell r="J11">
            <v>0.1168367102471547</v>
          </cell>
          <cell r="K11">
            <v>0</v>
          </cell>
        </row>
        <row r="12">
          <cell r="B12">
            <v>11</v>
          </cell>
          <cell r="C12" t="str">
            <v>Iowa State</v>
          </cell>
          <cell r="D12" t="str">
            <v>Kentucky</v>
          </cell>
          <cell r="E12">
            <v>7.1011751940087526</v>
          </cell>
          <cell r="F12" t="b">
            <v>0</v>
          </cell>
          <cell r="G12">
            <v>0.55224027884451476</v>
          </cell>
          <cell r="H12">
            <v>0</v>
          </cell>
          <cell r="I12">
            <v>5.4276895975891908E-2</v>
          </cell>
          <cell r="J12">
            <v>0.34931589557310277</v>
          </cell>
          <cell r="K12">
            <v>0</v>
          </cell>
        </row>
        <row r="13">
          <cell r="B13">
            <v>12</v>
          </cell>
          <cell r="C13" t="str">
            <v>Arizona</v>
          </cell>
          <cell r="D13" t="str">
            <v>Utah State</v>
          </cell>
          <cell r="E13">
            <v>12.03916810204351</v>
          </cell>
          <cell r="F13" t="b">
            <v>0</v>
          </cell>
          <cell r="G13">
            <v>0.51344101562434308</v>
          </cell>
          <cell r="H13">
            <v>0</v>
          </cell>
          <cell r="I13">
            <v>-1.9794424717163191E-2</v>
          </cell>
          <cell r="J13">
            <v>0.41142205261584602</v>
          </cell>
          <cell r="K13">
            <v>0</v>
          </cell>
        </row>
        <row r="14">
          <cell r="B14">
            <v>13</v>
          </cell>
          <cell r="C14" t="str">
            <v>Louisville</v>
          </cell>
          <cell r="D14" t="str">
            <v>Michigan State</v>
          </cell>
          <cell r="E14">
            <v>-3.809326919725216</v>
          </cell>
          <cell r="F14" t="b">
            <v>0</v>
          </cell>
          <cell r="G14">
            <v>0.51721582153955314</v>
          </cell>
          <cell r="H14">
            <v>0</v>
          </cell>
          <cell r="I14">
            <v>-1.2587977060853069E-2</v>
          </cell>
          <cell r="J14">
            <v>8.115042882985124E-2</v>
          </cell>
          <cell r="K14">
            <v>0</v>
          </cell>
        </row>
        <row r="15">
          <cell r="B15">
            <v>14</v>
          </cell>
          <cell r="C15" t="str">
            <v>Saint Louis</v>
          </cell>
          <cell r="D15" t="str">
            <v>Michigan</v>
          </cell>
          <cell r="E15">
            <v>-12.63418965089744</v>
          </cell>
          <cell r="F15" t="b">
            <v>0</v>
          </cell>
          <cell r="G15">
            <v>0.50334583110950348</v>
          </cell>
          <cell r="H15">
            <v>0</v>
          </cell>
          <cell r="I15">
            <v>-3.906704970003877E-2</v>
          </cell>
          <cell r="J15">
            <v>0.40668649337587193</v>
          </cell>
          <cell r="K15">
            <v>0</v>
          </cell>
        </row>
        <row r="16">
          <cell r="B16">
            <v>15</v>
          </cell>
          <cell r="C16" t="str">
            <v>TCU</v>
          </cell>
          <cell r="D16" t="str">
            <v>Duke</v>
          </cell>
          <cell r="E16">
            <v>-12.900837100669641</v>
          </cell>
          <cell r="F16" t="b">
            <v>0</v>
          </cell>
          <cell r="G16">
            <v>0.52244951418090224</v>
          </cell>
          <cell r="H16">
            <v>0</v>
          </cell>
          <cell r="I16">
            <v>-2.5963820182774988E-3</v>
          </cell>
          <cell r="J16">
            <v>0.45710006902003109</v>
          </cell>
          <cell r="K16">
            <v>0</v>
          </cell>
        </row>
        <row r="17">
          <cell r="B17">
            <v>16</v>
          </cell>
          <cell r="C17" t="str">
            <v>VCU</v>
          </cell>
          <cell r="D17" t="str">
            <v>Illinois</v>
          </cell>
          <cell r="E17">
            <v>-7.6481914140359821</v>
          </cell>
          <cell r="F17" t="b">
            <v>0</v>
          </cell>
          <cell r="G17">
            <v>0.57073198047378837</v>
          </cell>
          <cell r="H17">
            <v>0</v>
          </cell>
          <cell r="I17">
            <v>8.9579235449959715E-2</v>
          </cell>
          <cell r="J17">
            <v>7.5545540380110965E-2</v>
          </cell>
          <cell r="K17">
            <v>0</v>
          </cell>
        </row>
        <row r="18">
          <cell r="B18">
            <v>17</v>
          </cell>
          <cell r="C18" t="str">
            <v>Vanderbilt</v>
          </cell>
          <cell r="D18" t="str">
            <v>Nebraska</v>
          </cell>
          <cell r="E18">
            <v>4.7803474147172347</v>
          </cell>
          <cell r="F18" t="b">
            <v>0</v>
          </cell>
          <cell r="G18">
            <v>0.56897756221792961</v>
          </cell>
          <cell r="H18">
            <v>0</v>
          </cell>
          <cell r="I18">
            <v>8.6229891506956591E-2</v>
          </cell>
          <cell r="J18">
            <v>0.31649838901374577</v>
          </cell>
          <cell r="K18">
            <v>0</v>
          </cell>
        </row>
        <row r="19">
          <cell r="B19">
            <v>18</v>
          </cell>
          <cell r="C19" t="str">
            <v>Texas A&amp;M</v>
          </cell>
          <cell r="D19" t="str">
            <v>Houston</v>
          </cell>
          <cell r="E19">
            <v>-7.5735379918606291</v>
          </cell>
          <cell r="F19" t="b">
            <v>0</v>
          </cell>
          <cell r="G19">
            <v>0.57256327900997128</v>
          </cell>
          <cell r="H19">
            <v>0</v>
          </cell>
          <cell r="I19">
            <v>9.3075350837217963E-2</v>
          </cell>
          <cell r="J19">
            <v>6.8699796942407798E-2</v>
          </cell>
          <cell r="K19">
            <v>0</v>
          </cell>
        </row>
        <row r="20">
          <cell r="B20">
            <v>19</v>
          </cell>
          <cell r="C20" t="str">
            <v>High Point</v>
          </cell>
          <cell r="D20" t="str">
            <v>Arkansas</v>
          </cell>
          <cell r="E20">
            <v>-12.955196747770399</v>
          </cell>
          <cell r="F20" t="b">
            <v>0</v>
          </cell>
          <cell r="G20">
            <v>0.5358807449944516</v>
          </cell>
          <cell r="H20">
            <v>0</v>
          </cell>
          <cell r="I20">
            <v>2.3045058625771279E-2</v>
          </cell>
          <cell r="J20">
            <v>0.48734606471556818</v>
          </cell>
          <cell r="K20">
            <v>0</v>
          </cell>
        </row>
        <row r="21">
          <cell r="B21">
            <v>20</v>
          </cell>
          <cell r="C21" t="str">
            <v>Texas</v>
          </cell>
          <cell r="D21" t="str">
            <v>Gonzaga</v>
          </cell>
          <cell r="E21">
            <v>-4.8282195018383911</v>
          </cell>
          <cell r="F21" t="b">
            <v>0</v>
          </cell>
          <cell r="G21">
            <v>0.5416082726227095</v>
          </cell>
          <cell r="H21">
            <v>0</v>
          </cell>
          <cell r="I21">
            <v>3.3979429552445428E-2</v>
          </cell>
          <cell r="J21">
            <v>5.5369792667541717E-2</v>
          </cell>
          <cell r="K21">
            <v>0</v>
          </cell>
        </row>
        <row r="22">
          <cell r="B22">
            <v>21</v>
          </cell>
          <cell r="C22" t="str">
            <v>Texas Tech</v>
          </cell>
          <cell r="D22" t="str">
            <v>Alabama</v>
          </cell>
          <cell r="E22">
            <v>-2.5226261132732191</v>
          </cell>
          <cell r="F22" t="b">
            <v>0</v>
          </cell>
          <cell r="G22">
            <v>0.53790777044744986</v>
          </cell>
          <cell r="H22">
            <v>0</v>
          </cell>
          <cell r="I22">
            <v>2.6914834490586129E-2</v>
          </cell>
          <cell r="J22">
            <v>0.1715154919189017</v>
          </cell>
          <cell r="K22">
            <v>0</v>
          </cell>
        </row>
        <row r="23">
          <cell r="B23">
            <v>22</v>
          </cell>
          <cell r="C23" t="str">
            <v>Tennessee</v>
          </cell>
          <cell r="D23" t="str">
            <v>Virginia</v>
          </cell>
          <cell r="E23">
            <v>6.3504265210794983</v>
          </cell>
          <cell r="F23" t="b">
            <v>1</v>
          </cell>
          <cell r="G23">
            <v>0.62857011124576767</v>
          </cell>
          <cell r="H23">
            <v>5.7998893446444849E-2</v>
          </cell>
          <cell r="I23">
            <v>0.19999748510555651</v>
          </cell>
          <cell r="J23">
            <v>0.503917783931362</v>
          </cell>
          <cell r="K23">
            <v>1.1321384000746035</v>
          </cell>
        </row>
        <row r="24">
          <cell r="B24">
            <v>23</v>
          </cell>
          <cell r="C24" t="str">
            <v>Kentucky</v>
          </cell>
          <cell r="D24" t="str">
            <v>Iowa State</v>
          </cell>
          <cell r="E24">
            <v>-4.5359178664915367</v>
          </cell>
          <cell r="F24" t="b">
            <v>0</v>
          </cell>
          <cell r="G24">
            <v>0.51156975174926678</v>
          </cell>
          <cell r="H24">
            <v>0</v>
          </cell>
          <cell r="I24">
            <v>-2.3366837569581581E-2</v>
          </cell>
          <cell r="J24">
            <v>0.1179331312373687</v>
          </cell>
          <cell r="K24">
            <v>0</v>
          </cell>
        </row>
        <row r="25">
          <cell r="B25">
            <v>24</v>
          </cell>
          <cell r="C25" t="str">
            <v>Utah State</v>
          </cell>
          <cell r="D25" t="str">
            <v>Arizona</v>
          </cell>
          <cell r="E25">
            <v>-9.6384453574740654</v>
          </cell>
          <cell r="F25" t="b">
            <v>0</v>
          </cell>
          <cell r="G25">
            <v>0.54631129649620014</v>
          </cell>
          <cell r="H25">
            <v>0</v>
          </cell>
          <cell r="I25">
            <v>4.2957929674563973E-2</v>
          </cell>
          <cell r="J25">
            <v>0.19797857638448821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-4.5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-12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-10.5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-1</v>
          </cell>
        </row>
        <row r="11">
          <cell r="A11">
            <v>10</v>
          </cell>
          <cell r="B11" t="str">
            <v>Virginia</v>
          </cell>
          <cell r="C11" t="str">
            <v>Tennessee</v>
          </cell>
          <cell r="D11">
            <v>12.898930744177012</v>
          </cell>
          <cell r="E11">
            <v>102.74660271782574</v>
          </cell>
          <cell r="F11">
            <v>105.30602921182151</v>
          </cell>
          <cell r="G11">
            <v>0.54717923115327005</v>
          </cell>
          <cell r="H11">
            <v>67.065454545454543</v>
          </cell>
          <cell r="I11">
            <v>60.696969696969695</v>
          </cell>
          <cell r="J11">
            <v>20.121212121212121</v>
          </cell>
          <cell r="K11">
            <v>13.272727272727273</v>
          </cell>
          <cell r="L11">
            <v>10.787878787878787</v>
          </cell>
          <cell r="M11">
            <v>0</v>
          </cell>
          <cell r="N11">
            <v>20.582457175121956</v>
          </cell>
          <cell r="O11">
            <v>105.02195491662999</v>
          </cell>
          <cell r="P11">
            <v>93.637950339797769</v>
          </cell>
          <cell r="Q11">
            <v>0.51561725334655428</v>
          </cell>
          <cell r="R11">
            <v>67.170909090909092</v>
          </cell>
          <cell r="S11">
            <v>61.121212121212125</v>
          </cell>
          <cell r="T11">
            <v>23.666666666666668</v>
          </cell>
          <cell r="U11">
            <v>16.030303030303031</v>
          </cell>
          <cell r="V11">
            <v>11.666666666666666</v>
          </cell>
          <cell r="W11">
            <v>0</v>
          </cell>
          <cell r="X11">
            <v>1</v>
          </cell>
        </row>
        <row r="12">
          <cell r="A12">
            <v>11</v>
          </cell>
          <cell r="B12" t="str">
            <v>Iowa State</v>
          </cell>
          <cell r="C12" t="str">
            <v>Kentucky</v>
          </cell>
          <cell r="D12">
            <v>20.641493911570723</v>
          </cell>
          <cell r="E12">
            <v>101.50134460238188</v>
          </cell>
          <cell r="F12">
            <v>96.951162965358421</v>
          </cell>
          <cell r="G12">
            <v>0.56497313141182215</v>
          </cell>
          <cell r="H12">
            <v>67.654117647058825</v>
          </cell>
          <cell r="I12">
            <v>60.205882352941174</v>
          </cell>
          <cell r="J12">
            <v>20.470588235294116</v>
          </cell>
          <cell r="K12">
            <v>11.823529411764707</v>
          </cell>
          <cell r="L12">
            <v>10.264705882352942</v>
          </cell>
          <cell r="M12">
            <v>0</v>
          </cell>
          <cell r="N12">
            <v>18.034523649586539</v>
          </cell>
          <cell r="O12">
            <v>101.2517590047062</v>
          </cell>
          <cell r="P12">
            <v>98.419793855345077</v>
          </cell>
          <cell r="Q12">
            <v>0.53111327175498302</v>
          </cell>
          <cell r="R12">
            <v>69.036470588235289</v>
          </cell>
          <cell r="S12">
            <v>60.5</v>
          </cell>
          <cell r="T12">
            <v>22.676470588235293</v>
          </cell>
          <cell r="U12">
            <v>11.941176470588236</v>
          </cell>
          <cell r="V12">
            <v>10.5</v>
          </cell>
          <cell r="W12">
            <v>0</v>
          </cell>
          <cell r="X12">
            <v>-5</v>
          </cell>
        </row>
        <row r="13">
          <cell r="A13">
            <v>12</v>
          </cell>
          <cell r="B13" t="str">
            <v>Arizona</v>
          </cell>
          <cell r="C13" t="str">
            <v>Utah State</v>
          </cell>
          <cell r="D13">
            <v>23.687310951598352</v>
          </cell>
          <cell r="E13">
            <v>101.76807841686704</v>
          </cell>
          <cell r="F13">
            <v>98.493332637771204</v>
          </cell>
          <cell r="G13">
            <v>0.55109126984126988</v>
          </cell>
          <cell r="H13">
            <v>70.587878787878793</v>
          </cell>
          <cell r="I13">
            <v>61.090909090909093</v>
          </cell>
          <cell r="J13">
            <v>26.060606060606062</v>
          </cell>
          <cell r="K13">
            <v>12.878787878787879</v>
          </cell>
          <cell r="L13">
            <v>10.909090909090908</v>
          </cell>
          <cell r="M13">
            <v>0</v>
          </cell>
          <cell r="N13">
            <v>16.287809545840613</v>
          </cell>
          <cell r="O13">
            <v>99.539689712306071</v>
          </cell>
          <cell r="P13">
            <v>89.1227776403734</v>
          </cell>
          <cell r="Q13">
            <v>0.5741935483870968</v>
          </cell>
          <cell r="R13">
            <v>67.972499999999997</v>
          </cell>
          <cell r="S13">
            <v>58.125</v>
          </cell>
          <cell r="T13">
            <v>22.59375</v>
          </cell>
          <cell r="U13">
            <v>10.65625</v>
          </cell>
          <cell r="V13">
            <v>10.5625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Louisville</v>
          </cell>
          <cell r="C14" t="str">
            <v>Michigan State</v>
          </cell>
          <cell r="D14">
            <v>16.631119331501349</v>
          </cell>
          <cell r="E14">
            <v>99.101896527014759</v>
          </cell>
          <cell r="F14">
            <v>98.314439245284362</v>
          </cell>
          <cell r="G14">
            <v>0.56448412698412698</v>
          </cell>
          <cell r="H14">
            <v>70.393939393939391</v>
          </cell>
          <cell r="I14">
            <v>61.090909090909093</v>
          </cell>
          <cell r="J14">
            <v>20.454545454545453</v>
          </cell>
          <cell r="K14">
            <v>11.333333333333334</v>
          </cell>
          <cell r="L14">
            <v>11.636363636363637</v>
          </cell>
          <cell r="M14">
            <v>0</v>
          </cell>
          <cell r="N14">
            <v>19.982154388171562</v>
          </cell>
          <cell r="O14">
            <v>101.32466702184337</v>
          </cell>
          <cell r="P14">
            <v>94.579391423053281</v>
          </cell>
          <cell r="Q14">
            <v>0.53589041095890411</v>
          </cell>
          <cell r="R14">
            <v>66.620645161290327</v>
          </cell>
          <cell r="S14">
            <v>58.87096774193548</v>
          </cell>
          <cell r="T14">
            <v>20.838709677419356</v>
          </cell>
          <cell r="U14">
            <v>12.774193548387096</v>
          </cell>
          <cell r="V14">
            <v>11.35483870967742</v>
          </cell>
          <cell r="W14">
            <v>0</v>
          </cell>
          <cell r="X14">
            <v>4.5</v>
          </cell>
        </row>
        <row r="15">
          <cell r="A15">
            <v>14</v>
          </cell>
          <cell r="B15" t="str">
            <v>Saint Louis</v>
          </cell>
          <cell r="C15" t="str">
            <v>Michigan</v>
          </cell>
          <cell r="D15">
            <v>12.891007564287897</v>
          </cell>
          <cell r="E15">
            <v>96.587342281204442</v>
          </cell>
          <cell r="F15">
            <v>96.419529699076293</v>
          </cell>
          <cell r="G15">
            <v>0.59935205183585316</v>
          </cell>
          <cell r="H15">
            <v>71.190967741935481</v>
          </cell>
          <cell r="I15">
            <v>59.741935483870968</v>
          </cell>
          <cell r="J15">
            <v>20.741935483870968</v>
          </cell>
          <cell r="K15">
            <v>10.03225806451613</v>
          </cell>
          <cell r="L15">
            <v>12.35483870967742</v>
          </cell>
          <cell r="M15">
            <v>0</v>
          </cell>
          <cell r="N15">
            <v>23.158914646956031</v>
          </cell>
          <cell r="O15">
            <v>98.200984374253366</v>
          </cell>
          <cell r="P15">
            <v>96.383444817292968</v>
          </cell>
          <cell r="Q15">
            <v>0.58467532467532468</v>
          </cell>
          <cell r="R15">
            <v>71.510000000000005</v>
          </cell>
          <cell r="S15">
            <v>60.15625</v>
          </cell>
          <cell r="T15">
            <v>23.53125</v>
          </cell>
          <cell r="U15">
            <v>11.0625</v>
          </cell>
          <cell r="V15">
            <v>12.0625</v>
          </cell>
          <cell r="W15">
            <v>0</v>
          </cell>
          <cell r="X15">
            <v>12.5</v>
          </cell>
        </row>
        <row r="16">
          <cell r="A16">
            <v>15</v>
          </cell>
          <cell r="B16" t="str">
            <v>TCU</v>
          </cell>
          <cell r="C16" t="str">
            <v>Duke</v>
          </cell>
          <cell r="D16">
            <v>12.676356416890858</v>
          </cell>
          <cell r="E16">
            <v>101.27537334728432</v>
          </cell>
          <cell r="F16">
            <v>97.104848064562987</v>
          </cell>
          <cell r="G16">
            <v>0.50900000000000001</v>
          </cell>
          <cell r="H16">
            <v>69.441212121212118</v>
          </cell>
          <cell r="I16">
            <v>60.606060606060609</v>
          </cell>
          <cell r="J16">
            <v>23.454545454545453</v>
          </cell>
          <cell r="K16">
            <v>12.424242424242424</v>
          </cell>
          <cell r="L16">
            <v>10.939393939393939</v>
          </cell>
          <cell r="M16">
            <v>0</v>
          </cell>
          <cell r="N16">
            <v>23.054887624413109</v>
          </cell>
          <cell r="O16">
            <v>101.57301127857072</v>
          </cell>
          <cell r="P16">
            <v>99.414290660558592</v>
          </cell>
          <cell r="Q16">
            <v>0.57213541666666667</v>
          </cell>
          <cell r="R16">
            <v>66.278787878787867</v>
          </cell>
          <cell r="S16">
            <v>58.18181818181818</v>
          </cell>
          <cell r="T16">
            <v>22.121212121212121</v>
          </cell>
          <cell r="U16">
            <v>12.212121212121213</v>
          </cell>
          <cell r="V16">
            <v>10.575757575757576</v>
          </cell>
          <cell r="W16">
            <v>0</v>
          </cell>
          <cell r="X16">
            <v>12</v>
          </cell>
        </row>
        <row r="17">
          <cell r="A17">
            <v>16</v>
          </cell>
          <cell r="B17" t="str">
            <v>VCU</v>
          </cell>
          <cell r="C17" t="str">
            <v>Illinois</v>
          </cell>
          <cell r="D17">
            <v>10.280535393881047</v>
          </cell>
          <cell r="E17">
            <v>99.976592216912124</v>
          </cell>
          <cell r="F17">
            <v>99.94980567668172</v>
          </cell>
          <cell r="G17">
            <v>0.54290339989206693</v>
          </cell>
          <cell r="H17">
            <v>68.818749999999994</v>
          </cell>
          <cell r="I17">
            <v>57.90625</v>
          </cell>
          <cell r="J17">
            <v>25.9375</v>
          </cell>
          <cell r="K17">
            <v>11.3125</v>
          </cell>
          <cell r="L17">
            <v>10.8125</v>
          </cell>
          <cell r="M17">
            <v>0</v>
          </cell>
          <cell r="N17">
            <v>18.826343007871433</v>
          </cell>
          <cell r="O17">
            <v>105.08780903665816</v>
          </cell>
          <cell r="P17">
            <v>108.91673393133649</v>
          </cell>
          <cell r="Q17">
            <v>0.5511688311688312</v>
          </cell>
          <cell r="R17">
            <v>66.809032258064519</v>
          </cell>
          <cell r="S17">
            <v>62.096774193548384</v>
          </cell>
          <cell r="T17">
            <v>20.387096774193548</v>
          </cell>
          <cell r="U17">
            <v>13.258064516129032</v>
          </cell>
          <cell r="V17">
            <v>9</v>
          </cell>
          <cell r="W17">
            <v>0</v>
          </cell>
          <cell r="X17">
            <v>10.5</v>
          </cell>
        </row>
        <row r="18">
          <cell r="A18">
            <v>17</v>
          </cell>
          <cell r="B18" t="str">
            <v>Vanderbilt</v>
          </cell>
          <cell r="C18" t="str">
            <v>Nebraska</v>
          </cell>
          <cell r="D18">
            <v>19.334095266215517</v>
          </cell>
          <cell r="E18">
            <v>100.88210871874095</v>
          </cell>
          <cell r="F18">
            <v>97.473801766777243</v>
          </cell>
          <cell r="G18">
            <v>0.55371690427698572</v>
          </cell>
          <cell r="H18">
            <v>70.61</v>
          </cell>
          <cell r="I18">
            <v>61.375</v>
          </cell>
          <cell r="J18">
            <v>23.6875</v>
          </cell>
          <cell r="K18">
            <v>10.8125</v>
          </cell>
          <cell r="L18">
            <v>9.625</v>
          </cell>
          <cell r="M18">
            <v>0</v>
          </cell>
          <cell r="N18">
            <v>15.82631796216417</v>
          </cell>
          <cell r="O18">
            <v>98.25476089716463</v>
          </cell>
          <cell r="P18">
            <v>102.35159180352665</v>
          </cell>
          <cell r="Q18">
            <v>0.55440552016985134</v>
          </cell>
          <cell r="R18">
            <v>66.883750000000006</v>
          </cell>
          <cell r="S18">
            <v>58.875</v>
          </cell>
          <cell r="T18">
            <v>16</v>
          </cell>
          <cell r="U18">
            <v>8.78125</v>
          </cell>
          <cell r="V18">
            <v>9.75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Texas A&amp;M</v>
          </cell>
          <cell r="C19" t="str">
            <v>Houston</v>
          </cell>
          <cell r="D19">
            <v>13.344745551152522</v>
          </cell>
          <cell r="E19">
            <v>101.09664255240216</v>
          </cell>
          <cell r="F19">
            <v>98.213295342640578</v>
          </cell>
          <cell r="G19">
            <v>0.54188861985472159</v>
          </cell>
          <cell r="H19">
            <v>73.739999999999995</v>
          </cell>
          <cell r="I19">
            <v>64.53125</v>
          </cell>
          <cell r="J19">
            <v>24.125</v>
          </cell>
          <cell r="K19">
            <v>12.25</v>
          </cell>
          <cell r="L19">
            <v>10.84375</v>
          </cell>
          <cell r="M19">
            <v>0</v>
          </cell>
          <cell r="N19">
            <v>20.901069562815731</v>
          </cell>
          <cell r="O19">
            <v>105.43571389837862</v>
          </cell>
          <cell r="P19">
            <v>97.084637989347655</v>
          </cell>
          <cell r="Q19">
            <v>0.52154080081094778</v>
          </cell>
          <cell r="R19">
            <v>64.762500000000003</v>
          </cell>
          <cell r="S19">
            <v>61.65625</v>
          </cell>
          <cell r="T19">
            <v>16.71875</v>
          </cell>
          <cell r="U19">
            <v>12.78125</v>
          </cell>
          <cell r="V19">
            <v>8.53125</v>
          </cell>
          <cell r="W19">
            <v>0</v>
          </cell>
          <cell r="X19">
            <v>10.5</v>
          </cell>
        </row>
        <row r="20">
          <cell r="A20">
            <v>19</v>
          </cell>
          <cell r="B20" t="str">
            <v>High Point</v>
          </cell>
          <cell r="C20" t="str">
            <v>Arkansas</v>
          </cell>
          <cell r="D20">
            <v>9.7914064574296606</v>
          </cell>
          <cell r="E20">
            <v>102.08135263134599</v>
          </cell>
          <cell r="F20">
            <v>95.473025683474958</v>
          </cell>
          <cell r="G20">
            <v>0.56606463878326996</v>
          </cell>
          <cell r="H20">
            <v>71.407058823529411</v>
          </cell>
          <cell r="I20">
            <v>61.882352941176471</v>
          </cell>
          <cell r="J20">
            <v>26.794117647058822</v>
          </cell>
          <cell r="K20">
            <v>11.617647058823529</v>
          </cell>
          <cell r="L20">
            <v>9.3529411764705888</v>
          </cell>
          <cell r="M20">
            <v>0</v>
          </cell>
          <cell r="N20">
            <v>19.899076876872613</v>
          </cell>
          <cell r="O20">
            <v>101.9693472090823</v>
          </cell>
          <cell r="P20">
            <v>97.545722643013036</v>
          </cell>
          <cell r="Q20">
            <v>0.56447688564476883</v>
          </cell>
          <cell r="R20">
            <v>72.41</v>
          </cell>
          <cell r="S20">
            <v>64.21875</v>
          </cell>
          <cell r="T20">
            <v>23.375</v>
          </cell>
          <cell r="U20">
            <v>11.0625</v>
          </cell>
          <cell r="V20">
            <v>8.96875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Texas</v>
          </cell>
          <cell r="C21" t="str">
            <v>Gonzaga</v>
          </cell>
          <cell r="D21">
            <v>14.532052109666417</v>
          </cell>
          <cell r="E21">
            <v>100.55048907489414</v>
          </cell>
          <cell r="F21">
            <v>96.670144874968173</v>
          </cell>
          <cell r="G21">
            <v>0.5496777658431794</v>
          </cell>
          <cell r="H21">
            <v>68.81</v>
          </cell>
          <cell r="I21">
            <v>58.1875</v>
          </cell>
          <cell r="J21">
            <v>26.34375</v>
          </cell>
          <cell r="K21">
            <v>12</v>
          </cell>
          <cell r="L21">
            <v>11.03125</v>
          </cell>
          <cell r="M21">
            <v>0</v>
          </cell>
          <cell r="N21">
            <v>20.959854873623506</v>
          </cell>
          <cell r="O21">
            <v>102.65043408841434</v>
          </cell>
          <cell r="P21">
            <v>86.043703668873505</v>
          </cell>
          <cell r="Q21">
            <v>0.56074766355140182</v>
          </cell>
          <cell r="R21">
            <v>69.724999999999994</v>
          </cell>
          <cell r="S21">
            <v>63.53125</v>
          </cell>
          <cell r="T21">
            <v>19.6875</v>
          </cell>
          <cell r="U21">
            <v>12.03125</v>
          </cell>
          <cell r="V21">
            <v>9.5625</v>
          </cell>
          <cell r="W21">
            <v>0</v>
          </cell>
          <cell r="X21">
            <v>6.5</v>
          </cell>
        </row>
        <row r="22">
          <cell r="A22">
            <v>21</v>
          </cell>
          <cell r="B22" t="str">
            <v>Texas Tech</v>
          </cell>
          <cell r="C22" t="str">
            <v>Alabama</v>
          </cell>
          <cell r="D22">
            <v>17.052374181699321</v>
          </cell>
          <cell r="E22">
            <v>100.51882408229335</v>
          </cell>
          <cell r="F22">
            <v>104.30065451536628</v>
          </cell>
          <cell r="G22">
            <v>0.56166837256908908</v>
          </cell>
          <cell r="H22">
            <v>67.617500000000007</v>
          </cell>
          <cell r="I22">
            <v>61.0625</v>
          </cell>
          <cell r="J22">
            <v>16.53125</v>
          </cell>
          <cell r="K22">
            <v>11.53125</v>
          </cell>
          <cell r="L22">
            <v>10.8125</v>
          </cell>
          <cell r="M22">
            <v>0</v>
          </cell>
          <cell r="N22">
            <v>19.673613604820769</v>
          </cell>
          <cell r="O22">
            <v>102.29455081001471</v>
          </cell>
          <cell r="P22">
            <v>103.71887375881523</v>
          </cell>
          <cell r="Q22">
            <v>0.55384250474383301</v>
          </cell>
          <cell r="R22">
            <v>74.217500000000001</v>
          </cell>
          <cell r="S22">
            <v>65.875</v>
          </cell>
          <cell r="T22">
            <v>24.5</v>
          </cell>
          <cell r="U22">
            <v>12.21875</v>
          </cell>
          <cell r="V22">
            <v>9.78125</v>
          </cell>
          <cell r="W22">
            <v>0</v>
          </cell>
          <cell r="X22">
            <v>1</v>
          </cell>
        </row>
        <row r="23">
          <cell r="A23">
            <v>22</v>
          </cell>
          <cell r="B23" t="str">
            <v>Tennessee</v>
          </cell>
          <cell r="C23" t="str">
            <v>Virginia</v>
          </cell>
          <cell r="D23">
            <v>20.582457175121956</v>
          </cell>
          <cell r="E23">
            <v>105.02195491662999</v>
          </cell>
          <cell r="F23">
            <v>93.637950339797769</v>
          </cell>
          <cell r="G23">
            <v>0.51561725334655428</v>
          </cell>
          <cell r="H23">
            <v>67.170909090909092</v>
          </cell>
          <cell r="I23">
            <v>61.121212121212125</v>
          </cell>
          <cell r="J23">
            <v>23.666666666666668</v>
          </cell>
          <cell r="K23">
            <v>16.030303030303031</v>
          </cell>
          <cell r="L23">
            <v>11.666666666666666</v>
          </cell>
          <cell r="M23">
            <v>0</v>
          </cell>
          <cell r="N23">
            <v>12.898930744177012</v>
          </cell>
          <cell r="O23">
            <v>102.74660271782574</v>
          </cell>
          <cell r="P23">
            <v>105.30602921182151</v>
          </cell>
          <cell r="Q23">
            <v>0.54717923115327005</v>
          </cell>
          <cell r="R23">
            <v>67.065454545454543</v>
          </cell>
          <cell r="S23">
            <v>60.696969696969695</v>
          </cell>
          <cell r="T23">
            <v>20.121212121212121</v>
          </cell>
          <cell r="U23">
            <v>13.272727272727273</v>
          </cell>
          <cell r="V23">
            <v>10.787878787878787</v>
          </cell>
          <cell r="W23">
            <v>0</v>
          </cell>
          <cell r="X23">
            <v>-1</v>
          </cell>
        </row>
        <row r="24">
          <cell r="A24">
            <v>23</v>
          </cell>
          <cell r="B24" t="str">
            <v>Kentucky</v>
          </cell>
          <cell r="C24" t="str">
            <v>Iowa State</v>
          </cell>
          <cell r="D24">
            <v>18.034523649586539</v>
          </cell>
          <cell r="E24">
            <v>101.2517590047062</v>
          </cell>
          <cell r="F24">
            <v>98.419793855345077</v>
          </cell>
          <cell r="G24">
            <v>0.53111327175498302</v>
          </cell>
          <cell r="H24">
            <v>69.036470588235289</v>
          </cell>
          <cell r="I24">
            <v>60.5</v>
          </cell>
          <cell r="J24">
            <v>22.676470588235293</v>
          </cell>
          <cell r="K24">
            <v>11.941176470588236</v>
          </cell>
          <cell r="L24">
            <v>10.5</v>
          </cell>
          <cell r="M24">
            <v>0</v>
          </cell>
          <cell r="N24">
            <v>20.641493911570723</v>
          </cell>
          <cell r="O24">
            <v>101.50134460238188</v>
          </cell>
          <cell r="P24">
            <v>96.951162965358421</v>
          </cell>
          <cell r="Q24">
            <v>0.56497313141182215</v>
          </cell>
          <cell r="R24">
            <v>67.654117647058825</v>
          </cell>
          <cell r="S24">
            <v>60.205882352941174</v>
          </cell>
          <cell r="T24">
            <v>20.470588235294116</v>
          </cell>
          <cell r="U24">
            <v>11.823529411764707</v>
          </cell>
          <cell r="V24">
            <v>10.264705882352942</v>
          </cell>
          <cell r="W24">
            <v>0</v>
          </cell>
          <cell r="X24">
            <v>5</v>
          </cell>
        </row>
        <row r="25">
          <cell r="A25">
            <v>24</v>
          </cell>
          <cell r="B25" t="str">
            <v>Utah State</v>
          </cell>
          <cell r="C25" t="str">
            <v>Arizona</v>
          </cell>
          <cell r="D25">
            <v>16.287809545840613</v>
          </cell>
          <cell r="E25">
            <v>99.539689712306071</v>
          </cell>
          <cell r="F25">
            <v>89.1227776403734</v>
          </cell>
          <cell r="G25">
            <v>0.5741935483870968</v>
          </cell>
          <cell r="H25">
            <v>67.972499999999997</v>
          </cell>
          <cell r="I25">
            <v>58.125</v>
          </cell>
          <cell r="J25">
            <v>22.59375</v>
          </cell>
          <cell r="K25">
            <v>10.65625</v>
          </cell>
          <cell r="L25">
            <v>10.5625</v>
          </cell>
          <cell r="M25">
            <v>0</v>
          </cell>
          <cell r="N25">
            <v>23.687310951598352</v>
          </cell>
          <cell r="O25">
            <v>101.76807841686704</v>
          </cell>
          <cell r="P25">
            <v>98.493332637771204</v>
          </cell>
          <cell r="Q25">
            <v>0.55109126984126988</v>
          </cell>
          <cell r="R25">
            <v>70.587878787878793</v>
          </cell>
          <cell r="S25">
            <v>61.090909090909093</v>
          </cell>
          <cell r="T25">
            <v>26.060606060606062</v>
          </cell>
          <cell r="U25">
            <v>12.878787878787879</v>
          </cell>
          <cell r="V25">
            <v>10.909090909090908</v>
          </cell>
          <cell r="W25">
            <v>0</v>
          </cell>
          <cell r="X25">
            <v>11.5</v>
          </cell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7.2987974976589882</v>
      </c>
      <c r="F2" s="5">
        <f>-VLOOKUP(A2,[2]Games!$A$2:$X$284,24,FALSE)</f>
        <v>4.5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2.1773721975554827E-2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16.481515841644931</v>
      </c>
      <c r="F4" s="5">
        <f>-VLOOKUP(A4,[2]Games!$A$2:$X$284,24,FALSE)</f>
        <v>12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3.4672078293523353E-2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13.813979689921981</v>
      </c>
      <c r="F5" s="5">
        <f>-VLOOKUP(A5,[2]Games!$A$2:$X$284,24,FALSE)</f>
        <v>10.5</v>
      </c>
      <c r="G5" s="7">
        <f>VLOOKUP(A5,[1]Games!$B$2:$K$398,9,FALSE)</f>
        <v>0.59272854171055378</v>
      </c>
      <c r="H5" s="7">
        <f>VLOOKUP(A5,[1]Games!$B$2:$K$398,7,FALSE)</f>
        <v>0</v>
      </c>
      <c r="I5" s="7">
        <f>VLOOKUP(A5,[1]Games!$B$2:$K$398,8,FALSE)/4</f>
        <v>2.5112276414578225E-2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12.490512577712639</v>
      </c>
      <c r="F7" s="5">
        <f>-VLOOKUP(A7,[2]Games!$A$2:$X$284,24,FALSE)</f>
        <v>10.5</v>
      </c>
      <c r="G7" s="7">
        <f>VLOOKUP(A7,[1]Games!$B$2:$K$398,9,FALSE)</f>
        <v>0.50131716872622822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2.0773826597078271E-2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0.41516446029663601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4.1278919748299394</v>
      </c>
      <c r="F10" s="5">
        <f>-VLOOKUP(A10,[2]Games!$A$2:$X$284,24,FALSE)</f>
        <v>1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2.5623371857857451E-2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22</v>
      </c>
      <c r="B11" s="6" t="str">
        <f>VLOOKUP(A11,[1]Games!$B$2:$K$398,2,FALSE)</f>
        <v>Tennessee</v>
      </c>
      <c r="C11" s="6" t="str">
        <f>VLOOKUP(A11,[1]Games!$B$2:$K$398,3,FALSE)</f>
        <v>Virginia</v>
      </c>
      <c r="D11" s="6" t="str">
        <f t="shared" si="2"/>
        <v>Tennessee</v>
      </c>
      <c r="E11" s="5">
        <f>VLOOKUP(A11,[1]Games!$B$2:$K$398,4,FALSE)</f>
        <v>6.3504265210794983</v>
      </c>
      <c r="F11" s="5">
        <f>-VLOOKUP(A11,[2]Games!$A$2:$X$284,24,FALSE)</f>
        <v>1</v>
      </c>
      <c r="G11" s="7">
        <f>VLOOKUP(A11,[1]Games!$B$2:$K$398,9,FALSE)</f>
        <v>0.503917783931362</v>
      </c>
      <c r="H11" s="7">
        <f>VLOOKUP(A11,[1]Games!$B$2:$K$398,7,FALSE)</f>
        <v>5.7998893446444849E-2</v>
      </c>
      <c r="I11" s="7">
        <f>VLOOKUP(A11,[1]Games!$B$2:$K$398,8,FALSE)/4</f>
        <v>4.9999371276389128E-2</v>
      </c>
      <c r="J11" s="8" t="s">
        <v>444</v>
      </c>
      <c r="K11" s="9">
        <f t="shared" si="3"/>
        <v>0.86998340169667276</v>
      </c>
    </row>
    <row r="12" spans="1:12" x14ac:dyDescent="0.2">
      <c r="A12" s="1">
        <v>11</v>
      </c>
      <c r="B12" s="6" t="str">
        <f>VLOOKUP(A12,[1]Games!$B$2:$K$398,2,FALSE)</f>
        <v>Iowa State</v>
      </c>
      <c r="C12" s="6" t="str">
        <f>VLOOKUP(A12,[1]Games!$B$2:$K$398,3,FALSE)</f>
        <v>Kentucky</v>
      </c>
      <c r="D12" s="6" t="str">
        <f t="shared" si="2"/>
        <v>Iowa State</v>
      </c>
      <c r="E12" s="5">
        <f>VLOOKUP(A12,[1]Games!$B$2:$K$398,4,FALSE)</f>
        <v>7.1011751940087526</v>
      </c>
      <c r="F12" s="5">
        <f>-VLOOKUP(A12,[2]Games!$A$2:$X$284,24,FALSE)</f>
        <v>5</v>
      </c>
      <c r="G12" s="7">
        <f>VLOOKUP(A12,[1]Games!$B$2:$K$398,9,FALSE)</f>
        <v>0.34931589557310277</v>
      </c>
      <c r="H12" s="7">
        <f>VLOOKUP(A12,[1]Games!$B$2:$K$398,7,FALSE)</f>
        <v>0</v>
      </c>
      <c r="I12" s="7">
        <f>VLOOKUP(A12,[1]Games!$B$2:$K$398,8,FALSE)/4</f>
        <v>1.3569223993972977E-2</v>
      </c>
      <c r="J12" s="8" t="s">
        <v>443</v>
      </c>
      <c r="K12" s="9">
        <f t="shared" si="3"/>
        <v>0</v>
      </c>
    </row>
    <row r="13" spans="1:12" x14ac:dyDescent="0.2">
      <c r="A13" s="1">
        <v>12</v>
      </c>
      <c r="B13" s="6" t="str">
        <f>VLOOKUP(A13,[1]Games!$B$2:$K$398,2,FALSE)</f>
        <v>Arizona</v>
      </c>
      <c r="C13" s="6" t="str">
        <f>VLOOKUP(A13,[1]Games!$B$2:$K$398,3,FALSE)</f>
        <v>Utah State</v>
      </c>
      <c r="D13" s="6" t="str">
        <f t="shared" si="2"/>
        <v>Arizona</v>
      </c>
      <c r="E13" s="5">
        <f>VLOOKUP(A13,[1]Games!$B$2:$K$398,4,FALSE)</f>
        <v>12.03916810204351</v>
      </c>
      <c r="F13" s="5">
        <f>-VLOOKUP(A13,[2]Games!$A$2:$X$284,24,FALSE)</f>
        <v>11.5</v>
      </c>
      <c r="G13" s="7">
        <f>VLOOKUP(A13,[1]Games!$B$2:$K$398,9,FALSE)</f>
        <v>0.41142205261584602</v>
      </c>
      <c r="H13" s="7">
        <f>VLOOKUP(A13,[1]Games!$B$2:$K$398,7,FALSE)</f>
        <v>0</v>
      </c>
      <c r="I13" s="7">
        <f>VLOOKUP(A13,[1]Games!$B$2:$K$398,8,FALSE)/4</f>
        <v>-4.9486061792907978E-3</v>
      </c>
      <c r="J13" s="8" t="s">
        <v>443</v>
      </c>
      <c r="K13" s="9">
        <f t="shared" si="3"/>
        <v>0</v>
      </c>
    </row>
    <row r="14" spans="1:12" x14ac:dyDescent="0.2">
      <c r="B14" s="6"/>
      <c r="C14" s="6"/>
      <c r="D14" s="6"/>
      <c r="E14" s="5"/>
      <c r="F14" s="5"/>
      <c r="G14" s="7"/>
      <c r="H14" s="7"/>
      <c r="I14" s="7"/>
      <c r="J14" s="8"/>
      <c r="K14" s="9"/>
    </row>
    <row r="15" spans="1:12" x14ac:dyDescent="0.2">
      <c r="B15" s="6"/>
      <c r="C15" s="6"/>
      <c r="D15" s="6"/>
      <c r="E15" s="5"/>
      <c r="F15" s="5"/>
      <c r="G15" s="7"/>
      <c r="H15" s="7"/>
      <c r="I15" s="7"/>
      <c r="J15" s="8"/>
      <c r="K15" s="9"/>
    </row>
    <row r="16" spans="1:12" x14ac:dyDescent="0.2">
      <c r="B16" s="6"/>
      <c r="C16" s="6"/>
      <c r="D16" s="6"/>
      <c r="E16" s="5"/>
      <c r="F16" s="5"/>
      <c r="G16" s="7"/>
      <c r="H16" s="7"/>
      <c r="I16" s="7"/>
      <c r="J16" s="8"/>
      <c r="K16" s="9"/>
    </row>
    <row r="17" spans="2:11" x14ac:dyDescent="0.2">
      <c r="B17" s="6"/>
      <c r="C17" s="6"/>
      <c r="D17" s="6"/>
      <c r="E17" s="5"/>
      <c r="F17" s="5"/>
      <c r="G17" s="7"/>
      <c r="H17" s="7"/>
      <c r="I17" s="7"/>
      <c r="J17" s="8"/>
      <c r="K17" s="9"/>
    </row>
    <row r="18" spans="2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2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2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2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2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2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2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2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2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2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2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2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2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2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2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opLeftCell="A32"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0.7752</v>
      </c>
      <c r="D2">
        <v>0.56345000000000001</v>
      </c>
      <c r="E2">
        <v>0.36745</v>
      </c>
      <c r="F2">
        <v>0.21435000000000001</v>
      </c>
      <c r="G2">
        <v>0.1188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0.96835000000000004</v>
      </c>
      <c r="C3">
        <v>0.73114999999999997</v>
      </c>
      <c r="D3">
        <v>0.48599999999999999</v>
      </c>
      <c r="E3">
        <v>0.30630000000000002</v>
      </c>
      <c r="F3">
        <v>0.18210000000000001</v>
      </c>
      <c r="G3">
        <v>0.1114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0.77395000000000003</v>
      </c>
      <c r="D4">
        <v>0.50795000000000001</v>
      </c>
      <c r="E4">
        <v>0.31414999999999998</v>
      </c>
      <c r="F4">
        <v>0.18015</v>
      </c>
      <c r="G4">
        <v>0.11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0.98219999999999996</v>
      </c>
      <c r="C5">
        <v>0.72609999999999997</v>
      </c>
      <c r="D5">
        <v>0.45924999999999999</v>
      </c>
      <c r="E5">
        <v>0.28594999999999998</v>
      </c>
      <c r="F5">
        <v>0.16994999999999999</v>
      </c>
      <c r="G5">
        <v>9.3850000000000003E-2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0.71684999999999999</v>
      </c>
      <c r="D6">
        <v>0.44435000000000002</v>
      </c>
      <c r="E6">
        <v>0.23180000000000001</v>
      </c>
      <c r="F6">
        <v>0.125</v>
      </c>
      <c r="G6">
        <v>6.3250000000000001E-2</v>
      </c>
      <c r="H6" t="s">
        <v>385</v>
      </c>
      <c r="I6">
        <v>2</v>
      </c>
      <c r="J6">
        <v>20.901069562815731</v>
      </c>
    </row>
    <row r="7" spans="1:10" x14ac:dyDescent="0.2">
      <c r="A7" t="s">
        <v>5</v>
      </c>
      <c r="B7">
        <v>1</v>
      </c>
      <c r="C7">
        <v>0.68510000000000004</v>
      </c>
      <c r="D7">
        <v>0.39145000000000002</v>
      </c>
      <c r="E7">
        <v>0.19384999999999999</v>
      </c>
      <c r="F7">
        <v>0.1008</v>
      </c>
      <c r="G7">
        <v>5.355E-2</v>
      </c>
      <c r="H7" t="s">
        <v>383</v>
      </c>
      <c r="I7">
        <v>3</v>
      </c>
      <c r="J7">
        <v>20.95985487362351</v>
      </c>
    </row>
    <row r="8" spans="1:10" x14ac:dyDescent="0.2">
      <c r="A8" t="s">
        <v>7</v>
      </c>
      <c r="B8">
        <v>0.94215000000000004</v>
      </c>
      <c r="C8">
        <v>0.69989999999999997</v>
      </c>
      <c r="D8">
        <v>0.38795000000000002</v>
      </c>
      <c r="E8">
        <v>0.19655</v>
      </c>
      <c r="F8">
        <v>0.10085</v>
      </c>
      <c r="G8">
        <v>0.05</v>
      </c>
      <c r="H8" t="s">
        <v>383</v>
      </c>
      <c r="I8">
        <v>2</v>
      </c>
      <c r="J8">
        <v>20.933350618351088</v>
      </c>
    </row>
    <row r="9" spans="1:10" x14ac:dyDescent="0.2">
      <c r="A9" t="s">
        <v>8</v>
      </c>
      <c r="B9">
        <v>1</v>
      </c>
      <c r="C9">
        <v>0.77595000000000003</v>
      </c>
      <c r="D9">
        <v>0.35199999999999998</v>
      </c>
      <c r="E9">
        <v>0.18149999999999999</v>
      </c>
      <c r="F9">
        <v>9.0749999999999997E-2</v>
      </c>
      <c r="G9">
        <v>4.5150000000000003E-2</v>
      </c>
      <c r="H9" t="s">
        <v>383</v>
      </c>
      <c r="I9">
        <v>4</v>
      </c>
      <c r="J9">
        <v>19.899076876872609</v>
      </c>
    </row>
    <row r="10" spans="1:10" x14ac:dyDescent="0.2">
      <c r="A10" t="s">
        <v>14</v>
      </c>
      <c r="B10">
        <v>0.91315000000000002</v>
      </c>
      <c r="C10">
        <v>0.5484</v>
      </c>
      <c r="D10">
        <v>0.33679999999999999</v>
      </c>
      <c r="E10">
        <v>0.17115</v>
      </c>
      <c r="F10">
        <v>8.4250000000000005E-2</v>
      </c>
      <c r="G10">
        <v>4.3799999999999999E-2</v>
      </c>
      <c r="H10" t="s">
        <v>382</v>
      </c>
      <c r="I10">
        <v>2</v>
      </c>
      <c r="J10">
        <v>20.64149391157072</v>
      </c>
    </row>
    <row r="11" spans="1:10" x14ac:dyDescent="0.2">
      <c r="A11" t="s">
        <v>9</v>
      </c>
      <c r="B11">
        <v>1</v>
      </c>
      <c r="C11">
        <v>0.6018</v>
      </c>
      <c r="D11">
        <v>0.36314999999999997</v>
      </c>
      <c r="E11">
        <v>0.18440000000000001</v>
      </c>
      <c r="F11">
        <v>9.4049999999999995E-2</v>
      </c>
      <c r="G11">
        <v>4.2549999999999998E-2</v>
      </c>
      <c r="H11" t="s">
        <v>384</v>
      </c>
      <c r="I11">
        <v>3</v>
      </c>
      <c r="J11">
        <v>19.982154388171558</v>
      </c>
    </row>
    <row r="12" spans="1:10" x14ac:dyDescent="0.2">
      <c r="A12" t="s">
        <v>10</v>
      </c>
      <c r="B12">
        <v>0.77900000000000003</v>
      </c>
      <c r="C12">
        <v>0.57984999999999998</v>
      </c>
      <c r="D12">
        <v>0.31735000000000002</v>
      </c>
      <c r="E12">
        <v>0.1603</v>
      </c>
      <c r="F12">
        <v>7.7600000000000002E-2</v>
      </c>
      <c r="G12">
        <v>3.8899999999999997E-2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1</v>
      </c>
      <c r="C13">
        <v>0.73540000000000005</v>
      </c>
      <c r="D13">
        <v>0.36675000000000002</v>
      </c>
      <c r="E13">
        <v>0.17235</v>
      </c>
      <c r="F13">
        <v>8.3099999999999993E-2</v>
      </c>
      <c r="G13">
        <v>3.6249999999999998E-2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0.87385000000000002</v>
      </c>
      <c r="C14">
        <v>0.55259999999999998</v>
      </c>
      <c r="D14">
        <v>0.25640000000000002</v>
      </c>
      <c r="E14">
        <v>0.13675000000000001</v>
      </c>
      <c r="F14">
        <v>6.2449999999999999E-2</v>
      </c>
      <c r="G14">
        <v>3.1800000000000002E-2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1</v>
      </c>
      <c r="C15">
        <v>0.60494999999999999</v>
      </c>
      <c r="D15">
        <v>0.28505000000000003</v>
      </c>
      <c r="E15">
        <v>0.1489</v>
      </c>
      <c r="F15">
        <v>7.2099999999999997E-2</v>
      </c>
      <c r="G15">
        <v>3.1600000000000003E-2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0.89975000000000005</v>
      </c>
      <c r="C16">
        <v>0.54085000000000005</v>
      </c>
      <c r="D16">
        <v>0.25785000000000002</v>
      </c>
      <c r="E16">
        <v>0.1166</v>
      </c>
      <c r="F16">
        <v>5.3400000000000003E-2</v>
      </c>
      <c r="G16">
        <v>2.12E-2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0.80815000000000003</v>
      </c>
      <c r="C17">
        <v>0.49080000000000001</v>
      </c>
      <c r="D17">
        <v>0.19114999999999999</v>
      </c>
      <c r="E17">
        <v>8.8400000000000006E-2</v>
      </c>
      <c r="F17">
        <v>3.705E-2</v>
      </c>
      <c r="G17">
        <v>1.37E-2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18</v>
      </c>
      <c r="B18">
        <v>1</v>
      </c>
      <c r="C18">
        <v>0.3982</v>
      </c>
      <c r="D18">
        <v>0.20280000000000001</v>
      </c>
      <c r="E18">
        <v>8.3199999999999996E-2</v>
      </c>
      <c r="F18">
        <v>3.4099999999999998E-2</v>
      </c>
      <c r="G18">
        <v>1.315E-2</v>
      </c>
      <c r="H18" t="s">
        <v>384</v>
      </c>
      <c r="I18">
        <v>6</v>
      </c>
      <c r="J18">
        <v>16.631119331501349</v>
      </c>
    </row>
    <row r="19" spans="1:10" x14ac:dyDescent="0.2">
      <c r="A19" t="s">
        <v>17</v>
      </c>
      <c r="B19">
        <v>0.60145000000000004</v>
      </c>
      <c r="C19">
        <v>0.27960000000000002</v>
      </c>
      <c r="D19">
        <v>0.14715</v>
      </c>
      <c r="E19">
        <v>6.3649999999999998E-2</v>
      </c>
      <c r="F19">
        <v>2.665E-2</v>
      </c>
      <c r="G19">
        <v>1.11E-2</v>
      </c>
      <c r="H19" t="s">
        <v>382</v>
      </c>
      <c r="I19">
        <v>7</v>
      </c>
      <c r="J19">
        <v>18.034523649586539</v>
      </c>
    </row>
    <row r="20" spans="1:10" x14ac:dyDescent="0.2">
      <c r="A20" t="s">
        <v>24</v>
      </c>
      <c r="B20">
        <v>1</v>
      </c>
      <c r="C20">
        <v>0.39505000000000001</v>
      </c>
      <c r="D20">
        <v>0.14799999999999999</v>
      </c>
      <c r="E20">
        <v>6.4799999999999996E-2</v>
      </c>
      <c r="F20">
        <v>2.6849999999999999E-2</v>
      </c>
      <c r="G20">
        <v>9.1999999999999998E-3</v>
      </c>
      <c r="H20" t="s">
        <v>385</v>
      </c>
      <c r="I20">
        <v>4</v>
      </c>
      <c r="J20">
        <v>15.82631796216417</v>
      </c>
    </row>
    <row r="21" spans="1:10" x14ac:dyDescent="0.2">
      <c r="A21" t="s">
        <v>11</v>
      </c>
      <c r="B21">
        <v>0.66815000000000002</v>
      </c>
      <c r="C21">
        <v>0.31840000000000002</v>
      </c>
      <c r="D21">
        <v>0.1239</v>
      </c>
      <c r="E21">
        <v>5.3900000000000003E-2</v>
      </c>
      <c r="F21">
        <v>2.2349999999999998E-2</v>
      </c>
      <c r="G21">
        <v>8.6999999999999994E-3</v>
      </c>
      <c r="H21" t="s">
        <v>382</v>
      </c>
      <c r="I21">
        <v>5</v>
      </c>
      <c r="J21">
        <v>17.052374181699321</v>
      </c>
    </row>
    <row r="22" spans="1:10" x14ac:dyDescent="0.2">
      <c r="A22" t="s">
        <v>23</v>
      </c>
      <c r="B22">
        <v>0.61529999999999996</v>
      </c>
      <c r="C22">
        <v>0.2949</v>
      </c>
      <c r="D22">
        <v>0.125</v>
      </c>
      <c r="E22">
        <v>4.965E-2</v>
      </c>
      <c r="F22">
        <v>1.9599999999999999E-2</v>
      </c>
      <c r="G22">
        <v>7.3000000000000001E-3</v>
      </c>
      <c r="H22" t="s">
        <v>384</v>
      </c>
      <c r="I22">
        <v>7</v>
      </c>
      <c r="J22">
        <v>15.943406980069801</v>
      </c>
    </row>
    <row r="23" spans="1:10" x14ac:dyDescent="0.2">
      <c r="A23" t="s">
        <v>30</v>
      </c>
      <c r="B23">
        <v>0.65805000000000002</v>
      </c>
      <c r="C23">
        <v>0.33760000000000001</v>
      </c>
      <c r="D23">
        <v>0.1181</v>
      </c>
      <c r="E23">
        <v>5.0650000000000001E-2</v>
      </c>
      <c r="F23">
        <v>1.8599999999999998E-2</v>
      </c>
      <c r="G23">
        <v>5.8500000000000002E-3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21</v>
      </c>
      <c r="B24">
        <v>0.58784999999999998</v>
      </c>
      <c r="C24">
        <v>0.17824999999999999</v>
      </c>
      <c r="D24">
        <v>8.3000000000000004E-2</v>
      </c>
      <c r="E24">
        <v>3.27E-2</v>
      </c>
      <c r="F24">
        <v>1.375E-2</v>
      </c>
      <c r="G24">
        <v>5.1000000000000004E-3</v>
      </c>
      <c r="H24" t="s">
        <v>383</v>
      </c>
      <c r="I24">
        <v>9</v>
      </c>
      <c r="J24">
        <v>16.287809545840609</v>
      </c>
    </row>
    <row r="25" spans="1:10" x14ac:dyDescent="0.2">
      <c r="A25" t="s">
        <v>25</v>
      </c>
      <c r="B25">
        <v>1</v>
      </c>
      <c r="C25">
        <v>0.31490000000000001</v>
      </c>
      <c r="D25">
        <v>0.1273</v>
      </c>
      <c r="E25">
        <v>4.1950000000000001E-2</v>
      </c>
      <c r="F25">
        <v>1.495E-2</v>
      </c>
      <c r="G25">
        <v>4.8999999999999998E-3</v>
      </c>
      <c r="H25" t="s">
        <v>383</v>
      </c>
      <c r="I25">
        <v>11</v>
      </c>
      <c r="J25">
        <v>14.53205210966642</v>
      </c>
    </row>
    <row r="26" spans="1:10" x14ac:dyDescent="0.2">
      <c r="A26" t="s">
        <v>28</v>
      </c>
      <c r="B26">
        <v>0.58265</v>
      </c>
      <c r="C26">
        <v>0.18260000000000001</v>
      </c>
      <c r="D26">
        <v>7.9350000000000004E-2</v>
      </c>
      <c r="E26">
        <v>3.3300000000000003E-2</v>
      </c>
      <c r="F26">
        <v>1.35E-2</v>
      </c>
      <c r="G26">
        <v>4.7499999999999999E-3</v>
      </c>
      <c r="H26" t="s">
        <v>385</v>
      </c>
      <c r="I26">
        <v>9</v>
      </c>
      <c r="J26">
        <v>15.51511812576733</v>
      </c>
    </row>
    <row r="27" spans="1:10" x14ac:dyDescent="0.2">
      <c r="A27" t="s">
        <v>46</v>
      </c>
      <c r="B27">
        <v>1</v>
      </c>
      <c r="C27">
        <v>0.2248</v>
      </c>
      <c r="D27">
        <v>9.6199999999999994E-2</v>
      </c>
      <c r="E27">
        <v>3.5950000000000003E-2</v>
      </c>
      <c r="F27">
        <v>1.125E-2</v>
      </c>
      <c r="G27">
        <v>3.8500000000000001E-3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0.28315000000000001</v>
      </c>
      <c r="D28">
        <v>0.11855</v>
      </c>
      <c r="E28">
        <v>3.8449999999999998E-2</v>
      </c>
      <c r="F28">
        <v>1.2999999999999999E-2</v>
      </c>
      <c r="G28">
        <v>3.5999999999999999E-3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27</v>
      </c>
      <c r="B29">
        <v>0.39855000000000002</v>
      </c>
      <c r="C29">
        <v>0.16075</v>
      </c>
      <c r="D29">
        <v>7.5499999999999998E-2</v>
      </c>
      <c r="E29">
        <v>2.8750000000000001E-2</v>
      </c>
      <c r="F29">
        <v>1.025E-2</v>
      </c>
      <c r="G29">
        <v>3.4499999999999999E-3</v>
      </c>
      <c r="H29" t="s">
        <v>382</v>
      </c>
      <c r="I29">
        <v>10</v>
      </c>
      <c r="J29">
        <v>15.7373824689671</v>
      </c>
    </row>
    <row r="30" spans="1:10" x14ac:dyDescent="0.2">
      <c r="A30" t="s">
        <v>40</v>
      </c>
      <c r="B30">
        <v>0.78995000000000004</v>
      </c>
      <c r="C30">
        <v>0.29594999999999999</v>
      </c>
      <c r="D30">
        <v>9.7350000000000006E-2</v>
      </c>
      <c r="E30">
        <v>2.9649999999999999E-2</v>
      </c>
      <c r="F30">
        <v>8.7500000000000008E-3</v>
      </c>
      <c r="G30">
        <v>3.0500000000000002E-3</v>
      </c>
      <c r="H30" t="s">
        <v>382</v>
      </c>
      <c r="I30">
        <v>3</v>
      </c>
      <c r="J30">
        <v>12.89893074417701</v>
      </c>
    </row>
    <row r="31" spans="1:10" x14ac:dyDescent="0.2">
      <c r="A31" t="s">
        <v>38</v>
      </c>
      <c r="B31">
        <v>1</v>
      </c>
      <c r="C31">
        <v>0.22605</v>
      </c>
      <c r="D31">
        <v>8.4699999999999998E-2</v>
      </c>
      <c r="E31">
        <v>2.955E-2</v>
      </c>
      <c r="F31">
        <v>8.1499999999999993E-3</v>
      </c>
      <c r="G31">
        <v>2.5000000000000001E-3</v>
      </c>
      <c r="H31" t="s">
        <v>382</v>
      </c>
      <c r="I31">
        <v>9</v>
      </c>
      <c r="J31">
        <v>12.8910075642879</v>
      </c>
    </row>
    <row r="32" spans="1:10" x14ac:dyDescent="0.2">
      <c r="A32" t="s">
        <v>43</v>
      </c>
      <c r="B32">
        <v>0.38469999999999999</v>
      </c>
      <c r="C32">
        <v>0.14824999999999999</v>
      </c>
      <c r="D32">
        <v>4.9500000000000002E-2</v>
      </c>
      <c r="E32">
        <v>1.55E-2</v>
      </c>
      <c r="F32">
        <v>5.3499999999999997E-3</v>
      </c>
      <c r="G32">
        <v>1.4499999999999999E-3</v>
      </c>
      <c r="H32" t="s">
        <v>384</v>
      </c>
      <c r="I32">
        <v>10</v>
      </c>
      <c r="J32">
        <v>12.78042205274066</v>
      </c>
    </row>
    <row r="33" spans="1:10" x14ac:dyDescent="0.2">
      <c r="A33" t="s">
        <v>63</v>
      </c>
      <c r="B33">
        <v>1</v>
      </c>
      <c r="C33">
        <v>0.2646</v>
      </c>
      <c r="D33">
        <v>7.0349999999999996E-2</v>
      </c>
      <c r="E33">
        <v>1.695E-2</v>
      </c>
      <c r="F33">
        <v>4.7000000000000002E-3</v>
      </c>
      <c r="G33">
        <v>1.25E-3</v>
      </c>
      <c r="H33" t="s">
        <v>385</v>
      </c>
      <c r="I33">
        <v>11</v>
      </c>
      <c r="J33">
        <v>10.280535393881051</v>
      </c>
    </row>
    <row r="34" spans="1:10" x14ac:dyDescent="0.2">
      <c r="A34" t="s">
        <v>53</v>
      </c>
      <c r="B34">
        <v>0.57250000000000001</v>
      </c>
      <c r="C34">
        <v>0.16875000000000001</v>
      </c>
      <c r="D34">
        <v>5.425E-2</v>
      </c>
      <c r="E34">
        <v>1.465E-2</v>
      </c>
      <c r="F34">
        <v>4.45E-3</v>
      </c>
      <c r="G34">
        <v>1.25E-3</v>
      </c>
      <c r="H34" t="s">
        <v>383</v>
      </c>
      <c r="I34">
        <v>7</v>
      </c>
      <c r="J34">
        <v>12.2388904180045</v>
      </c>
    </row>
    <row r="35" spans="1:10" x14ac:dyDescent="0.2">
      <c r="A35" t="s">
        <v>50</v>
      </c>
      <c r="B35">
        <v>0.42749999999999999</v>
      </c>
      <c r="C35">
        <v>0.12335</v>
      </c>
      <c r="D35">
        <v>3.8300000000000001E-2</v>
      </c>
      <c r="E35">
        <v>1.1599999999999999E-2</v>
      </c>
      <c r="F35">
        <v>3.7499999999999999E-3</v>
      </c>
      <c r="G35">
        <v>1.1000000000000001E-3</v>
      </c>
      <c r="H35" t="s">
        <v>383</v>
      </c>
      <c r="I35">
        <v>10</v>
      </c>
      <c r="J35">
        <v>11.938625469494371</v>
      </c>
    </row>
    <row r="36" spans="1:10" x14ac:dyDescent="0.2">
      <c r="A36" t="s">
        <v>44</v>
      </c>
      <c r="B36">
        <v>0.41215000000000002</v>
      </c>
      <c r="C36">
        <v>8.7599999999999997E-2</v>
      </c>
      <c r="D36">
        <v>3.1099999999999999E-2</v>
      </c>
      <c r="E36">
        <v>9.1999999999999998E-3</v>
      </c>
      <c r="F36">
        <v>3.15E-3</v>
      </c>
      <c r="G36">
        <v>9.5E-4</v>
      </c>
      <c r="H36" t="s">
        <v>383</v>
      </c>
      <c r="I36">
        <v>8</v>
      </c>
      <c r="J36">
        <v>11.840993072985089</v>
      </c>
    </row>
    <row r="37" spans="1:10" x14ac:dyDescent="0.2">
      <c r="A37" t="s">
        <v>60</v>
      </c>
      <c r="B37">
        <v>1</v>
      </c>
      <c r="C37">
        <v>0.22405</v>
      </c>
      <c r="D37">
        <v>4.7699999999999999E-2</v>
      </c>
      <c r="E37">
        <v>1.1599999999999999E-2</v>
      </c>
      <c r="F37">
        <v>2.5500000000000002E-3</v>
      </c>
      <c r="G37">
        <v>5.0000000000000001E-4</v>
      </c>
      <c r="H37" t="s">
        <v>383</v>
      </c>
      <c r="I37">
        <v>12</v>
      </c>
      <c r="J37">
        <v>9.7914064574296606</v>
      </c>
    </row>
    <row r="38" spans="1:10" x14ac:dyDescent="0.2">
      <c r="A38" t="s">
        <v>77</v>
      </c>
      <c r="B38">
        <v>0.34194999999999998</v>
      </c>
      <c r="C38">
        <v>0.11650000000000001</v>
      </c>
      <c r="D38">
        <v>2.375E-2</v>
      </c>
      <c r="E38">
        <v>6.7499999999999999E-3</v>
      </c>
      <c r="F38">
        <v>1.5499999999999999E-3</v>
      </c>
      <c r="G38">
        <v>5.0000000000000001E-4</v>
      </c>
      <c r="H38" t="s">
        <v>384</v>
      </c>
      <c r="I38">
        <v>12</v>
      </c>
      <c r="J38">
        <v>9.044790611595948</v>
      </c>
    </row>
    <row r="39" spans="1:10" x14ac:dyDescent="0.2">
      <c r="A39" t="s">
        <v>56</v>
      </c>
      <c r="B39">
        <v>0.41735</v>
      </c>
      <c r="C39">
        <v>9.035E-2</v>
      </c>
      <c r="D39">
        <v>2.835E-2</v>
      </c>
      <c r="E39">
        <v>7.4999999999999997E-3</v>
      </c>
      <c r="F39">
        <v>2.3500000000000001E-3</v>
      </c>
      <c r="G39">
        <v>4.0000000000000002E-4</v>
      </c>
      <c r="H39" t="s">
        <v>385</v>
      </c>
      <c r="I39">
        <v>8</v>
      </c>
      <c r="J39">
        <v>11.02555602329811</v>
      </c>
    </row>
    <row r="40" spans="1:10" x14ac:dyDescent="0.2">
      <c r="A40" t="s">
        <v>58</v>
      </c>
      <c r="B40">
        <v>0.33184999999999998</v>
      </c>
      <c r="C40">
        <v>0.1057</v>
      </c>
      <c r="D40">
        <v>2.4850000000000001E-2</v>
      </c>
      <c r="E40">
        <v>7.5500000000000003E-3</v>
      </c>
      <c r="F40">
        <v>1.3500000000000001E-3</v>
      </c>
      <c r="G40">
        <v>1.4999999999999999E-4</v>
      </c>
      <c r="H40" t="s">
        <v>382</v>
      </c>
      <c r="I40">
        <v>12</v>
      </c>
      <c r="J40">
        <v>10.62898797126984</v>
      </c>
    </row>
    <row r="41" spans="1:10" x14ac:dyDescent="0.2">
      <c r="A41" t="s">
        <v>78</v>
      </c>
      <c r="B41">
        <v>0.221</v>
      </c>
      <c r="C41">
        <v>8.8200000000000001E-2</v>
      </c>
      <c r="D41">
        <v>1.8800000000000001E-2</v>
      </c>
      <c r="E41">
        <v>3.65E-3</v>
      </c>
      <c r="F41">
        <v>7.5000000000000002E-4</v>
      </c>
      <c r="G41">
        <v>1E-4</v>
      </c>
      <c r="H41" t="s">
        <v>382</v>
      </c>
      <c r="I41">
        <v>11</v>
      </c>
      <c r="J41">
        <v>7.7337055835141966</v>
      </c>
    </row>
    <row r="42" spans="1:10" x14ac:dyDescent="0.2">
      <c r="A42" t="s">
        <v>206</v>
      </c>
      <c r="B42">
        <v>0.10025000000000001</v>
      </c>
      <c r="C42">
        <v>1.6E-2</v>
      </c>
      <c r="D42">
        <v>1.6999999999999999E-3</v>
      </c>
      <c r="E42">
        <v>1.4999999999999999E-4</v>
      </c>
      <c r="F42">
        <v>5.0000000000000002E-5</v>
      </c>
      <c r="G42">
        <v>5.0000000000000002E-5</v>
      </c>
      <c r="H42" t="s">
        <v>384</v>
      </c>
      <c r="I42">
        <v>15</v>
      </c>
      <c r="J42">
        <v>0.1935829077834591</v>
      </c>
    </row>
    <row r="43" spans="1:10" x14ac:dyDescent="0.2">
      <c r="A43" t="s">
        <v>132</v>
      </c>
      <c r="B43">
        <v>0.19184999999999999</v>
      </c>
      <c r="C43">
        <v>5.5100000000000003E-2</v>
      </c>
      <c r="D43">
        <v>7.3499999999999998E-3</v>
      </c>
      <c r="E43">
        <v>1.2999999999999999E-3</v>
      </c>
      <c r="F43">
        <v>1E-4</v>
      </c>
      <c r="G43">
        <v>0</v>
      </c>
      <c r="H43" t="s">
        <v>384</v>
      </c>
      <c r="I43">
        <v>13</v>
      </c>
      <c r="J43">
        <v>4.6851123682196496</v>
      </c>
    </row>
    <row r="44" spans="1:10" x14ac:dyDescent="0.2">
      <c r="A44" t="s">
        <v>160</v>
      </c>
      <c r="B44">
        <v>0.21004999999999999</v>
      </c>
      <c r="C44">
        <v>3.5999999999999997E-2</v>
      </c>
      <c r="D44">
        <v>5.1999999999999998E-3</v>
      </c>
      <c r="E44">
        <v>4.0000000000000002E-4</v>
      </c>
      <c r="F44">
        <v>1E-4</v>
      </c>
      <c r="G44">
        <v>0</v>
      </c>
      <c r="H44" t="s">
        <v>382</v>
      </c>
      <c r="I44">
        <v>14</v>
      </c>
      <c r="J44">
        <v>3.0807597689023769</v>
      </c>
    </row>
    <row r="45" spans="1:10" x14ac:dyDescent="0.2">
      <c r="A45" t="s">
        <v>182</v>
      </c>
      <c r="B45">
        <v>0.12615000000000001</v>
      </c>
      <c r="C45">
        <v>2.3300000000000001E-2</v>
      </c>
      <c r="D45">
        <v>2.2000000000000001E-3</v>
      </c>
      <c r="E45">
        <v>2.9999999999999997E-4</v>
      </c>
      <c r="F45">
        <v>0</v>
      </c>
      <c r="G45">
        <v>0</v>
      </c>
      <c r="H45" t="s">
        <v>382</v>
      </c>
      <c r="I45">
        <v>13</v>
      </c>
      <c r="J45">
        <v>2.1356002741910172</v>
      </c>
    </row>
    <row r="46" spans="1:10" x14ac:dyDescent="0.2">
      <c r="A46" t="s">
        <v>186</v>
      </c>
      <c r="B46">
        <v>8.6849999999999997E-2</v>
      </c>
      <c r="C46">
        <v>1.125E-2</v>
      </c>
      <c r="D46">
        <v>1.8500000000000001E-3</v>
      </c>
      <c r="E46">
        <v>2.5000000000000001E-4</v>
      </c>
      <c r="F46">
        <v>1E-4</v>
      </c>
      <c r="G46">
        <v>0</v>
      </c>
      <c r="H46" t="s">
        <v>382</v>
      </c>
      <c r="I46">
        <v>15</v>
      </c>
      <c r="J46">
        <v>1.063936136616795</v>
      </c>
    </row>
    <row r="47" spans="1:10" x14ac:dyDescent="0.2">
      <c r="A47" t="s">
        <v>235</v>
      </c>
      <c r="B47">
        <v>5.7849999999999999E-2</v>
      </c>
      <c r="C47">
        <v>8.0000000000000002E-3</v>
      </c>
      <c r="D47">
        <v>7.5000000000000002E-4</v>
      </c>
      <c r="E47">
        <v>1E-4</v>
      </c>
      <c r="F47">
        <v>0</v>
      </c>
      <c r="G47">
        <v>0</v>
      </c>
      <c r="H47" t="s">
        <v>383</v>
      </c>
      <c r="I47">
        <v>15</v>
      </c>
      <c r="J47">
        <v>-2.43869723675573</v>
      </c>
    </row>
    <row r="48" spans="1:10" x14ac:dyDescent="0.2">
      <c r="A48" t="s">
        <v>22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6</v>
      </c>
      <c r="J48">
        <v>16.95891571245977</v>
      </c>
    </row>
    <row r="49" spans="1:10" x14ac:dyDescent="0.2">
      <c r="A49" t="s">
        <v>29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8</v>
      </c>
      <c r="J49">
        <v>14.114224917334671</v>
      </c>
    </row>
    <row r="50" spans="1:10" x14ac:dyDescent="0.2">
      <c r="A50" t="s">
        <v>154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13</v>
      </c>
      <c r="J50">
        <v>2.5953665153972891</v>
      </c>
    </row>
    <row r="51" spans="1:10" x14ac:dyDescent="0.2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16</v>
      </c>
      <c r="J51">
        <v>-7.2160644315092952</v>
      </c>
    </row>
    <row r="52" spans="1:10" x14ac:dyDescent="0.2">
      <c r="A52" t="s">
        <v>139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385</v>
      </c>
      <c r="I52">
        <v>15</v>
      </c>
      <c r="J52">
        <v>3.928312715113337</v>
      </c>
    </row>
    <row r="53" spans="1:10" x14ac:dyDescent="0.2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14</v>
      </c>
      <c r="J53">
        <v>6.9567142213273874</v>
      </c>
    </row>
    <row r="54" spans="1:10" x14ac:dyDescent="0.2">
      <c r="A54" t="s">
        <v>275</v>
      </c>
      <c r="B54">
        <v>3.1649999999999998E-2</v>
      </c>
      <c r="C54">
        <v>3.0000000000000001E-3</v>
      </c>
      <c r="D54">
        <v>2.0000000000000001E-4</v>
      </c>
      <c r="E54">
        <v>0</v>
      </c>
      <c r="F54">
        <v>0</v>
      </c>
      <c r="G54">
        <v>0</v>
      </c>
      <c r="H54" t="s">
        <v>383</v>
      </c>
      <c r="I54">
        <v>16</v>
      </c>
      <c r="J54">
        <v>-5.3079314642110162</v>
      </c>
    </row>
    <row r="55" spans="1:10" x14ac:dyDescent="0.2">
      <c r="A55" t="s">
        <v>89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385</v>
      </c>
      <c r="I55">
        <v>12</v>
      </c>
      <c r="J55">
        <v>7.3382243907443794</v>
      </c>
    </row>
    <row r="56" spans="1:10" x14ac:dyDescent="0.2">
      <c r="A56" t="s">
        <v>35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6</v>
      </c>
      <c r="J56">
        <v>13.976487221924669</v>
      </c>
    </row>
    <row r="57" spans="1:10" x14ac:dyDescent="0.2">
      <c r="A57" t="s">
        <v>138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14</v>
      </c>
      <c r="J57">
        <v>3.8559349343715992</v>
      </c>
    </row>
    <row r="58" spans="1:10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8</v>
      </c>
      <c r="J58">
        <v>14.72942352472889</v>
      </c>
    </row>
    <row r="59" spans="1:10" x14ac:dyDescent="0.2">
      <c r="A59" t="s">
        <v>221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385</v>
      </c>
      <c r="I59">
        <v>14</v>
      </c>
      <c r="J59">
        <v>-0.34703170207646011</v>
      </c>
    </row>
    <row r="60" spans="1:10" x14ac:dyDescent="0.2">
      <c r="A60" t="s">
        <v>319</v>
      </c>
      <c r="B60">
        <v>1.78E-2</v>
      </c>
      <c r="C60">
        <v>9.5E-4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16</v>
      </c>
      <c r="J60">
        <v>-11.471425536201769</v>
      </c>
    </row>
    <row r="61" spans="1:10" x14ac:dyDescent="0.2">
      <c r="A61" t="s">
        <v>31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7</v>
      </c>
      <c r="J61">
        <v>15.01820898903012</v>
      </c>
    </row>
    <row r="62" spans="1:10" x14ac:dyDescent="0.2">
      <c r="A62" t="s">
        <v>316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-9.4717636747576321</v>
      </c>
    </row>
    <row r="63" spans="1:10" x14ac:dyDescent="0.2">
      <c r="A63" t="s">
        <v>55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384</v>
      </c>
      <c r="I63">
        <v>11</v>
      </c>
      <c r="J63">
        <v>10.62507679613563</v>
      </c>
    </row>
    <row r="64" spans="1:10" x14ac:dyDescent="0.2">
      <c r="A64" t="s">
        <v>179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385</v>
      </c>
      <c r="I64">
        <v>13</v>
      </c>
      <c r="J64">
        <v>1.3139417704256631</v>
      </c>
    </row>
    <row r="65" spans="1:10" x14ac:dyDescent="0.2">
      <c r="A65" t="s">
        <v>26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5</v>
      </c>
      <c r="J65">
        <v>16.148066436541431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2026-03-21T00:13:56Z</dcterms:modified>
</cp:coreProperties>
</file>