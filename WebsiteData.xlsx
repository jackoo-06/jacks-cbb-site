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02C233E1-62D8-B247-A7E1-C97ACBC6AE5B}" xr6:coauthVersionLast="47" xr6:coauthVersionMax="47" xr10:uidLastSave="{00000000-0000-0000-0000-000000000000}"/>
  <bookViews>
    <workbookView xWindow="0" yWindow="780" windowWidth="21500" windowHeight="1994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H2" i="1"/>
  <c r="K13" i="5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2" i="1" l="1"/>
  <c r="I2" i="1" l="1"/>
  <c r="G2" i="1"/>
</calcChain>
</file>

<file path=xl/sharedStrings.xml><?xml version="1.0" encoding="utf-8"?>
<sst xmlns="http://schemas.openxmlformats.org/spreadsheetml/2006/main" count="757" uniqueCount="481">
  <si>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</si>
  <si>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</si>
  <si>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</si>
  <si>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</si>
  <si>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</si>
  <si>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</si>
  <si>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</si>
  <si>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</si>
  <si>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</si>
  <si>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</si>
  <si>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</si>
  <si>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</si>
  <si>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</si>
  <si>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</si>
  <si>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</si>
  <si>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</si>
  <si>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</si>
  <si>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</si>
  <si>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</si>
  <si>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</si>
  <si>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</si>
  <si>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</si>
  <si>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</si>
  <si>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</si>
  <si>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</si>
  <si>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</si>
  <si>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</si>
  <si>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</si>
  <si>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</si>
  <si>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</si>
  <si>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</si>
  <si>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</si>
  <si>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</si>
  <si>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</si>
  <si>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</si>
  <si>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</si>
  <si>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</si>
  <si>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</si>
  <si>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</si>
  <si>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</si>
  <si>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</si>
  <si>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</si>
  <si>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</si>
  <si>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</si>
  <si>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</si>
  <si>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</si>
  <si>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</si>
  <si>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</si>
  <si>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</si>
  <si>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</si>
  <si>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</si>
  <si>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</si>
  <si>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</si>
  <si>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</si>
  <si>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</si>
  <si>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</si>
  <si>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</si>
  <si>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</si>
  <si>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</si>
  <si>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</si>
  <si>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</si>
  <si>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</si>
  <si>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</si>
  <si>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</si>
  <si>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</si>
  <si>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</si>
  <si>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</si>
  <si>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</si>
  <si>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</si>
  <si>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</si>
  <si>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</si>
  <si>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</si>
  <si>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</si>
  <si>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</si>
  <si>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</si>
  <si>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</si>
  <si>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</si>
  <si>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</si>
  <si>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</si>
  <si>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</si>
  <si>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</si>
  <si>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</si>
  <si>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</si>
  <si>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</si>
  <si>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</si>
  <si>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</si>
  <si>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</si>
  <si>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</si>
  <si>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</si>
  <si>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</si>
  <si>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</si>
  <si>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</si>
  <si>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</si>
  <si>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</si>
  <si>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</si>
  <si>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</si>
  <si>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</si>
  <si>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</si>
  <si>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</si>
  <si>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</si>
  <si>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</si>
  <si>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</si>
  <si>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</si>
  <si>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</si>
  <si>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</si>
  <si>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</si>
  <si>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</si>
  <si>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</si>
  <si>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</si>
  <si>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</si>
  <si>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</si>
  <si>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</si>
  <si>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</si>
  <si>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</si>
  <si>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</si>
  <si>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</si>
  <si>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</si>
  <si>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</si>
  <si>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</si>
  <si>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</si>
  <si>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</si>
  <si>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</si>
  <si>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</si>
  <si>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</si>
  <si>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</si>
  <si>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</si>
  <si>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</si>
  <si>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</si>
  <si>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</si>
  <si>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</si>
  <si>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</si>
  <si>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</si>
  <si>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</si>
  <si>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</si>
  <si>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</si>
  <si>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</si>
  <si>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</si>
  <si>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</si>
  <si>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</si>
  <si>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</si>
  <si>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</si>
  <si>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</si>
  <si>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</si>
  <si>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</si>
  <si>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</si>
  <si>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</si>
  <si>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</si>
  <si>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</si>
  <si>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</si>
  <si>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</si>
  <si>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</si>
  <si>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</si>
  <si>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</si>
  <si>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</si>
  <si>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</si>
  <si>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</si>
  <si>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</si>
  <si>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</si>
  <si>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</si>
  <si>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</si>
  <si>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</si>
  <si>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</si>
  <si>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</si>
  <si>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</si>
  <si>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</si>
  <si>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</si>
  <si>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</si>
  <si>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</si>
  <si>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</si>
  <si>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</si>
  <si>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</si>
  <si>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</si>
  <si>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</si>
  <si>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</si>
  <si>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</si>
  <si>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</si>
  <si>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</si>
  <si>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</si>
  <si>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</si>
  <si>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</si>
  <si>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</si>
  <si>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</si>
  <si>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</si>
  <si>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</si>
  <si>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</si>
  <si>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</si>
  <si>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</si>
  <si>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</si>
  <si>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</si>
  <si>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</si>
  <si>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</si>
  <si>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</si>
  <si>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</si>
  <si>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</si>
  <si>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</si>
  <si>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</si>
  <si>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</si>
  <si>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</si>
  <si>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</si>
  <si>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</si>
  <si>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</si>
  <si>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</si>
  <si>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</si>
  <si>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</si>
  <si>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</si>
  <si>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</si>
  <si>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</si>
  <si>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</si>
  <si>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</si>
  <si>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</si>
  <si>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</si>
  <si>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</si>
  <si>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</si>
  <si>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</si>
  <si>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</si>
  <si>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</si>
  <si>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</si>
  <si>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</si>
  <si>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</si>
  <si>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</si>
  <si>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</si>
  <si>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</si>
  <si>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</si>
  <si>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</si>
  <si>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</si>
  <si>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</si>
  <si>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</si>
  <si>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</si>
  <si>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</si>
  <si>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</si>
  <si>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</si>
  <si>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</si>
  <si>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</si>
  <si>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</si>
  <si>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</si>
  <si>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</si>
  <si>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</si>
  <si>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</si>
  <si>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</si>
  <si>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</si>
  <si>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</si>
  <si>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</si>
  <si>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</si>
  <si>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</si>
  <si>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</si>
  <si>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</si>
  <si>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</si>
  <si>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</si>
  <si>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</si>
  <si>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</si>
  <si>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</si>
  <si>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</si>
  <si>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</si>
  <si>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</si>
  <si>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</si>
  <si>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</si>
  <si>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</si>
  <si>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</si>
  <si>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</si>
  <si>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</si>
  <si>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</si>
  <si>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</si>
  <si>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</si>
  <si>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</si>
  <si>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</si>
  <si>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</si>
  <si>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</si>
  <si>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</si>
  <si>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</si>
  <si>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</si>
  <si>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</si>
  <si>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</si>
  <si>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</si>
  <si>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</si>
  <si>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</si>
  <si>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</si>
  <si>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</si>
  <si>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</si>
  <si>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</si>
  <si>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</si>
  <si>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</si>
  <si>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</si>
  <si>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</si>
  <si>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</si>
  <si>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</si>
  <si>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</si>
  <si>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</si>
  <si>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</si>
  <si>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</si>
  <si>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</si>
  <si>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</si>
  <si>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</si>
  <si>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</si>
  <si>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</si>
  <si>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</si>
  <si>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</si>
  <si>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</si>
  <si>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</si>
  <si>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</si>
  <si>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</si>
  <si>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</si>
  <si>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</si>
  <si>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</si>
  <si>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</si>
  <si>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</si>
  <si>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</si>
  <si>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</si>
  <si>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</si>
  <si>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</si>
  <si>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</si>
  <si>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</si>
  <si>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</si>
  <si>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</si>
  <si>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</si>
  <si>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</si>
  <si>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</si>
  <si>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</si>
  <si>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</si>
  <si>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</si>
  <si>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</si>
  <si>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</si>
  <si>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</si>
  <si>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</si>
  <si>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</si>
  <si>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</si>
  <si>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</si>
  <si>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</si>
  <si>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</si>
  <si>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</si>
  <si>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</si>
  <si>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</si>
  <si>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</si>
  <si>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</si>
  <si>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</si>
  <si>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</si>
  <si>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</si>
  <si>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</si>
  <si>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</si>
  <si>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</si>
  <si>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</si>
  <si>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</si>
  <si>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</si>
  <si>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</si>
  <si>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</si>
  <si>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</si>
  <si>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</si>
  <si>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</si>
  <si>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</si>
  <si>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</si>
  <si>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</si>
  <si>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</si>
  <si>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</si>
  <si>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</si>
  <si>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</si>
  <si>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</si>
  <si>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</si>
  <si>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</si>
  <si>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</si>
  <si>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</si>
  <si>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</si>
  <si>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</si>
  <si>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</si>
  <si>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</si>
  <si>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</si>
  <si>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</si>
  <si>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</si>
  <si>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</si>
  <si>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</si>
  <si>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</si>
  <si>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</si>
  <si>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</si>
  <si>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</si>
  <si>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</si>
  <si>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</si>
  <si>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</si>
  <si>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</si>
  <si>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</si>
  <si>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</si>
  <si>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</si>
  <si>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</si>
  <si>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</si>
  <si>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</si>
  <si>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</si>
  <si>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</si>
  <si>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</si>
  <si>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</si>
  <si>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</si>
  <si>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</si>
  <si>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</si>
  <si>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</si>
  <si>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</si>
  <si>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</si>
  <si>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</si>
  <si>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</si>
  <si>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</si>
  <si>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</si>
  <si>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</si>
  <si>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</si>
  <si>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</si>
  <si>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</si>
  <si>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</si>
  <si>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</si>
  <si>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</si>
  <si>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</si>
  <si>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</si>
  <si>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</si>
  <si>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</si>
  <si>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</si>
  <si>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</si>
  <si>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</si>
  <si>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</si>
  <si>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</si>
  <si>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</si>
  <si>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</si>
  <si>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</si>
  <si>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</si>
  <si>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</si>
  <si>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</si>
  <si>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</si>
  <si>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</si>
  <si>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</si>
  <si>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</si>
  <si>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</si>
  <si>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</si>
  <si>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</si>
  <si>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</si>
  <si>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</si>
  <si>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</si>
  <si>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</si>
  <si>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</si>
  <si>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</si>
  <si>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</si>
  <si>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</si>
  <si>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</si>
  <si>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</si>
  <si>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</si>
  <si>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</si>
  <si>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</si>
  <si>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</si>
  <si>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</si>
  <si>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</si>
  <si>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</si>
  <si>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</si>
  <si>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</si>
  <si>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</si>
  <si>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</si>
  <si>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</si>
  <si>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</si>
  <si>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</si>
  <si>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</si>
  <si>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</si>
  <si>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</si>
  <si>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</si>
  <si>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</si>
  <si>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</si>
  <si>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</si>
  <si>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</si>
  <si>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</si>
  <si>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</si>
  <si>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</si>
  <si>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</si>
  <si>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</si>
  <si>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</si>
  <si>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</si>
  <si>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</si>
  <si>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</si>
  <si>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</si>
  <si>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</si>
  <si>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</si>
  <si>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</si>
  <si>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</si>
  <si>
    <t>04/15/2026</t>
  </si>
  <si>
    <t>USC</t>
  </si>
  <si>
    <t>04/18/2026</t>
  </si>
  <si>
    <t>04/20/2026</t>
  </si>
  <si>
    <t>Wooden Award Winner</t>
  </si>
  <si>
    <t>Braden Huff</t>
  </si>
  <si>
    <t>07/01/2026</t>
  </si>
  <si>
    <t>Robert Wright</t>
  </si>
  <si>
    <t>08/22/2026</t>
  </si>
  <si>
    <t>08/23/2026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</si>
</sst>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C26"/>
          <cell r="D26"/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C27"/>
          <cell r="D27"/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C28"/>
          <cell r="D28"/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C29"/>
          <cell r="D29"/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C30"/>
          <cell r="D30"/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C31"/>
          <cell r="D31"/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C32"/>
          <cell r="D32"/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C33"/>
          <cell r="D33"/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C34"/>
          <cell r="D34"/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C35"/>
          <cell r="D35"/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C36"/>
          <cell r="D36"/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C37"/>
          <cell r="D37"/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C38"/>
          <cell r="D38"/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C39"/>
          <cell r="D39"/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C40"/>
          <cell r="D40"/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C41"/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C42"/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C43"/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C44"/>
          <cell r="D44"/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C45"/>
          <cell r="D45"/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C46"/>
          <cell r="D46"/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C47"/>
          <cell r="D47"/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C48"/>
          <cell r="D48"/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C49"/>
          <cell r="D49"/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C50"/>
          <cell r="D50"/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C51"/>
          <cell r="D51"/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C52"/>
          <cell r="D52"/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C53"/>
          <cell r="D53"/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C54"/>
          <cell r="D54"/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C55"/>
          <cell r="D55"/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C56"/>
          <cell r="D56"/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C57"/>
          <cell r="D57"/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C58"/>
          <cell r="D58"/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C59"/>
          <cell r="D59"/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C60"/>
          <cell r="D60"/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C61"/>
          <cell r="D61"/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C62"/>
          <cell r="D62"/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C63"/>
          <cell r="D63"/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C64"/>
          <cell r="D64"/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C65"/>
          <cell r="D65"/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C66"/>
          <cell r="D66"/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C67"/>
          <cell r="D67"/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C68"/>
          <cell r="D68"/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C69"/>
          <cell r="D69"/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C70"/>
          <cell r="D70"/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C71"/>
          <cell r="D71"/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C72"/>
          <cell r="D72"/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C73"/>
          <cell r="D73"/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C74"/>
          <cell r="D74"/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C75"/>
          <cell r="D75"/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C76"/>
          <cell r="D76"/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C77"/>
          <cell r="D77"/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C78"/>
          <cell r="D78"/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C79"/>
          <cell r="D79"/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C80"/>
          <cell r="D80"/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C81"/>
          <cell r="D81"/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C82"/>
          <cell r="D82"/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C83"/>
          <cell r="D83"/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C84"/>
          <cell r="D84"/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C85"/>
          <cell r="D85"/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C86"/>
          <cell r="D86"/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C87"/>
          <cell r="D87"/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C88"/>
          <cell r="D88"/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C89"/>
          <cell r="D89"/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C90"/>
          <cell r="D90"/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C91"/>
          <cell r="D91"/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C92"/>
          <cell r="D92"/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C93"/>
          <cell r="D93"/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C94"/>
          <cell r="D94"/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C95"/>
          <cell r="D95"/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C96"/>
          <cell r="D96"/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C97"/>
          <cell r="D97"/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C98"/>
          <cell r="D98"/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C99"/>
          <cell r="D99"/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C100"/>
          <cell r="D100"/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C101"/>
          <cell r="D101"/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C102"/>
          <cell r="D102"/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C103"/>
          <cell r="D103"/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C104"/>
          <cell r="D104"/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C105"/>
          <cell r="D105"/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C106"/>
          <cell r="D106"/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C107"/>
          <cell r="D107"/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C108"/>
          <cell r="D108"/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C109"/>
          <cell r="D109"/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C110"/>
          <cell r="D110"/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C111"/>
          <cell r="D111"/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C112"/>
          <cell r="D112"/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C113"/>
          <cell r="D113"/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C114"/>
          <cell r="D114"/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C115"/>
          <cell r="D115"/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C116"/>
          <cell r="D116"/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C117"/>
          <cell r="D117"/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C118"/>
          <cell r="D118"/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C119"/>
          <cell r="D119"/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C120"/>
          <cell r="D120"/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C121"/>
          <cell r="D121"/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C122"/>
          <cell r="D122"/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C123"/>
          <cell r="D123"/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C124"/>
          <cell r="D124"/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C125"/>
          <cell r="D125"/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C126"/>
          <cell r="D126"/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C127"/>
          <cell r="D127"/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C128"/>
          <cell r="D128"/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C129"/>
          <cell r="D129"/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C130"/>
          <cell r="D130"/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C131"/>
          <cell r="D131"/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C132"/>
          <cell r="D132"/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C133"/>
          <cell r="D133"/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C134"/>
          <cell r="D134"/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C135"/>
          <cell r="D135"/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C136"/>
          <cell r="D136"/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C137"/>
          <cell r="D137"/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C138"/>
          <cell r="D138"/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C139"/>
          <cell r="D139"/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C140"/>
          <cell r="D140"/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C141"/>
          <cell r="D141"/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C142"/>
          <cell r="D142"/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C143"/>
          <cell r="D143"/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C144"/>
          <cell r="D144"/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C145"/>
          <cell r="D145"/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C146"/>
          <cell r="D146"/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C147"/>
          <cell r="D147"/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C148"/>
          <cell r="D148"/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C149"/>
          <cell r="D149"/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C150"/>
          <cell r="D150"/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C151"/>
          <cell r="D151"/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C152"/>
          <cell r="D152"/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C153"/>
          <cell r="D153"/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C154"/>
          <cell r="D154"/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C155"/>
          <cell r="D155"/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C156"/>
          <cell r="D156"/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C157"/>
          <cell r="D157"/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C158"/>
          <cell r="D158"/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C159"/>
          <cell r="D159"/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C160"/>
          <cell r="D160"/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C161"/>
          <cell r="D161"/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C162"/>
          <cell r="D162"/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C163"/>
          <cell r="D163"/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C164"/>
          <cell r="D164"/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C165"/>
          <cell r="D165"/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C166"/>
          <cell r="D166"/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C167"/>
          <cell r="D167"/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C168"/>
          <cell r="D168"/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C169"/>
          <cell r="D169"/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C170"/>
          <cell r="D170"/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C171"/>
          <cell r="D171"/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C172"/>
          <cell r="D172"/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C173"/>
          <cell r="D173"/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C174"/>
          <cell r="D174"/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C175"/>
          <cell r="D175"/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C176"/>
          <cell r="D176"/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C177"/>
          <cell r="D177"/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  <row r="4"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</row>
        <row r="5">
          <cell r="D5"/>
          <cell r="E5"/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</row>
        <row r="6"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</row>
        <row r="7">
          <cell r="D7"/>
          <cell r="E7"/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</row>
        <row r="8"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</row>
        <row r="9"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  <cell r="O9"/>
          <cell r="P9"/>
          <cell r="Q9"/>
          <cell r="R9"/>
          <cell r="S9"/>
          <cell r="T9"/>
          <cell r="U9"/>
          <cell r="V9"/>
          <cell r="W9"/>
          <cell r="X9"/>
        </row>
        <row r="10">
          <cell r="D10"/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</row>
        <row r="11"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</row>
        <row r="12"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</row>
        <row r="13"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</row>
        <row r="14"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J2" sqref="J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1</v>
      </c>
      <c r="B2" s="6" t="str">
        <f>VLOOKUP(A2,[1]Games!$B$2:$K$398,2,FALSE)</f>
        <v>UConn</v>
      </c>
      <c r="C2" s="6" t="str">
        <f>VLOOKUP(A2,[1]Games!$B$2:$K$398,3,FALSE)</f>
        <v>Michigan</v>
      </c>
      <c r="D2" s="6" t="str">
        <f>B2</f>
        <v>UConn</v>
      </c>
      <c r="E2" s="5">
        <f>VLOOKUP(A2,[1]Games!$B$2:$K$398,4,FALSE)</f>
        <v>-3.9870333483830418</v>
      </c>
      <c r="F2" s="5">
        <f>-VLOOKUP(A2,[2]Games!$A$2:$X$282,24,FALSE)</f>
        <v>-7</v>
      </c>
      <c r="G2" s="7">
        <f>VLOOKUP(A2,[1]Games!$B$2:$K$398,9,FALSE)</f>
        <v>5.1676547655618021E-2</v>
      </c>
      <c r="H2" s="7">
        <f>VLOOKUP(A2,[1]Games!$B$2:$K$398,7,FALSE)</f>
        <v>0</v>
      </c>
      <c r="I2" s="7">
        <f>VLOOKUP(A2,[1]Games!$B$2:$K$398,8,FALSE)/4</f>
        <v>2.428068479710907E-2</v>
      </c>
      <c r="J2" s="8" t="s">
        <v>443</v>
      </c>
      <c r="K2" s="5"/>
      <c r="L2" s="9">
        <f>IF(J2="Yes",(H2*1500)/100,0)</f>
        <v>0</v>
      </c>
      <c r="M2" s="1" t="s">
        <v>443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8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449</v>
      </c>
      <c r="B17" s="1">
        <f t="shared" si="4"/>
        <v>12</v>
      </c>
      <c r="C17" s="1" t="s">
        <v>388</v>
      </c>
      <c r="D17" s="1" t="s">
        <v>450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451</v>
      </c>
      <c r="B18" s="1">
        <f t="shared" si="4"/>
        <v>13</v>
      </c>
      <c r="C18" s="1" t="s">
        <v>388</v>
      </c>
      <c r="D18" s="1" t="s">
        <v>454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451</v>
      </c>
      <c r="B19" s="1">
        <f t="shared" si="4"/>
        <v>14</v>
      </c>
      <c r="C19" s="1" t="s">
        <v>389</v>
      </c>
      <c r="D19" s="1" t="s">
        <v>455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451</v>
      </c>
      <c r="B20" s="1">
        <f t="shared" si="4"/>
        <v>15</v>
      </c>
      <c r="C20" s="1" t="s">
        <v>388</v>
      </c>
      <c r="D20" s="1" t="s">
        <v>453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451</v>
      </c>
      <c r="B21" s="1">
        <f t="shared" si="4"/>
        <v>16</v>
      </c>
      <c r="C21" s="1" t="s">
        <v>388</v>
      </c>
      <c r="D21" s="1" t="s">
        <v>452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456</v>
      </c>
      <c r="B22" s="1">
        <f t="shared" si="4"/>
        <v>17</v>
      </c>
      <c r="C22" s="1" t="s">
        <v>388</v>
      </c>
      <c r="D22" s="1" t="s">
        <v>457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456</v>
      </c>
      <c r="B23" s="1">
        <f t="shared" si="4"/>
        <v>18</v>
      </c>
      <c r="C23" s="1" t="s">
        <v>388</v>
      </c>
      <c r="D23" s="1" t="s">
        <v>457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456</v>
      </c>
      <c r="B24" s="1">
        <f t="shared" si="4"/>
        <v>19</v>
      </c>
      <c r="C24" s="1" t="s">
        <v>388</v>
      </c>
      <c r="D24" s="1" t="s">
        <v>458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459</v>
      </c>
      <c r="B25" s="1">
        <f t="shared" si="4"/>
        <v>20</v>
      </c>
      <c r="C25" s="1" t="s">
        <v>388</v>
      </c>
      <c r="D25" s="1" t="s">
        <v>460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459</v>
      </c>
      <c r="B26" s="1">
        <f t="shared" si="4"/>
        <v>21</v>
      </c>
      <c r="C26" s="1" t="s">
        <v>388</v>
      </c>
      <c r="D26" s="1" t="s">
        <v>461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462</v>
      </c>
      <c r="B27" s="1">
        <f t="shared" si="4"/>
        <v>22</v>
      </c>
      <c r="C27" s="1" t="s">
        <v>389</v>
      </c>
      <c r="D27" s="1" t="s">
        <v>463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415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462</v>
      </c>
      <c r="B28" s="1">
        <f t="shared" si="4"/>
        <v>23</v>
      </c>
      <c r="C28" s="1" t="s">
        <v>388</v>
      </c>
      <c r="D28" s="1" t="s">
        <v>464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415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20"/>
  <sheetViews>
    <sheetView tabSelected="1" workbookViewId="0">
      <selection activeCell="I13" sqref="I13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171</v>
      </c>
      <c r="G2" s="1" t="s">
        <v>446</v>
      </c>
      <c r="H2" s="11" t="s">
        <v>416</v>
      </c>
      <c r="I2" s="1" t="s">
        <v>466</v>
      </c>
      <c r="J2" s="1" t="s">
        <v>388</v>
      </c>
      <c r="K2" s="1">
        <v>7.5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446</v>
      </c>
      <c r="H3" s="11" t="s">
        <v>417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403</v>
      </c>
      <c r="G4" s="1" t="s">
        <v>446</v>
      </c>
      <c r="H4" s="11" t="s">
        <v>417</v>
      </c>
      <c r="I4" s="1" t="s">
        <v>466</v>
      </c>
      <c r="J4" s="1" t="s">
        <v>388</v>
      </c>
      <c r="K4" s="1">
        <v>7.5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446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444</v>
      </c>
      <c r="C6" s="1" t="s">
        <v>9</v>
      </c>
      <c r="D6" s="1">
        <v>816</v>
      </c>
      <c r="E6" s="1">
        <v>0.85</v>
      </c>
      <c r="F6" s="1">
        <v>468</v>
      </c>
      <c r="G6" s="1" t="s">
        <v>446</v>
      </c>
      <c r="H6" s="1" t="s">
        <v>469</v>
      </c>
      <c r="J6" s="1" t="s">
        <v>389</v>
      </c>
      <c r="K6" s="1">
        <f t="shared" si="0"/>
        <v>-0.85</v>
      </c>
    </row>
    <row r="7" spans="1:11" x14ac:dyDescent="0.2">
      <c r="A7" s="1" t="s">
        <v>415</v>
      </c>
      <c r="B7" s="1" t="s">
        <v>445</v>
      </c>
      <c r="C7" s="1" t="s">
        <v>10</v>
      </c>
      <c r="D7" s="1">
        <v>1725</v>
      </c>
      <c r="E7" s="1">
        <v>0.45</v>
      </c>
      <c r="F7" s="1">
        <v>265</v>
      </c>
      <c r="G7" s="1" t="s">
        <v>446</v>
      </c>
      <c r="H7" s="1" t="s">
        <v>469</v>
      </c>
      <c r="J7" s="1" t="s">
        <v>389</v>
      </c>
      <c r="K7" s="1">
        <f t="shared" si="0"/>
        <v>-0.45</v>
      </c>
    </row>
    <row r="8" spans="1:11" x14ac:dyDescent="0.2">
      <c r="A8" s="1" t="s">
        <v>415</v>
      </c>
      <c r="B8" s="1" t="s">
        <v>447</v>
      </c>
      <c r="C8" s="1" t="s">
        <v>23</v>
      </c>
      <c r="D8" s="1">
        <v>281</v>
      </c>
      <c r="E8" s="1">
        <v>0.65</v>
      </c>
      <c r="F8" s="1">
        <v>281</v>
      </c>
      <c r="G8" s="1" t="s">
        <v>446</v>
      </c>
      <c r="H8" s="1" t="s">
        <v>470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447</v>
      </c>
      <c r="C9" s="1" t="s">
        <v>10</v>
      </c>
      <c r="D9" s="1">
        <v>155</v>
      </c>
      <c r="E9" s="1">
        <v>1</v>
      </c>
      <c r="F9" s="1">
        <v>155</v>
      </c>
      <c r="G9" s="1" t="s">
        <v>446</v>
      </c>
      <c r="H9" s="1" t="s">
        <v>470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448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446</v>
      </c>
      <c r="H10" s="1" t="s">
        <v>470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447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446</v>
      </c>
      <c r="H11" s="1" t="s">
        <v>470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448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446</v>
      </c>
      <c r="H12" s="1" t="s">
        <v>470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415</v>
      </c>
      <c r="B13" s="1" t="s">
        <v>445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446</v>
      </c>
      <c r="H13" s="1" t="s">
        <v>469</v>
      </c>
      <c r="I13" s="1" t="s">
        <v>465</v>
      </c>
      <c r="J13" s="1" t="s">
        <v>388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467</v>
      </c>
      <c r="B14" s="1" t="s">
        <v>412</v>
      </c>
      <c r="C14" s="1" t="s">
        <v>25</v>
      </c>
      <c r="D14" s="1">
        <v>6000</v>
      </c>
      <c r="E14" s="1">
        <v>0.66666999999999998</v>
      </c>
      <c r="F14" s="1">
        <v>1600</v>
      </c>
      <c r="G14" s="1" t="s">
        <v>413</v>
      </c>
      <c r="H14" s="1" t="s">
        <v>468</v>
      </c>
    </row>
    <row r="15" spans="1:11" x14ac:dyDescent="0.2">
      <c r="A15" s="1" t="s">
        <v>467</v>
      </c>
      <c r="B15" s="1" t="s">
        <v>412</v>
      </c>
      <c r="C15" s="1" t="s">
        <v>472</v>
      </c>
      <c r="D15" s="1">
        <v>8000</v>
      </c>
      <c r="E15" s="1">
        <v>0.5</v>
      </c>
      <c r="F15" s="1">
        <v>5000</v>
      </c>
      <c r="G15" s="1" t="s">
        <v>413</v>
      </c>
      <c r="H15" s="1" t="s">
        <v>471</v>
      </c>
    </row>
    <row r="16" spans="1:11" x14ac:dyDescent="0.2">
      <c r="A16" s="1" t="s">
        <v>467</v>
      </c>
      <c r="B16" s="1" t="s">
        <v>412</v>
      </c>
      <c r="C16" s="1" t="s">
        <v>5</v>
      </c>
      <c r="D16" s="1">
        <v>3500</v>
      </c>
      <c r="E16" s="1">
        <v>1.143</v>
      </c>
      <c r="F16" s="1">
        <v>3500</v>
      </c>
      <c r="G16" s="1" t="s">
        <v>413</v>
      </c>
      <c r="H16" s="1" t="s">
        <v>473</v>
      </c>
    </row>
    <row r="17" spans="1:8" x14ac:dyDescent="0.2">
      <c r="A17" s="1" t="s">
        <v>467</v>
      </c>
      <c r="B17" s="1" t="s">
        <v>412</v>
      </c>
      <c r="C17" s="1" t="s">
        <v>12</v>
      </c>
      <c r="D17" s="1">
        <v>3000</v>
      </c>
      <c r="E17" s="1">
        <v>1.3340000000000001</v>
      </c>
      <c r="F17" s="1">
        <v>4000</v>
      </c>
      <c r="G17" s="1" t="s">
        <v>413</v>
      </c>
      <c r="H17" s="1" t="s">
        <v>474</v>
      </c>
    </row>
    <row r="18" spans="1:8" x14ac:dyDescent="0.2">
      <c r="A18" s="1" t="s">
        <v>467</v>
      </c>
      <c r="B18" s="1" t="s">
        <v>475</v>
      </c>
      <c r="C18" s="1" t="s">
        <v>476</v>
      </c>
      <c r="D18" s="1">
        <v>6000</v>
      </c>
      <c r="E18" s="1">
        <v>0.3</v>
      </c>
      <c r="F18" s="1">
        <v>6000</v>
      </c>
      <c r="G18" s="1" t="s">
        <v>413</v>
      </c>
      <c r="H18" s="1" t="s">
        <v>477</v>
      </c>
    </row>
    <row r="19" spans="1:8" x14ac:dyDescent="0.2">
      <c r="A19" s="1" t="s">
        <v>467</v>
      </c>
      <c r="B19" s="1" t="s">
        <v>475</v>
      </c>
      <c r="C19" s="1" t="s">
        <v>478</v>
      </c>
      <c r="D19" s="1">
        <v>5000</v>
      </c>
      <c r="E19" s="1">
        <v>0.8</v>
      </c>
      <c r="F19" s="1">
        <v>5000</v>
      </c>
      <c r="G19" s="1" t="s">
        <v>413</v>
      </c>
      <c r="H19" s="1" t="s">
        <v>479</v>
      </c>
    </row>
    <row r="20" spans="1:8" x14ac:dyDescent="0.2">
      <c r="A20" s="1" t="s">
        <v>467</v>
      </c>
      <c r="B20" s="1" t="s">
        <v>412</v>
      </c>
      <c r="C20" s="1" t="s">
        <v>15</v>
      </c>
      <c r="D20" s="1">
        <v>6500</v>
      </c>
      <c r="E20" s="1">
        <v>0.8</v>
      </c>
      <c r="F20" s="1">
        <v>6500</v>
      </c>
      <c r="G20" s="1" t="s">
        <v>413</v>
      </c>
      <c r="H20" s="1" t="s">
        <v>480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2" sqref="C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383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382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385</v>
      </c>
      <c r="I4">
        <v>3</v>
      </c>
      <c r="J4">
        <v>18.836157720404749</v>
      </c>
    </row>
    <row r="5" spans="1:10" x14ac:dyDescent="0.2">
      <c r="A5" t="s">
        <v>386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384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382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382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383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383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384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385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384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385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382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383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383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383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382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385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382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384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382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384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383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382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384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385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384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385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383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383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382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382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384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2026-08-23T15:42:54Z</dcterms:modified>
</cp:coreProperties>
</file>