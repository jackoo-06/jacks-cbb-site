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D37BB91C-3606-1347-8863-5D322282D70A}" xr6:coauthVersionLast="47" xr6:coauthVersionMax="47" xr10:uidLastSave="{00000000-0000-0000-0000-000000000000}"/>
  <bookViews>
    <workbookView xWindow="0" yWindow="780" windowWidth="27580" windowHeight="2000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4" l="1"/>
  <c r="H16" i="4" s="1"/>
  <c r="O15" i="4"/>
  <c r="O14" i="4"/>
  <c r="F2" i="4"/>
  <c r="E2" i="4"/>
  <c r="L16" i="4"/>
  <c r="L15" i="4"/>
  <c r="L14" i="4"/>
  <c r="H15" i="4"/>
  <c r="F14" i="4"/>
  <c r="G14" i="4" s="1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G15" i="4"/>
  <c r="G16" i="4" s="1"/>
  <c r="O13" i="4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E2" i="1" l="1"/>
  <c r="I2" i="1" l="1"/>
  <c r="G2" i="1"/>
  <c r="H2" i="1" l="1"/>
  <c r="K2" i="1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C41" i="2" s="1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359" i="2" l="1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</calcChain>
</file>

<file path=xl/sharedStrings.xml><?xml version="1.0" encoding="utf-8"?>
<sst xmlns="http://schemas.openxmlformats.org/spreadsheetml/2006/main" count="615" uniqueCount="443">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</sst>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Yale</v>
          </cell>
          <cell r="D2" t="str">
            <v>Cornell</v>
          </cell>
          <cell r="E2">
            <v>8.2271040788216538</v>
          </cell>
          <cell r="F2" t="b">
            <v>0</v>
          </cell>
          <cell r="G2">
            <v>0.60256507226833311</v>
          </cell>
          <cell r="H2">
            <v>0</v>
          </cell>
          <cell r="I2">
            <v>0.15035150160318139</v>
          </cell>
          <cell r="J2">
            <v>0.49844464881551681</v>
          </cell>
          <cell r="K2">
            <v>0</v>
          </cell>
        </row>
        <row r="3">
          <cell r="B3">
            <v>2</v>
          </cell>
          <cell r="C3" t="str">
            <v>Harvard</v>
          </cell>
          <cell r="D3" t="str">
            <v>Pennsylvania</v>
          </cell>
          <cell r="E3">
            <v>2.961478523894181</v>
          </cell>
          <cell r="F3" t="b">
            <v>0</v>
          </cell>
          <cell r="G3">
            <v>0.51342490186336831</v>
          </cell>
          <cell r="H3">
            <v>0</v>
          </cell>
          <cell r="I3">
            <v>-1.9825187351751369E-2</v>
          </cell>
          <cell r="J3">
            <v>6.3007749103253186E-2</v>
          </cell>
          <cell r="K3">
            <v>0</v>
          </cell>
        </row>
        <row r="4">
          <cell r="B4">
            <v>3</v>
          </cell>
          <cell r="C4" t="str">
            <v>Saint Louis</v>
          </cell>
          <cell r="D4" t="str">
            <v>Dayton</v>
          </cell>
          <cell r="E4">
            <v>9.3411469109932579</v>
          </cell>
          <cell r="F4" t="b">
            <v>0</v>
          </cell>
          <cell r="G4">
            <v>0.58204384670284737</v>
          </cell>
          <cell r="H4">
            <v>0</v>
          </cell>
          <cell r="I4">
            <v>0.11117461643270871</v>
          </cell>
          <cell r="J4">
            <v>0.48436634190385669</v>
          </cell>
          <cell r="K4">
            <v>0</v>
          </cell>
        </row>
        <row r="5">
          <cell r="B5">
            <v>4</v>
          </cell>
          <cell r="C5" t="str">
            <v>VCU</v>
          </cell>
          <cell r="D5" t="str">
            <v>St. Joseph's</v>
          </cell>
          <cell r="E5">
            <v>12.835404558957849</v>
          </cell>
          <cell r="F5" t="b">
            <v>1</v>
          </cell>
          <cell r="G5">
            <v>0.64391384734326496</v>
          </cell>
          <cell r="H5">
            <v>7.0887631768342563E-2</v>
          </cell>
          <cell r="I5">
            <v>0.2292900722007786</v>
          </cell>
          <cell r="J5">
            <v>0.70074839245243137</v>
          </cell>
          <cell r="K5">
            <v>1.3837265721180469</v>
          </cell>
        </row>
        <row r="6">
          <cell r="B6">
            <v>5</v>
          </cell>
          <cell r="C6" t="str">
            <v>Michigan</v>
          </cell>
          <cell r="D6" t="str">
            <v>Wisconsin</v>
          </cell>
          <cell r="E6">
            <v>12.51961170652187</v>
          </cell>
          <cell r="F6" t="b">
            <v>0</v>
          </cell>
          <cell r="G6">
            <v>0.50048899606020381</v>
          </cell>
          <cell r="H6">
            <v>0</v>
          </cell>
          <cell r="I6">
            <v>-4.4521007521429068E-2</v>
          </cell>
          <cell r="J6">
            <v>0.39678660765623852</v>
          </cell>
          <cell r="K6">
            <v>0</v>
          </cell>
        </row>
        <row r="7">
          <cell r="B7">
            <v>6</v>
          </cell>
          <cell r="C7" t="str">
            <v>UCLA</v>
          </cell>
          <cell r="D7" t="str">
            <v>Purdue</v>
          </cell>
          <cell r="E7">
            <v>-3.9259228215636108</v>
          </cell>
          <cell r="F7" t="b">
            <v>0</v>
          </cell>
          <cell r="G7">
            <v>0.57617974290883289</v>
          </cell>
          <cell r="H7">
            <v>0</v>
          </cell>
          <cell r="I7">
            <v>9.9979509189590088E-2</v>
          </cell>
          <cell r="J7">
            <v>5.7283370350142193E-2</v>
          </cell>
          <cell r="K7">
            <v>0</v>
          </cell>
        </row>
        <row r="8">
          <cell r="B8">
            <v>7</v>
          </cell>
          <cell r="C8" t="str">
            <v>Florida</v>
          </cell>
          <cell r="D8" t="str">
            <v>Vanderbilt</v>
          </cell>
          <cell r="E8">
            <v>11.0067020170322</v>
          </cell>
          <cell r="F8" t="b">
            <v>0</v>
          </cell>
          <cell r="G8">
            <v>0.56163996807448291</v>
          </cell>
          <cell r="H8">
            <v>0</v>
          </cell>
          <cell r="I8">
            <v>7.2221757233103756E-2</v>
          </cell>
          <cell r="J8">
            <v>0.48746067765619711</v>
          </cell>
          <cell r="K8">
            <v>0</v>
          </cell>
        </row>
        <row r="9">
          <cell r="B9">
            <v>8</v>
          </cell>
          <cell r="C9" t="str">
            <v>Arkansas</v>
          </cell>
          <cell r="D9" t="str">
            <v>Ole Miss</v>
          </cell>
          <cell r="E9">
            <v>14.94229486295097</v>
          </cell>
          <cell r="F9" t="b">
            <v>1</v>
          </cell>
          <cell r="G9">
            <v>0.62509239360555147</v>
          </cell>
          <cell r="H9">
            <v>5.5077610628663218E-2</v>
          </cell>
          <cell r="I9">
            <v>0.1933582059742347</v>
          </cell>
          <cell r="J9">
            <v>0.70816933596251053</v>
          </cell>
          <cell r="K9">
            <v>1.0751149594715061</v>
          </cell>
        </row>
        <row r="10">
          <cell r="B10">
            <v>9</v>
          </cell>
          <cell r="C10" t="str">
            <v>South Florida</v>
          </cell>
          <cell r="D10" t="str">
            <v>Charlotte</v>
          </cell>
          <cell r="E10">
            <v>17.50404352562019</v>
          </cell>
          <cell r="F10" t="b">
            <v>0</v>
          </cell>
          <cell r="G10">
            <v>0.57649094454931049</v>
          </cell>
          <cell r="H10">
            <v>0</v>
          </cell>
          <cell r="I10">
            <v>0.1005736214123201</v>
          </cell>
          <cell r="J10">
            <v>0.67424608547320775</v>
          </cell>
          <cell r="K10">
            <v>0</v>
          </cell>
        </row>
        <row r="11">
          <cell r="B11">
            <v>10</v>
          </cell>
          <cell r="C11" t="str">
            <v>Wichita State</v>
          </cell>
          <cell r="D11" t="str">
            <v>Tulsa</v>
          </cell>
          <cell r="E11">
            <v>4.1964141694763084</v>
          </cell>
          <cell r="F11" t="b">
            <v>0</v>
          </cell>
          <cell r="G11">
            <v>0.57917206917394892</v>
          </cell>
          <cell r="H11">
            <v>0</v>
          </cell>
          <cell r="I11">
            <v>0.1056921320593571</v>
          </cell>
          <cell r="J11">
            <v>0.32236736296520252</v>
          </cell>
          <cell r="K11">
            <v>0</v>
          </cell>
        </row>
        <row r="12">
          <cell r="B12">
            <v>11</v>
          </cell>
          <cell r="C12" t="str">
            <v>Arizona</v>
          </cell>
          <cell r="D12" t="str">
            <v>Houston</v>
          </cell>
          <cell r="E12">
            <v>7.0332145568128528</v>
          </cell>
          <cell r="F12" t="b">
            <v>0</v>
          </cell>
          <cell r="G12">
            <v>0.61080498655456927</v>
          </cell>
          <cell r="H12">
            <v>0</v>
          </cell>
          <cell r="I12">
            <v>0.16608224705872321</v>
          </cell>
          <cell r="J12">
            <v>0.48184382503491208</v>
          </cell>
          <cell r="K12">
            <v>0</v>
          </cell>
        </row>
        <row r="13">
          <cell r="B13">
            <v>12</v>
          </cell>
          <cell r="C13" t="str">
            <v>Utah State</v>
          </cell>
          <cell r="D13" t="str">
            <v>San Diego State</v>
          </cell>
          <cell r="E13">
            <v>3.1538916921290459</v>
          </cell>
          <cell r="F13" t="b">
            <v>0</v>
          </cell>
          <cell r="G13">
            <v>0.54116463738385856</v>
          </cell>
          <cell r="H13">
            <v>0</v>
          </cell>
          <cell r="I13">
            <v>3.3132489551002731E-2</v>
          </cell>
          <cell r="J13">
            <v>0.1993819148790523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Uconn</v>
          </cell>
          <cell r="E14">
            <v>-1.515431139992099</v>
          </cell>
          <cell r="F14" t="b">
            <v>0</v>
          </cell>
          <cell r="G14">
            <v>0.52453364987669271</v>
          </cell>
          <cell r="H14">
            <v>0</v>
          </cell>
          <cell r="I14">
            <v>1.38242249186793E-3</v>
          </cell>
          <cell r="J14">
            <v>1.005967045949635E-2</v>
          </cell>
          <cell r="K14">
            <v>0</v>
          </cell>
        </row>
        <row r="15">
          <cell r="B15">
            <v>14</v>
          </cell>
          <cell r="C15" t="str">
            <v>Akron</v>
          </cell>
          <cell r="D15" t="str">
            <v>Toledo</v>
          </cell>
          <cell r="E15">
            <v>9.5075656347777979</v>
          </cell>
          <cell r="F15" t="b">
            <v>0</v>
          </cell>
          <cell r="G15">
            <v>0.56226836189641416</v>
          </cell>
          <cell r="H15">
            <v>0</v>
          </cell>
          <cell r="I15">
            <v>7.3421418165881658E-2</v>
          </cell>
          <cell r="J15">
            <v>0.44500813920524279</v>
          </cell>
          <cell r="K15">
            <v>0</v>
          </cell>
        </row>
        <row r="16">
          <cell r="B16">
            <v>15</v>
          </cell>
          <cell r="C16" t="str">
            <v>Duke</v>
          </cell>
          <cell r="D16" t="str">
            <v>Virginia</v>
          </cell>
          <cell r="E16">
            <v>15.61990006839136</v>
          </cell>
          <cell r="F16" t="b">
            <v>1</v>
          </cell>
          <cell r="G16">
            <v>0.64374327682518317</v>
          </cell>
          <cell r="H16">
            <v>7.0744352533153906E-2</v>
          </cell>
          <cell r="I16">
            <v>0.22896443757534979</v>
          </cell>
          <cell r="J16">
            <v>0.75149652484483553</v>
          </cell>
          <cell r="K16">
            <v>1.3809297614471643</v>
          </cell>
        </row>
        <row r="17">
          <cell r="B17">
            <v>16</v>
          </cell>
          <cell r="C17" t="str">
            <v>Louisiana Tech</v>
          </cell>
          <cell r="D17" t="str">
            <v>Kennesaw State</v>
          </cell>
          <cell r="E17">
            <v>-0.79114588219662485</v>
          </cell>
          <cell r="F17" t="b">
            <v>0</v>
          </cell>
          <cell r="G17">
            <v>0.51766871220593658</v>
          </cell>
          <cell r="H17">
            <v>0</v>
          </cell>
          <cell r="I17">
            <v>-1.172336760684833E-2</v>
          </cell>
          <cell r="J17">
            <v>1.6879666989596531E-2</v>
          </cell>
          <cell r="K17">
            <v>0</v>
          </cell>
        </row>
        <row r="18">
          <cell r="B18">
            <v>17</v>
          </cell>
          <cell r="C18" t="str">
            <v>UC Irvine</v>
          </cell>
          <cell r="D18" t="str">
            <v>Hawaii</v>
          </cell>
          <cell r="E18">
            <v>6.0960755683915622</v>
          </cell>
          <cell r="F18" t="b">
            <v>0</v>
          </cell>
          <cell r="G18">
            <v>0.60102640481430814</v>
          </cell>
          <cell r="H18">
            <v>0</v>
          </cell>
          <cell r="I18">
            <v>0.14741404555458831</v>
          </cell>
          <cell r="J18">
            <v>0.43128673144021629</v>
          </cell>
          <cell r="K18">
            <v>0</v>
          </cell>
        </row>
        <row r="19">
          <cell r="B19">
            <v>18</v>
          </cell>
          <cell r="C19" t="str">
            <v>Utah Valley</v>
          </cell>
          <cell r="D19" t="str">
            <v>California Baptist</v>
          </cell>
          <cell r="E19">
            <v>5.5346483958487838</v>
          </cell>
          <cell r="F19" t="b">
            <v>0</v>
          </cell>
          <cell r="G19">
            <v>0.5629353093650703</v>
          </cell>
          <cell r="H19">
            <v>0</v>
          </cell>
          <cell r="I19">
            <v>7.4694681515134254E-2</v>
          </cell>
          <cell r="J19">
            <v>0.32575964482749847</v>
          </cell>
          <cell r="K19">
            <v>0</v>
          </cell>
        </row>
        <row r="20">
          <cell r="B20">
            <v>19</v>
          </cell>
          <cell r="C20" t="str">
            <v>UMBC</v>
          </cell>
          <cell r="D20" t="str">
            <v>Vermont</v>
          </cell>
          <cell r="E20">
            <v>6.2217835352010118</v>
          </cell>
          <cell r="F20" t="b">
            <v>0</v>
          </cell>
          <cell r="G20">
            <v>0.56753876375677981</v>
          </cell>
          <cell r="H20">
            <v>0</v>
          </cell>
          <cell r="I20">
            <v>8.3483094444761541E-2</v>
          </cell>
          <cell r="J20">
            <v>0.35772478840372829</v>
          </cell>
          <cell r="K20">
            <v>0</v>
          </cell>
        </row>
        <row r="21">
          <cell r="B21">
            <v>20</v>
          </cell>
          <cell r="C21" t="str">
            <v>Howard</v>
          </cell>
          <cell r="D21" t="str">
            <v>North Carolina Central</v>
          </cell>
          <cell r="E21">
            <v>13.492808833862689</v>
          </cell>
          <cell r="F21" t="b">
            <v>0</v>
          </cell>
          <cell r="G21">
            <v>0.51228569994753381</v>
          </cell>
          <cell r="H21">
            <v>0</v>
          </cell>
          <cell r="I21">
            <v>-2.2000027372889971E-2</v>
          </cell>
          <cell r="J21">
            <v>0.45221204533097692</v>
          </cell>
          <cell r="K21">
            <v>0</v>
          </cell>
        </row>
        <row r="22">
          <cell r="B22">
            <v>21</v>
          </cell>
          <cell r="C22" t="str">
            <v>Southern</v>
          </cell>
          <cell r="D22" t="str">
            <v>Prairie View A&amp;M</v>
          </cell>
          <cell r="E22">
            <v>6.6674465995330454</v>
          </cell>
          <cell r="F22" t="b">
            <v>0</v>
          </cell>
          <cell r="G22">
            <v>0.59064925298436843</v>
          </cell>
          <cell r="H22">
            <v>0</v>
          </cell>
          <cell r="I22">
            <v>0.12760311933379431</v>
          </cell>
          <cell r="J22">
            <v>0.4245720996618681</v>
          </cell>
          <cell r="K22">
            <v>0</v>
          </cell>
        </row>
        <row r="23">
          <cell r="B23">
            <v>22</v>
          </cell>
          <cell r="C23" t="str">
            <v>Cornell</v>
          </cell>
          <cell r="D23" t="str">
            <v>Yale</v>
          </cell>
          <cell r="E23">
            <v>-2.7163891802401952</v>
          </cell>
          <cell r="F23" t="b">
            <v>0</v>
          </cell>
          <cell r="G23">
            <v>0.53197111535366171</v>
          </cell>
          <cell r="H23">
            <v>0</v>
          </cell>
          <cell r="I23">
            <v>1.5581220220626911E-2</v>
          </cell>
          <cell r="J23">
            <v>1.068584300634245E-2</v>
          </cell>
          <cell r="K23">
            <v>0</v>
          </cell>
        </row>
        <row r="24">
          <cell r="B24">
            <v>23</v>
          </cell>
          <cell r="C24" t="str">
            <v>Pennsylvania</v>
          </cell>
          <cell r="D24" t="str">
            <v>Harvard</v>
          </cell>
          <cell r="E24">
            <v>2.236546994210157</v>
          </cell>
          <cell r="F24" t="b">
            <v>1</v>
          </cell>
          <cell r="G24">
            <v>0.64002820580468123</v>
          </cell>
          <cell r="H24">
            <v>6.7623692875932173E-2</v>
          </cell>
          <cell r="I24">
            <v>0.2218720292634824</v>
          </cell>
          <cell r="J24">
            <v>0.40688974186433241</v>
          </cell>
          <cell r="K24">
            <v>1.3200144849381958</v>
          </cell>
        </row>
        <row r="25">
          <cell r="B25">
            <v>24</v>
          </cell>
          <cell r="C25" t="str">
            <v>Dayton</v>
          </cell>
          <cell r="D25" t="str">
            <v>Saint Louis</v>
          </cell>
          <cell r="E25">
            <v>-3.4364666039217679</v>
          </cell>
          <cell r="F25" t="b">
            <v>0</v>
          </cell>
          <cell r="G25">
            <v>0.56364644216181237</v>
          </cell>
          <cell r="H25">
            <v>0</v>
          </cell>
          <cell r="I25">
            <v>7.6052298672550922E-2</v>
          </cell>
          <cell r="J25">
            <v>4.255206921151955E-2</v>
          </cell>
          <cell r="K25">
            <v>0</v>
          </cell>
        </row>
        <row r="26">
          <cell r="B26">
            <v>25</v>
          </cell>
          <cell r="C26" t="str">
            <v>St. Joseph's</v>
          </cell>
          <cell r="D26" t="str">
            <v>VCU</v>
          </cell>
          <cell r="E26">
            <v>-7.8122263016644933</v>
          </cell>
          <cell r="F26" t="b">
            <v>0</v>
          </cell>
          <cell r="G26">
            <v>0.54508942833671536</v>
          </cell>
          <cell r="H26">
            <v>0</v>
          </cell>
          <cell r="I26">
            <v>4.0625272279183937E-2</v>
          </cell>
          <cell r="J26">
            <v>0.35468806184106177</v>
          </cell>
          <cell r="K26">
            <v>0</v>
          </cell>
        </row>
        <row r="27">
          <cell r="B27">
            <v>26</v>
          </cell>
          <cell r="C27" t="str">
            <v>Wisconsin</v>
          </cell>
          <cell r="D27" t="str">
            <v>Michigan</v>
          </cell>
          <cell r="E27">
            <v>-8.575647555667361</v>
          </cell>
          <cell r="F27" t="b">
            <v>0</v>
          </cell>
          <cell r="G27">
            <v>0.59687709552205825</v>
          </cell>
          <cell r="H27">
            <v>0</v>
          </cell>
          <cell r="I27">
            <v>0.13949263690574759</v>
          </cell>
          <cell r="J27">
            <v>4.1369473563244268E-2</v>
          </cell>
          <cell r="K27">
            <v>0</v>
          </cell>
        </row>
        <row r="28">
          <cell r="B28">
            <v>27</v>
          </cell>
          <cell r="C28" t="str">
            <v>Purdue</v>
          </cell>
          <cell r="D28" t="str">
            <v>UCLA</v>
          </cell>
          <cell r="E28">
            <v>8.679598044426573</v>
          </cell>
          <cell r="F28" t="b">
            <v>0</v>
          </cell>
          <cell r="G28">
            <v>0.54180212840551689</v>
          </cell>
          <cell r="H28">
            <v>0</v>
          </cell>
          <cell r="I28">
            <v>3.4349517865077728E-2</v>
          </cell>
          <cell r="J28">
            <v>0.37373806481233229</v>
          </cell>
          <cell r="K28">
            <v>0</v>
          </cell>
        </row>
        <row r="29">
          <cell r="B29">
            <v>28</v>
          </cell>
          <cell r="C29" t="str">
            <v>Vanderbilt</v>
          </cell>
          <cell r="D29" t="str">
            <v>Florida</v>
          </cell>
          <cell r="E29">
            <v>-5.8440442555042678</v>
          </cell>
          <cell r="F29" t="b">
            <v>0</v>
          </cell>
          <cell r="G29">
            <v>0.56592043655089019</v>
          </cell>
          <cell r="H29">
            <v>0</v>
          </cell>
          <cell r="I29">
            <v>8.0393560688063137E-2</v>
          </cell>
          <cell r="J29">
            <v>2.929020347228295E-2</v>
          </cell>
          <cell r="K29">
            <v>0</v>
          </cell>
        </row>
        <row r="30">
          <cell r="B30">
            <v>29</v>
          </cell>
          <cell r="C30" t="str">
            <v>Ole Miss</v>
          </cell>
          <cell r="D30" t="str">
            <v>Arkansas</v>
          </cell>
          <cell r="E30">
            <v>-11.16172603118642</v>
          </cell>
          <cell r="F30" t="b">
            <v>0</v>
          </cell>
          <cell r="G30">
            <v>0.55359578591625669</v>
          </cell>
          <cell r="H30">
            <v>0</v>
          </cell>
          <cell r="I30">
            <v>5.686468220376284E-2</v>
          </cell>
          <cell r="J30">
            <v>0.4744028483255055</v>
          </cell>
          <cell r="K30">
            <v>0</v>
          </cell>
        </row>
        <row r="31">
          <cell r="B31">
            <v>30</v>
          </cell>
          <cell r="C31" t="str">
            <v>Charlotte</v>
          </cell>
          <cell r="D31" t="str">
            <v>South Florida</v>
          </cell>
          <cell r="E31">
            <v>-12.427990110393131</v>
          </cell>
          <cell r="F31" t="b">
            <v>0</v>
          </cell>
          <cell r="G31">
            <v>0.53913335528575357</v>
          </cell>
          <cell r="H31">
            <v>0</v>
          </cell>
          <cell r="I31">
            <v>2.9254587363711389E-2</v>
          </cell>
          <cell r="J31">
            <v>0.30293008568898611</v>
          </cell>
          <cell r="K31">
            <v>0</v>
          </cell>
        </row>
        <row r="32">
          <cell r="B32">
            <v>31</v>
          </cell>
          <cell r="C32" t="str">
            <v>Tulsa</v>
          </cell>
          <cell r="D32" t="str">
            <v>Wichita State</v>
          </cell>
          <cell r="E32">
            <v>7.2402165394191087E-2</v>
          </cell>
          <cell r="F32" t="b">
            <v>0</v>
          </cell>
          <cell r="G32">
            <v>0.52671915345776943</v>
          </cell>
          <cell r="H32">
            <v>0</v>
          </cell>
          <cell r="I32">
            <v>5.5547475102871169E-3</v>
          </cell>
          <cell r="J32">
            <v>6.630276228573867E-2</v>
          </cell>
          <cell r="K32">
            <v>0</v>
          </cell>
        </row>
        <row r="33">
          <cell r="B33">
            <v>32</v>
          </cell>
          <cell r="C33" t="str">
            <v>Houston</v>
          </cell>
          <cell r="D33" t="str">
            <v>Arizona</v>
          </cell>
          <cell r="E33">
            <v>-1.7351658207897509</v>
          </cell>
          <cell r="F33" t="b">
            <v>0</v>
          </cell>
          <cell r="G33">
            <v>0.51906303296871892</v>
          </cell>
          <cell r="H33">
            <v>0</v>
          </cell>
          <cell r="I33">
            <v>-9.0614825142638633E-3</v>
          </cell>
          <cell r="J33">
            <v>1.011447741049815E-2</v>
          </cell>
          <cell r="K33">
            <v>0</v>
          </cell>
        </row>
        <row r="34">
          <cell r="B34">
            <v>33</v>
          </cell>
          <cell r="C34" t="str">
            <v>San Diego State</v>
          </cell>
          <cell r="D34" t="str">
            <v>Utah State</v>
          </cell>
          <cell r="E34">
            <v>-1.3962346637617311</v>
          </cell>
          <cell r="F34" t="b">
            <v>0</v>
          </cell>
          <cell r="G34">
            <v>0.50258725560511397</v>
          </cell>
          <cell r="H34">
            <v>0</v>
          </cell>
          <cell r="I34">
            <v>-4.0515239299327821E-2</v>
          </cell>
          <cell r="J34">
            <v>3.8670011336470737E-2</v>
          </cell>
          <cell r="K34">
            <v>0</v>
          </cell>
        </row>
        <row r="35">
          <cell r="B35">
            <v>34</v>
          </cell>
          <cell r="C35" t="str">
            <v>Uconn</v>
          </cell>
          <cell r="D35" t="str">
            <v>St. John's</v>
          </cell>
          <cell r="E35">
            <v>5.7614705934243204</v>
          </cell>
          <cell r="F35" t="b">
            <v>0</v>
          </cell>
          <cell r="G35">
            <v>0.58076148035619835</v>
          </cell>
          <cell r="H35">
            <v>0</v>
          </cell>
          <cell r="I35">
            <v>0.1087264624981968</v>
          </cell>
          <cell r="J35">
            <v>0.3743383054479183</v>
          </cell>
          <cell r="K35">
            <v>0</v>
          </cell>
        </row>
        <row r="36">
          <cell r="B36">
            <v>35</v>
          </cell>
          <cell r="C36" t="str">
            <v>Toledo</v>
          </cell>
          <cell r="D36" t="str">
            <v>Akron</v>
          </cell>
          <cell r="E36">
            <v>-4.4333538438309539</v>
          </cell>
          <cell r="F36" t="b">
            <v>0</v>
          </cell>
          <cell r="G36">
            <v>0.56372306436512742</v>
          </cell>
          <cell r="H36">
            <v>0</v>
          </cell>
          <cell r="I36">
            <v>7.6198577424334224E-2</v>
          </cell>
          <cell r="J36">
            <v>1.070943588982121E-2</v>
          </cell>
          <cell r="K36">
            <v>0</v>
          </cell>
        </row>
        <row r="37">
          <cell r="B37">
            <v>36</v>
          </cell>
          <cell r="C37" t="str">
            <v>Virginia</v>
          </cell>
          <cell r="D37" t="str">
            <v>Duke</v>
          </cell>
          <cell r="E37">
            <v>-10.501859832677949</v>
          </cell>
          <cell r="F37" t="b">
            <v>0</v>
          </cell>
          <cell r="G37">
            <v>0.54978423648731911</v>
          </cell>
          <cell r="H37">
            <v>0</v>
          </cell>
          <cell r="I37">
            <v>4.9588087839427419E-2</v>
          </cell>
          <cell r="J37">
            <v>0.44664110009074121</v>
          </cell>
          <cell r="K37">
            <v>0</v>
          </cell>
        </row>
        <row r="38">
          <cell r="B38">
            <v>37</v>
          </cell>
          <cell r="C38" t="str">
            <v>Kennesaw State</v>
          </cell>
          <cell r="D38" t="str">
            <v>Louisiana Tech</v>
          </cell>
          <cell r="E38">
            <v>6.2621855083836948</v>
          </cell>
          <cell r="F38" t="b">
            <v>1</v>
          </cell>
          <cell r="G38">
            <v>0.61682897197272468</v>
          </cell>
          <cell r="H38">
            <v>4.8136336457088799E-2</v>
          </cell>
          <cell r="I38">
            <v>0.17758258285701989</v>
          </cell>
          <cell r="J38">
            <v>0.47249844996534662</v>
          </cell>
          <cell r="K38">
            <v>0.93962128764237329</v>
          </cell>
        </row>
        <row r="39">
          <cell r="B39">
            <v>38</v>
          </cell>
          <cell r="C39" t="str">
            <v>Hawaii</v>
          </cell>
          <cell r="D39" t="str">
            <v>UC Irvine</v>
          </cell>
          <cell r="E39">
            <v>-2.2082907356595198</v>
          </cell>
          <cell r="F39" t="b">
            <v>0</v>
          </cell>
          <cell r="G39">
            <v>0.50519335212785865</v>
          </cell>
          <cell r="H39">
            <v>0</v>
          </cell>
          <cell r="I39">
            <v>-3.5539964119542522E-2</v>
          </cell>
          <cell r="J39">
            <v>8.3347094878473249E-2</v>
          </cell>
          <cell r="K39">
            <v>0</v>
          </cell>
        </row>
        <row r="40">
          <cell r="B40">
            <v>39</v>
          </cell>
          <cell r="C40" t="str">
            <v>California Baptist</v>
          </cell>
          <cell r="D40" t="str">
            <v>Utah Valley</v>
          </cell>
          <cell r="E40">
            <v>-2.3800855006867478</v>
          </cell>
          <cell r="F40" t="b">
            <v>0</v>
          </cell>
          <cell r="G40">
            <v>0.51545301519246445</v>
          </cell>
          <cell r="H40">
            <v>0</v>
          </cell>
          <cell r="I40">
            <v>-1.5953334632567821E-2</v>
          </cell>
          <cell r="J40">
            <v>3.9482339377063413E-2</v>
          </cell>
          <cell r="K40">
            <v>0</v>
          </cell>
        </row>
        <row r="41">
          <cell r="B41">
            <v>40</v>
          </cell>
          <cell r="C41" t="str">
            <v>Vermont</v>
          </cell>
          <cell r="D41" t="str">
            <v>UMBC</v>
          </cell>
          <cell r="E41">
            <v>0.41586482678781778</v>
          </cell>
          <cell r="F41" t="b">
            <v>0</v>
          </cell>
          <cell r="G41">
            <v>0.5966717236818081</v>
          </cell>
          <cell r="H41">
            <v>0</v>
          </cell>
          <cell r="I41">
            <v>0.1391005633925427</v>
          </cell>
          <cell r="J41">
            <v>0.2457459905417814</v>
          </cell>
          <cell r="K41">
            <v>0</v>
          </cell>
        </row>
        <row r="42">
          <cell r="B42">
            <v>41</v>
          </cell>
          <cell r="C42" t="str">
            <v>North Carolina Central</v>
          </cell>
          <cell r="D42" t="str">
            <v>Howard</v>
          </cell>
          <cell r="E42">
            <v>-7.7263125674687121</v>
          </cell>
          <cell r="F42" t="b">
            <v>0</v>
          </cell>
          <cell r="G42">
            <v>0.62915095347454453</v>
          </cell>
          <cell r="H42">
            <v>0</v>
          </cell>
          <cell r="I42">
            <v>0.20110636572413049</v>
          </cell>
          <cell r="J42">
            <v>6.6420644224934988E-2</v>
          </cell>
          <cell r="K42">
            <v>0</v>
          </cell>
        </row>
        <row r="43">
          <cell r="B43">
            <v>42</v>
          </cell>
          <cell r="C43" t="str">
            <v>Prairie View A&amp;M</v>
          </cell>
          <cell r="D43" t="str">
            <v>Southern</v>
          </cell>
          <cell r="E43">
            <v>-2.0777511756776521</v>
          </cell>
          <cell r="F43" t="b">
            <v>0</v>
          </cell>
          <cell r="G43">
            <v>0.52298252604510409</v>
          </cell>
          <cell r="H43">
            <v>0</v>
          </cell>
          <cell r="I43">
            <v>-1.5788139138921411E-3</v>
          </cell>
          <cell r="J43">
            <v>1.172898173053832E-2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Yale</v>
          </cell>
          <cell r="C2" t="str">
            <v>Cornell</v>
          </cell>
          <cell r="D2">
            <v>7.4286283767729033</v>
          </cell>
          <cell r="E2">
            <v>100.45512973101643</v>
          </cell>
          <cell r="F2">
            <v>103.83477980468992</v>
          </cell>
          <cell r="G2">
            <v>0.56940160394818018</v>
          </cell>
          <cell r="H2">
            <v>66.131428571428572</v>
          </cell>
          <cell r="I2">
            <v>57.892857142857146</v>
          </cell>
          <cell r="J2">
            <v>20.428571428571427</v>
          </cell>
          <cell r="K2">
            <v>10.178571428571429</v>
          </cell>
          <cell r="L2">
            <v>9.4285714285714288</v>
          </cell>
          <cell r="M2">
            <v>0</v>
          </cell>
          <cell r="N2">
            <v>3.782470992490822</v>
          </cell>
          <cell r="O2">
            <v>97.272279310137606</v>
          </cell>
          <cell r="P2">
            <v>100.79730647263705</v>
          </cell>
          <cell r="Q2">
            <v>0.59271935283136279</v>
          </cell>
          <cell r="R2">
            <v>71.856923076923081</v>
          </cell>
          <cell r="S2">
            <v>61.807692307692307</v>
          </cell>
          <cell r="T2">
            <v>18.73076923076923</v>
          </cell>
          <cell r="U2">
            <v>10.076923076923077</v>
          </cell>
          <cell r="V2">
            <v>11.884615384615385</v>
          </cell>
          <cell r="W2">
            <v>0</v>
          </cell>
          <cell r="X2">
            <v>-4</v>
          </cell>
        </row>
        <row r="3">
          <cell r="A3">
            <v>2</v>
          </cell>
          <cell r="B3" t="str">
            <v>Harvard</v>
          </cell>
          <cell r="C3" t="str">
            <v>Pennsylvania</v>
          </cell>
          <cell r="D3">
            <v>-2.8665585524076791</v>
          </cell>
          <cell r="E3">
            <v>95.7233341778566</v>
          </cell>
          <cell r="F3">
            <v>111.41414803981939</v>
          </cell>
          <cell r="G3">
            <v>0.5349673202614379</v>
          </cell>
          <cell r="H3">
            <v>63.957142857142856</v>
          </cell>
          <cell r="I3">
            <v>54.642857142857146</v>
          </cell>
          <cell r="J3">
            <v>15</v>
          </cell>
          <cell r="K3">
            <v>8.2142857142857135</v>
          </cell>
          <cell r="L3">
            <v>10.928571428571429</v>
          </cell>
          <cell r="M3">
            <v>0</v>
          </cell>
          <cell r="N3">
            <v>-0.51591821964888473</v>
          </cell>
          <cell r="O3">
            <v>100.50742749351569</v>
          </cell>
          <cell r="P3">
            <v>109.41069198990621</v>
          </cell>
          <cell r="Q3">
            <v>0.50901741293532343</v>
          </cell>
          <cell r="R3">
            <v>68.677037037037039</v>
          </cell>
          <cell r="S3">
            <v>59.555555555555557</v>
          </cell>
          <cell r="T3">
            <v>22.666666666666668</v>
          </cell>
          <cell r="U3">
            <v>11.703703703703704</v>
          </cell>
          <cell r="V3">
            <v>10.851851851851851</v>
          </cell>
          <cell r="W3">
            <v>0</v>
          </cell>
          <cell r="X3">
            <v>-3.5</v>
          </cell>
        </row>
        <row r="4">
          <cell r="A4">
            <v>3</v>
          </cell>
          <cell r="B4" t="str">
            <v>Saint Louis</v>
          </cell>
          <cell r="C4" t="str">
            <v>Dayton</v>
          </cell>
          <cell r="D4">
            <v>12.924462689730786</v>
          </cell>
          <cell r="E4">
            <v>96.65371999791742</v>
          </cell>
          <cell r="F4">
            <v>94.854733271656428</v>
          </cell>
          <cell r="G4">
            <v>0.60122699386503065</v>
          </cell>
          <cell r="H4">
            <v>71.082666666666668</v>
          </cell>
          <cell r="I4">
            <v>59.766666666666666</v>
          </cell>
          <cell r="J4">
            <v>20.566666666666666</v>
          </cell>
          <cell r="K4">
            <v>10.133333333333333</v>
          </cell>
          <cell r="L4">
            <v>12.4</v>
          </cell>
          <cell r="M4">
            <v>0</v>
          </cell>
          <cell r="N4">
            <v>7.2080821342928445</v>
          </cell>
          <cell r="O4">
            <v>95.080309824704429</v>
          </cell>
          <cell r="P4">
            <v>92.716319767963711</v>
          </cell>
          <cell r="Q4">
            <v>0.52316486161251508</v>
          </cell>
          <cell r="R4">
            <v>68.127741935483868</v>
          </cell>
          <cell r="S4">
            <v>53.612903225806448</v>
          </cell>
          <cell r="T4">
            <v>25.29032258064516</v>
          </cell>
          <cell r="U4">
            <v>8.7096774193548381</v>
          </cell>
          <cell r="V4">
            <v>12.096774193548388</v>
          </cell>
          <cell r="W4">
            <v>0</v>
          </cell>
          <cell r="X4">
            <v>-6</v>
          </cell>
        </row>
        <row r="5">
          <cell r="A5">
            <v>4</v>
          </cell>
          <cell r="B5" t="str">
            <v>VCU</v>
          </cell>
          <cell r="C5" t="str">
            <v>St. Joseph's</v>
          </cell>
          <cell r="D5">
            <v>10.046934010674722</v>
          </cell>
          <cell r="E5">
            <v>100.11649510419282</v>
          </cell>
          <cell r="F5">
            <v>100.40585231866712</v>
          </cell>
          <cell r="G5">
            <v>0.54296008869179602</v>
          </cell>
          <cell r="H5">
            <v>69.00645161290322</v>
          </cell>
          <cell r="I5">
            <v>58.193548387096776</v>
          </cell>
          <cell r="J5">
            <v>25.967741935483872</v>
          </cell>
          <cell r="K5">
            <v>11.419354838709678</v>
          </cell>
          <cell r="L5">
            <v>10.806451612903226</v>
          </cell>
          <cell r="M5">
            <v>0</v>
          </cell>
          <cell r="N5">
            <v>0.35857878605365429</v>
          </cell>
          <cell r="O5">
            <v>99.259251438526107</v>
          </cell>
          <cell r="P5">
            <v>108.34882848626603</v>
          </cell>
          <cell r="Q5">
            <v>0.5</v>
          </cell>
          <cell r="R5">
            <v>68.286451612903235</v>
          </cell>
          <cell r="S5">
            <v>59.903225806451616</v>
          </cell>
          <cell r="T5">
            <v>18.612903225806452</v>
          </cell>
          <cell r="U5">
            <v>11.64516129032258</v>
          </cell>
          <cell r="V5">
            <v>11.838709677419354</v>
          </cell>
          <cell r="W5">
            <v>0</v>
          </cell>
          <cell r="X5">
            <v>-6</v>
          </cell>
        </row>
        <row r="6">
          <cell r="A6">
            <v>5</v>
          </cell>
          <cell r="B6" t="str">
            <v>Michigan</v>
          </cell>
          <cell r="C6" t="str">
            <v>Wisconsin</v>
          </cell>
          <cell r="D6">
            <v>23.915638484765847</v>
          </cell>
          <cell r="E6">
            <v>98.283491704002756</v>
          </cell>
          <cell r="F6">
            <v>95.448163069798071</v>
          </cell>
          <cell r="G6">
            <v>0.5870726495726496</v>
          </cell>
          <cell r="H6">
            <v>71.669677419354841</v>
          </cell>
          <cell r="I6">
            <v>60.387096774193552</v>
          </cell>
          <cell r="J6">
            <v>23.516129032258064</v>
          </cell>
          <cell r="K6">
            <v>11.225806451612904</v>
          </cell>
          <cell r="L6">
            <v>12.161290322580646</v>
          </cell>
          <cell r="M6">
            <v>0</v>
          </cell>
          <cell r="N6">
            <v>15.99115140253407</v>
          </cell>
          <cell r="O6">
            <v>101.25838978230519</v>
          </cell>
          <cell r="P6">
            <v>98.106398085976267</v>
          </cell>
          <cell r="Q6">
            <v>0.54685863874345553</v>
          </cell>
          <cell r="R6">
            <v>69.153548387096777</v>
          </cell>
          <cell r="S6">
            <v>61.612903225806448</v>
          </cell>
          <cell r="T6">
            <v>20.29032258064516</v>
          </cell>
          <cell r="U6">
            <v>10.419354838709678</v>
          </cell>
          <cell r="V6">
            <v>9.0322580645161299</v>
          </cell>
          <cell r="W6">
            <v>0</v>
          </cell>
          <cell r="X6">
            <v>-12.5</v>
          </cell>
        </row>
        <row r="7">
          <cell r="A7">
            <v>6</v>
          </cell>
          <cell r="B7" t="str">
            <v>UCLA</v>
          </cell>
          <cell r="C7" t="str">
            <v>Purdue</v>
          </cell>
          <cell r="D7">
            <v>16.04165934317437</v>
          </cell>
          <cell r="E7">
            <v>100.9511732509619</v>
          </cell>
          <cell r="F7">
            <v>92.195689602132376</v>
          </cell>
          <cell r="G7">
            <v>0.53971318257032541</v>
          </cell>
          <cell r="H7">
            <v>65.94580645161291</v>
          </cell>
          <cell r="I7">
            <v>58.483870967741936</v>
          </cell>
          <cell r="J7">
            <v>19.451612903225808</v>
          </cell>
          <cell r="K7">
            <v>10.064516129032258</v>
          </cell>
          <cell r="L7">
            <v>8.9677419354838701</v>
          </cell>
          <cell r="M7">
            <v>0</v>
          </cell>
          <cell r="N7">
            <v>20.822747409737431</v>
          </cell>
          <cell r="O7">
            <v>102.36430980153686</v>
          </cell>
          <cell r="P7">
            <v>102.10099533949814</v>
          </cell>
          <cell r="Q7">
            <v>0.57913090128755362</v>
          </cell>
          <cell r="R7">
            <v>65.54451612903226</v>
          </cell>
          <cell r="S7">
            <v>60.12903225806452</v>
          </cell>
          <cell r="T7">
            <v>17</v>
          </cell>
          <cell r="U7">
            <v>11.161290322580646</v>
          </cell>
          <cell r="V7">
            <v>9.0967741935483879</v>
          </cell>
          <cell r="W7">
            <v>0</v>
          </cell>
          <cell r="X7">
            <v>7</v>
          </cell>
        </row>
        <row r="8">
          <cell r="A8">
            <v>7</v>
          </cell>
          <cell r="B8" t="str">
            <v>Florida</v>
          </cell>
          <cell r="C8" t="str">
            <v>Vanderbilt</v>
          </cell>
          <cell r="D8">
            <v>22.748625673592354</v>
          </cell>
          <cell r="E8">
            <v>104.56180875012235</v>
          </cell>
          <cell r="F8">
            <v>99.903229832962509</v>
          </cell>
          <cell r="G8">
            <v>0.54031856645097065</v>
          </cell>
          <cell r="H8">
            <v>71.534193548387094</v>
          </cell>
          <cell r="I8">
            <v>64.806451612903231</v>
          </cell>
          <cell r="J8">
            <v>24.967741935483872</v>
          </cell>
          <cell r="K8">
            <v>15.903225806451612</v>
          </cell>
          <cell r="L8">
            <v>11.64516129032258</v>
          </cell>
          <cell r="M8">
            <v>0</v>
          </cell>
          <cell r="N8">
            <v>19.188801343657655</v>
          </cell>
          <cell r="O8">
            <v>100.6501092787602</v>
          </cell>
          <cell r="P8">
            <v>97.808224636267653</v>
          </cell>
          <cell r="Q8">
            <v>0.55637126376507606</v>
          </cell>
          <cell r="R8">
            <v>70.905806451612904</v>
          </cell>
          <cell r="S8">
            <v>61.516129032258064</v>
          </cell>
          <cell r="T8">
            <v>23.612903225806452</v>
          </cell>
          <cell r="U8">
            <v>10.741935483870968</v>
          </cell>
          <cell r="V8">
            <v>9.741935483870968</v>
          </cell>
          <cell r="W8">
            <v>0</v>
          </cell>
          <cell r="X8">
            <v>-8.5</v>
          </cell>
        </row>
        <row r="9">
          <cell r="A9">
            <v>8</v>
          </cell>
          <cell r="B9" t="str">
            <v>Arkansas</v>
          </cell>
          <cell r="C9" t="str">
            <v>Ole Miss</v>
          </cell>
          <cell r="D9">
            <v>20.289786813604461</v>
          </cell>
          <cell r="E9">
            <v>101.81190917064613</v>
          </cell>
          <cell r="F9">
            <v>97.741343816793645</v>
          </cell>
          <cell r="G9">
            <v>0.56654947262682065</v>
          </cell>
          <cell r="H9">
            <v>72.56258064516129</v>
          </cell>
          <cell r="I9">
            <v>64.225806451612897</v>
          </cell>
          <cell r="J9">
            <v>23.419354838709676</v>
          </cell>
          <cell r="K9">
            <v>11</v>
          </cell>
          <cell r="L9">
            <v>9.0322580645161299</v>
          </cell>
          <cell r="M9">
            <v>0</v>
          </cell>
          <cell r="N9">
            <v>8.9278178203979799</v>
          </cell>
          <cell r="O9">
            <v>100.09953473783261</v>
          </cell>
          <cell r="P9">
            <v>93.948889412718557</v>
          </cell>
          <cell r="Q9">
            <v>0.50161812297734631</v>
          </cell>
          <cell r="R9">
            <v>68.278709677419357</v>
          </cell>
          <cell r="S9">
            <v>59.806451612903224</v>
          </cell>
          <cell r="T9">
            <v>20.35483870967742</v>
          </cell>
          <cell r="U9">
            <v>10.225806451612904</v>
          </cell>
          <cell r="V9">
            <v>9.741935483870968</v>
          </cell>
          <cell r="W9">
            <v>0</v>
          </cell>
          <cell r="X9">
            <v>-9</v>
          </cell>
        </row>
        <row r="10">
          <cell r="A10">
            <v>9</v>
          </cell>
          <cell r="B10" t="str">
            <v>South Florida</v>
          </cell>
          <cell r="C10" t="str">
            <v>Charlotte</v>
          </cell>
          <cell r="D10">
            <v>10.662427729240893</v>
          </cell>
          <cell r="E10">
            <v>104.34549376348122</v>
          </cell>
          <cell r="F10">
            <v>99.932079382996733</v>
          </cell>
          <cell r="G10">
            <v>0.51318359375</v>
          </cell>
          <cell r="H10">
            <v>73.95225806451613</v>
          </cell>
          <cell r="I10">
            <v>66.064516129032256</v>
          </cell>
          <cell r="J10">
            <v>27.677419354838708</v>
          </cell>
          <cell r="K10">
            <v>15.516129032258064</v>
          </cell>
          <cell r="L10">
            <v>11.225806451612904</v>
          </cell>
          <cell r="M10">
            <v>0</v>
          </cell>
          <cell r="N10">
            <v>-0.94217041800932655</v>
          </cell>
          <cell r="O10">
            <v>97.9635725257845</v>
          </cell>
          <cell r="P10">
            <v>108.1900253682186</v>
          </cell>
          <cell r="Q10">
            <v>0.5367215041128085</v>
          </cell>
          <cell r="R10">
            <v>64.8</v>
          </cell>
          <cell r="S10">
            <v>54.903225806451616</v>
          </cell>
          <cell r="T10">
            <v>20</v>
          </cell>
          <cell r="U10">
            <v>10.903225806451612</v>
          </cell>
          <cell r="V10">
            <v>12</v>
          </cell>
          <cell r="W10">
            <v>0</v>
          </cell>
          <cell r="X10">
            <v>-14</v>
          </cell>
        </row>
        <row r="11">
          <cell r="A11">
            <v>10</v>
          </cell>
          <cell r="B11" t="str">
            <v>Wichita State</v>
          </cell>
          <cell r="C11" t="str">
            <v>Tulsa</v>
          </cell>
          <cell r="D11">
            <v>7.770824188202555</v>
          </cell>
          <cell r="E11">
            <v>105.2828776380081</v>
          </cell>
          <cell r="F11">
            <v>97.27607791375182</v>
          </cell>
          <cell r="G11">
            <v>0.50232558139534889</v>
          </cell>
          <cell r="H11">
            <v>67.778064516129021</v>
          </cell>
          <cell r="I11">
            <v>62.41935483870968</v>
          </cell>
          <cell r="J11">
            <v>22.516129032258064</v>
          </cell>
          <cell r="K11">
            <v>14.806451612903226</v>
          </cell>
          <cell r="L11">
            <v>10.258064516129032</v>
          </cell>
          <cell r="M11">
            <v>0</v>
          </cell>
          <cell r="N11">
            <v>5.3476433114678237</v>
          </cell>
          <cell r="O11">
            <v>100.58857934431276</v>
          </cell>
          <cell r="P11">
            <v>101.35085266969703</v>
          </cell>
          <cell r="Q11">
            <v>0.57346491228070173</v>
          </cell>
          <cell r="R11">
            <v>68.307096774193553</v>
          </cell>
          <cell r="S11">
            <v>58.838709677419352</v>
          </cell>
          <cell r="T11">
            <v>23.64516129032258</v>
          </cell>
          <cell r="U11">
            <v>11.193548387096774</v>
          </cell>
          <cell r="V11">
            <v>10.258064516129032</v>
          </cell>
          <cell r="W11">
            <v>0</v>
          </cell>
          <cell r="X11">
            <v>-1</v>
          </cell>
        </row>
        <row r="12">
          <cell r="A12">
            <v>11</v>
          </cell>
          <cell r="B12" t="str">
            <v>Arizona</v>
          </cell>
          <cell r="C12" t="str">
            <v>Houston</v>
          </cell>
          <cell r="D12">
            <v>23.726370739322146</v>
          </cell>
          <cell r="E12">
            <v>101.71571463594017</v>
          </cell>
          <cell r="F12">
            <v>98.8245285938752</v>
          </cell>
          <cell r="G12">
            <v>0.54952581664910427</v>
          </cell>
          <cell r="H12">
            <v>70.829677419354852</v>
          </cell>
          <cell r="I12">
            <v>61.225806451612904</v>
          </cell>
          <cell r="J12">
            <v>26.225806451612904</v>
          </cell>
          <cell r="K12">
            <v>12.903225806451612</v>
          </cell>
          <cell r="L12">
            <v>10.96774193548387</v>
          </cell>
          <cell r="M12">
            <v>0</v>
          </cell>
          <cell r="N12">
            <v>20.523299572994468</v>
          </cell>
          <cell r="O12">
            <v>105.83703703703704</v>
          </cell>
          <cell r="P12">
            <v>98.084829653904706</v>
          </cell>
          <cell r="Q12">
            <v>0.52282491944146081</v>
          </cell>
          <cell r="R12">
            <v>64.807999999999993</v>
          </cell>
          <cell r="S12">
            <v>62.06666666666667</v>
          </cell>
          <cell r="T12">
            <v>16.533333333333335</v>
          </cell>
          <cell r="U12">
            <v>12.833333333333334</v>
          </cell>
          <cell r="V12">
            <v>8.3000000000000007</v>
          </cell>
          <cell r="W12">
            <v>0</v>
          </cell>
          <cell r="X12">
            <v>-2.5</v>
          </cell>
        </row>
        <row r="13">
          <cell r="A13">
            <v>12</v>
          </cell>
          <cell r="B13" t="str">
            <v>Utah State</v>
          </cell>
          <cell r="C13" t="str">
            <v>San Diego State</v>
          </cell>
          <cell r="D13">
            <v>16.347492910416953</v>
          </cell>
          <cell r="E13">
            <v>99.814093598708979</v>
          </cell>
          <cell r="F13">
            <v>89.773356716311071</v>
          </cell>
          <cell r="G13">
            <v>0.57657142857142862</v>
          </cell>
          <cell r="H13">
            <v>67.801333333333332</v>
          </cell>
          <cell r="I13">
            <v>58.333333333333336</v>
          </cell>
          <cell r="J13">
            <v>22.2</v>
          </cell>
          <cell r="K13">
            <v>10.766666666666667</v>
          </cell>
          <cell r="L13">
            <v>10.466666666666667</v>
          </cell>
          <cell r="M13">
            <v>0</v>
          </cell>
          <cell r="N13">
            <v>14.550197800997752</v>
          </cell>
          <cell r="O13">
            <v>96.841816840552212</v>
          </cell>
          <cell r="P13">
            <v>87.434270076584269</v>
          </cell>
          <cell r="Q13">
            <v>0.54383954154727798</v>
          </cell>
          <cell r="R13">
            <v>69.707999999999998</v>
          </cell>
          <cell r="S13">
            <v>58.166666666666664</v>
          </cell>
          <cell r="T13">
            <v>21.533333333333335</v>
          </cell>
          <cell r="U13">
            <v>9.6999999999999993</v>
          </cell>
          <cell r="V13">
            <v>11.766666666666667</v>
          </cell>
          <cell r="W13">
            <v>0</v>
          </cell>
          <cell r="X13">
            <v>-1.5</v>
          </cell>
        </row>
        <row r="14">
          <cell r="A14">
            <v>13</v>
          </cell>
          <cell r="B14" t="str">
            <v>St. John's</v>
          </cell>
          <cell r="C14" t="str">
            <v>Uconn</v>
          </cell>
          <cell r="D14">
            <v>15.109788733361889</v>
          </cell>
          <cell r="E14">
            <v>102.58678864787763</v>
          </cell>
          <cell r="F14">
            <v>99.76074998519745</v>
          </cell>
          <cell r="G14">
            <v>0.50967573221757323</v>
          </cell>
          <cell r="H14">
            <v>70.571612903225812</v>
          </cell>
          <cell r="I14">
            <v>61.677419354838712</v>
          </cell>
          <cell r="J14">
            <v>26.225806451612904</v>
          </cell>
          <cell r="K14">
            <v>13.193548387096774</v>
          </cell>
          <cell r="L14">
            <v>10.548387096774194</v>
          </cell>
          <cell r="M14">
            <v>0</v>
          </cell>
          <cell r="N14">
            <v>18.208291246988694</v>
          </cell>
          <cell r="O14">
            <v>99.985237449118031</v>
          </cell>
          <cell r="P14">
            <v>95.057403075511033</v>
          </cell>
          <cell r="Q14">
            <v>0.55555555555555558</v>
          </cell>
          <cell r="R14">
            <v>66.338064516129037</v>
          </cell>
          <cell r="S14">
            <v>58.645161290322584</v>
          </cell>
          <cell r="T14">
            <v>18.29032258064516</v>
          </cell>
          <cell r="U14">
            <v>11.387096774193548</v>
          </cell>
          <cell r="V14">
            <v>11.03225806451613</v>
          </cell>
          <cell r="W14">
            <v>0</v>
          </cell>
          <cell r="X14">
            <v>2.5</v>
          </cell>
        </row>
        <row r="15">
          <cell r="A15">
            <v>14</v>
          </cell>
          <cell r="B15" t="str">
            <v>Akron</v>
          </cell>
          <cell r="C15" t="str">
            <v>Toledo</v>
          </cell>
          <cell r="D15">
            <v>10.49945141256813</v>
          </cell>
          <cell r="E15">
            <v>99.8801284338209</v>
          </cell>
          <cell r="F15">
            <v>94.797305672709399</v>
          </cell>
          <cell r="G15">
            <v>0.59409687184661952</v>
          </cell>
          <cell r="H15">
            <v>71.441290322580642</v>
          </cell>
          <cell r="I15">
            <v>63.935483870967744</v>
          </cell>
          <cell r="J15">
            <v>17.64516129032258</v>
          </cell>
          <cell r="K15">
            <v>11.35483870967742</v>
          </cell>
          <cell r="L15">
            <v>11.096774193548388</v>
          </cell>
          <cell r="M15">
            <v>0</v>
          </cell>
          <cell r="N15">
            <v>4.1368006701786264</v>
          </cell>
          <cell r="O15">
            <v>100.01830473218929</v>
          </cell>
          <cell r="P15">
            <v>101.61078845085268</v>
          </cell>
          <cell r="Q15">
            <v>0.54476439790575915</v>
          </cell>
          <cell r="R15">
            <v>69.429677419354846</v>
          </cell>
          <cell r="S15">
            <v>61.612903225806448</v>
          </cell>
          <cell r="T15">
            <v>18.64516129032258</v>
          </cell>
          <cell r="U15">
            <v>10.516129032258064</v>
          </cell>
          <cell r="V15">
            <v>10.129032258064516</v>
          </cell>
          <cell r="W15">
            <v>0</v>
          </cell>
          <cell r="X15">
            <v>-7</v>
          </cell>
        </row>
        <row r="16">
          <cell r="A16">
            <v>15</v>
          </cell>
          <cell r="B16" t="str">
            <v>Duke</v>
          </cell>
          <cell r="C16" t="str">
            <v>Virginia</v>
          </cell>
          <cell r="D16">
            <v>23.818031475685999</v>
          </cell>
          <cell r="E16">
            <v>101.49806376319559</v>
          </cell>
          <cell r="F16">
            <v>100.14794611787336</v>
          </cell>
          <cell r="G16">
            <v>0.57475083056478404</v>
          </cell>
          <cell r="H16">
            <v>66.400000000000006</v>
          </cell>
          <cell r="I16">
            <v>58.258064516129032</v>
          </cell>
          <cell r="J16">
            <v>22.096774193548388</v>
          </cell>
          <cell r="K16">
            <v>12</v>
          </cell>
          <cell r="L16">
            <v>10.419354838709678</v>
          </cell>
          <cell r="M16">
            <v>0</v>
          </cell>
          <cell r="N16">
            <v>13.035509619415494</v>
          </cell>
          <cell r="O16">
            <v>102.89121915051371</v>
          </cell>
          <cell r="P16">
            <v>105.11224188648033</v>
          </cell>
          <cell r="Q16">
            <v>0.54407859798194369</v>
          </cell>
          <cell r="R16">
            <v>67.184516129032261</v>
          </cell>
          <cell r="S16">
            <v>60.741935483870968</v>
          </cell>
          <cell r="T16">
            <v>20.580645161290324</v>
          </cell>
          <cell r="U16">
            <v>13.451612903225806</v>
          </cell>
          <cell r="V16">
            <v>10.838709677419354</v>
          </cell>
          <cell r="W16">
            <v>0</v>
          </cell>
          <cell r="X16">
            <v>-8.5</v>
          </cell>
        </row>
        <row r="17">
          <cell r="A17">
            <v>16</v>
          </cell>
          <cell r="B17" t="str">
            <v>Louisiana Tech</v>
          </cell>
          <cell r="C17" t="str">
            <v>Kennesaw State</v>
          </cell>
          <cell r="D17">
            <v>2.6443345975686983</v>
          </cell>
          <cell r="E17">
            <v>99.919161188678217</v>
          </cell>
          <cell r="F17">
            <v>98.415627483867411</v>
          </cell>
          <cell r="G17">
            <v>0.49525669642857145</v>
          </cell>
          <cell r="H17">
            <v>65.900645161290328</v>
          </cell>
          <cell r="I17">
            <v>57.806451612903224</v>
          </cell>
          <cell r="J17">
            <v>19.129032258064516</v>
          </cell>
          <cell r="K17">
            <v>12.96774193548387</v>
          </cell>
          <cell r="L17">
            <v>12.64516129032258</v>
          </cell>
          <cell r="M17">
            <v>0</v>
          </cell>
          <cell r="N17">
            <v>6.490752715038262</v>
          </cell>
          <cell r="O17">
            <v>101.8432322449375</v>
          </cell>
          <cell r="P17">
            <v>97.141081053482708</v>
          </cell>
          <cell r="Q17">
            <v>0.52519480519480521</v>
          </cell>
          <cell r="R17">
            <v>71.699354838709667</v>
          </cell>
          <cell r="S17">
            <v>62.096774193548384</v>
          </cell>
          <cell r="T17">
            <v>26.516129032258064</v>
          </cell>
          <cell r="U17">
            <v>13.806451612903226</v>
          </cell>
          <cell r="V17">
            <v>11.741935483870968</v>
          </cell>
          <cell r="W17">
            <v>0</v>
          </cell>
          <cell r="X17">
            <v>1.5</v>
          </cell>
        </row>
        <row r="18">
          <cell r="A18">
            <v>17</v>
          </cell>
          <cell r="B18" t="str">
            <v>UC Irvine</v>
          </cell>
          <cell r="C18" t="str">
            <v>Hawaii</v>
          </cell>
          <cell r="D18">
            <v>5.2870372643884913</v>
          </cell>
          <cell r="E18">
            <v>98.000795228628249</v>
          </cell>
          <cell r="F18">
            <v>92.824900535566286</v>
          </cell>
          <cell r="G18">
            <v>0.51370585134422775</v>
          </cell>
          <cell r="H18">
            <v>71.811612903225807</v>
          </cell>
          <cell r="I18">
            <v>61.193548387096776</v>
          </cell>
          <cell r="J18">
            <v>21.419354838709676</v>
          </cell>
          <cell r="K18">
            <v>11.548387096774194</v>
          </cell>
          <cell r="L18">
            <v>12.741935483870968</v>
          </cell>
          <cell r="M18">
            <v>0</v>
          </cell>
          <cell r="N18">
            <v>2.4205256715728276</v>
          </cell>
          <cell r="O18">
            <v>96.251520482533294</v>
          </cell>
          <cell r="P18">
            <v>92.252558584997232</v>
          </cell>
          <cell r="Q18">
            <v>0.52753872633390708</v>
          </cell>
          <cell r="R18">
            <v>71.861333333333334</v>
          </cell>
          <cell r="S18">
            <v>58.1</v>
          </cell>
          <cell r="T18">
            <v>25.366666666666667</v>
          </cell>
          <cell r="U18">
            <v>10.733333333333333</v>
          </cell>
          <cell r="V18">
            <v>13.333333333333334</v>
          </cell>
          <cell r="W18">
            <v>0</v>
          </cell>
          <cell r="X18">
            <v>-2</v>
          </cell>
        </row>
        <row r="19">
          <cell r="A19">
            <v>18</v>
          </cell>
          <cell r="B19" t="str">
            <v>Utah Valley</v>
          </cell>
          <cell r="C19" t="str">
            <v>California Baptist</v>
          </cell>
          <cell r="D19">
            <v>7.1660953976463073</v>
          </cell>
          <cell r="E19">
            <v>96.788608522667772</v>
          </cell>
          <cell r="F19">
            <v>87.924687269369926</v>
          </cell>
          <cell r="G19">
            <v>0.56105144149236852</v>
          </cell>
          <cell r="H19">
            <v>70.398666666666671</v>
          </cell>
          <cell r="I19">
            <v>58.966666666666669</v>
          </cell>
          <cell r="J19">
            <v>21.133333333333333</v>
          </cell>
          <cell r="K19">
            <v>11.933333333333334</v>
          </cell>
          <cell r="L19">
            <v>14.066666666666666</v>
          </cell>
          <cell r="M19">
            <v>0</v>
          </cell>
          <cell r="N19">
            <v>4.601636720836713</v>
          </cell>
          <cell r="O19">
            <v>101.16726287262874</v>
          </cell>
          <cell r="P19">
            <v>89.920292368090941</v>
          </cell>
          <cell r="Q19">
            <v>0.48252536640360766</v>
          </cell>
          <cell r="R19">
            <v>67.391999999999996</v>
          </cell>
          <cell r="S19">
            <v>59.133333333333333</v>
          </cell>
          <cell r="T19">
            <v>21.8</v>
          </cell>
          <cell r="U19">
            <v>13.866666666666667</v>
          </cell>
          <cell r="V19">
            <v>12.533333333333333</v>
          </cell>
          <cell r="W19">
            <v>0</v>
          </cell>
          <cell r="X19">
            <v>-3</v>
          </cell>
        </row>
        <row r="20">
          <cell r="A20">
            <v>19</v>
          </cell>
          <cell r="B20" t="str">
            <v>UMBC</v>
          </cell>
          <cell r="C20" t="str">
            <v>Vermont</v>
          </cell>
          <cell r="D20">
            <v>-8.1832066239376893</v>
          </cell>
          <cell r="E20">
            <v>97.210907835692097</v>
          </cell>
          <cell r="F20">
            <v>110.54326482948768</v>
          </cell>
          <cell r="G20">
            <v>0.5430982519590114</v>
          </cell>
          <cell r="H20">
            <v>66.972413793103442</v>
          </cell>
          <cell r="I20">
            <v>57.206896551724135</v>
          </cell>
          <cell r="J20">
            <v>18.275862068965516</v>
          </cell>
          <cell r="K20">
            <v>8.068965517241379</v>
          </cell>
          <cell r="L20">
            <v>9.7931034482758612</v>
          </cell>
          <cell r="M20">
            <v>0</v>
          </cell>
          <cell r="N20">
            <v>-8.3049596389430835</v>
          </cell>
          <cell r="O20">
            <v>98.685284640171872</v>
          </cell>
          <cell r="P20">
            <v>109.91881615719028</v>
          </cell>
          <cell r="Q20">
            <v>0.54303164908384227</v>
          </cell>
          <cell r="R20">
            <v>64.849999999999994</v>
          </cell>
          <cell r="S20">
            <v>56.28125</v>
          </cell>
          <cell r="T20">
            <v>18.125</v>
          </cell>
          <cell r="U20">
            <v>8.84375</v>
          </cell>
          <cell r="V20">
            <v>9.4375</v>
          </cell>
          <cell r="W20">
            <v>0</v>
          </cell>
          <cell r="X20">
            <v>-3.5</v>
          </cell>
        </row>
        <row r="21">
          <cell r="A21">
            <v>20</v>
          </cell>
          <cell r="B21" t="str">
            <v>Howard</v>
          </cell>
          <cell r="C21" t="str">
            <v>North Carolina Central</v>
          </cell>
          <cell r="D21">
            <v>-7.0667288784066029</v>
          </cell>
          <cell r="E21">
            <v>97.771296389419689</v>
          </cell>
          <cell r="F21">
            <v>101.22012384797286</v>
          </cell>
          <cell r="G21">
            <v>0.52172686230248311</v>
          </cell>
          <cell r="H21">
            <v>69.380645161290332</v>
          </cell>
          <cell r="I21">
            <v>57.161290322580648</v>
          </cell>
          <cell r="J21">
            <v>24.838709677419356</v>
          </cell>
          <cell r="K21">
            <v>12.290322580645162</v>
          </cell>
          <cell r="L21">
            <v>13.580645161290322</v>
          </cell>
          <cell r="M21">
            <v>0</v>
          </cell>
          <cell r="N21">
            <v>-12.049706064548028</v>
          </cell>
          <cell r="O21">
            <v>97.391178918169217</v>
          </cell>
          <cell r="P21">
            <v>102.17668911130822</v>
          </cell>
          <cell r="Q21">
            <v>0.49514563106796117</v>
          </cell>
          <cell r="R21">
            <v>68.108965517241387</v>
          </cell>
          <cell r="S21">
            <v>56.827586206896555</v>
          </cell>
          <cell r="T21">
            <v>22.03448275862069</v>
          </cell>
          <cell r="U21">
            <v>10.689655172413794</v>
          </cell>
          <cell r="V21">
            <v>12.275862068965518</v>
          </cell>
          <cell r="W21">
            <v>0</v>
          </cell>
          <cell r="X21">
            <v>-13</v>
          </cell>
        </row>
        <row r="22">
          <cell r="A22">
            <v>21</v>
          </cell>
          <cell r="B22" t="str">
            <v>Southern</v>
          </cell>
          <cell r="C22" t="str">
            <v>Prairie View A&amp;M</v>
          </cell>
          <cell r="D22">
            <v>-6.7092460643817606</v>
          </cell>
          <cell r="E22">
            <v>99.018646109371232</v>
          </cell>
          <cell r="F22">
            <v>93.207129449722274</v>
          </cell>
          <cell r="G22">
            <v>0.50943396226415094</v>
          </cell>
          <cell r="H22">
            <v>72.842580645161291</v>
          </cell>
          <cell r="I22">
            <v>61.548387096774192</v>
          </cell>
          <cell r="J22">
            <v>24.93548387096774</v>
          </cell>
          <cell r="K22">
            <v>11.67741935483871</v>
          </cell>
          <cell r="L22">
            <v>12</v>
          </cell>
          <cell r="M22">
            <v>0</v>
          </cell>
          <cell r="N22">
            <v>-10.748183340293197</v>
          </cell>
          <cell r="O22">
            <v>96.942723004694827</v>
          </cell>
          <cell r="P22">
            <v>93.291737667336207</v>
          </cell>
          <cell r="Q22">
            <v>0.49388297872340425</v>
          </cell>
          <cell r="R22">
            <v>74.380645161290332</v>
          </cell>
          <cell r="S22">
            <v>60.645161290322584</v>
          </cell>
          <cell r="T22">
            <v>26.451612903225808</v>
          </cell>
          <cell r="U22">
            <v>10.161290322580646</v>
          </cell>
          <cell r="V22">
            <v>12.258064516129032</v>
          </cell>
          <cell r="W22">
            <v>0</v>
          </cell>
          <cell r="X22">
            <v>-3</v>
          </cell>
        </row>
        <row r="23">
          <cell r="A23">
            <v>22</v>
          </cell>
          <cell r="B23" t="str">
            <v>Cornell</v>
          </cell>
          <cell r="C23" t="str">
            <v>Yale</v>
          </cell>
          <cell r="D23">
            <v>3.782470992490822</v>
          </cell>
          <cell r="E23">
            <v>97.272279310137606</v>
          </cell>
          <cell r="F23">
            <v>100.79730647263705</v>
          </cell>
          <cell r="G23">
            <v>0.59271935283136279</v>
          </cell>
          <cell r="H23">
            <v>71.856923076923081</v>
          </cell>
          <cell r="I23">
            <v>61.807692307692307</v>
          </cell>
          <cell r="J23">
            <v>18.73076923076923</v>
          </cell>
          <cell r="K23">
            <v>10.076923076923077</v>
          </cell>
          <cell r="L23">
            <v>11.884615384615385</v>
          </cell>
          <cell r="M23">
            <v>0</v>
          </cell>
          <cell r="N23">
            <v>7.4286283767729033</v>
          </cell>
          <cell r="O23">
            <v>100.45512973101643</v>
          </cell>
          <cell r="P23">
            <v>103.83477980468992</v>
          </cell>
          <cell r="Q23">
            <v>0.56940160394818018</v>
          </cell>
          <cell r="R23">
            <v>66.131428571428572</v>
          </cell>
          <cell r="S23">
            <v>57.892857142857146</v>
          </cell>
          <cell r="T23">
            <v>20.428571428571427</v>
          </cell>
          <cell r="U23">
            <v>10.178571428571429</v>
          </cell>
          <cell r="V23">
            <v>9.4285714285714288</v>
          </cell>
          <cell r="W23">
            <v>0</v>
          </cell>
          <cell r="X23">
            <v>4</v>
          </cell>
        </row>
        <row r="24">
          <cell r="A24">
            <v>23</v>
          </cell>
          <cell r="B24" t="str">
            <v>Pennsylvania</v>
          </cell>
          <cell r="C24" t="str">
            <v>Harvard</v>
          </cell>
          <cell r="D24">
            <v>-0.51591821964888473</v>
          </cell>
          <cell r="E24">
            <v>100.50742749351569</v>
          </cell>
          <cell r="F24">
            <v>109.41069198990621</v>
          </cell>
          <cell r="G24">
            <v>0.50901741293532343</v>
          </cell>
          <cell r="H24">
            <v>68.677037037037039</v>
          </cell>
          <cell r="I24">
            <v>59.555555555555557</v>
          </cell>
          <cell r="J24">
            <v>22.666666666666668</v>
          </cell>
          <cell r="K24">
            <v>11.703703703703704</v>
          </cell>
          <cell r="L24">
            <v>10.851851851851851</v>
          </cell>
          <cell r="M24">
            <v>0</v>
          </cell>
          <cell r="N24">
            <v>-2.8665585524076791</v>
          </cell>
          <cell r="O24">
            <v>95.7233341778566</v>
          </cell>
          <cell r="P24">
            <v>111.41414803981939</v>
          </cell>
          <cell r="Q24">
            <v>0.5349673202614379</v>
          </cell>
          <cell r="R24">
            <v>63.957142857142856</v>
          </cell>
          <cell r="S24">
            <v>54.642857142857146</v>
          </cell>
          <cell r="T24">
            <v>15</v>
          </cell>
          <cell r="U24">
            <v>8.2142857142857135</v>
          </cell>
          <cell r="V24">
            <v>10.928571428571429</v>
          </cell>
          <cell r="W24">
            <v>0</v>
          </cell>
          <cell r="X24">
            <v>3.5</v>
          </cell>
        </row>
        <row r="25">
          <cell r="A25">
            <v>24</v>
          </cell>
          <cell r="B25" t="str">
            <v>Dayton</v>
          </cell>
          <cell r="C25" t="str">
            <v>Saint Louis</v>
          </cell>
          <cell r="D25">
            <v>7.2080821342928445</v>
          </cell>
          <cell r="E25">
            <v>95.080309824704429</v>
          </cell>
          <cell r="F25">
            <v>92.716319767963711</v>
          </cell>
          <cell r="G25">
            <v>0.52316486161251508</v>
          </cell>
          <cell r="H25">
            <v>68.127741935483868</v>
          </cell>
          <cell r="I25">
            <v>53.612903225806448</v>
          </cell>
          <cell r="J25">
            <v>25.29032258064516</v>
          </cell>
          <cell r="K25">
            <v>8.7096774193548381</v>
          </cell>
          <cell r="L25">
            <v>12.096774193548388</v>
          </cell>
          <cell r="M25">
            <v>0</v>
          </cell>
          <cell r="N25">
            <v>12.924462689730786</v>
          </cell>
          <cell r="O25">
            <v>96.65371999791742</v>
          </cell>
          <cell r="P25">
            <v>94.854733271656428</v>
          </cell>
          <cell r="Q25">
            <v>0.60122699386503065</v>
          </cell>
          <cell r="R25">
            <v>71.082666666666668</v>
          </cell>
          <cell r="S25">
            <v>59.766666666666666</v>
          </cell>
          <cell r="T25">
            <v>20.566666666666666</v>
          </cell>
          <cell r="U25">
            <v>10.133333333333333</v>
          </cell>
          <cell r="V25">
            <v>12.4</v>
          </cell>
          <cell r="W25">
            <v>0</v>
          </cell>
          <cell r="X25">
            <v>6</v>
          </cell>
        </row>
        <row r="26">
          <cell r="A26">
            <v>25</v>
          </cell>
          <cell r="B26" t="str">
            <v>St. Joseph's</v>
          </cell>
          <cell r="C26" t="str">
            <v>VCU</v>
          </cell>
          <cell r="D26">
            <v>0.35857878605365429</v>
          </cell>
          <cell r="E26">
            <v>99.259251438526107</v>
          </cell>
          <cell r="F26">
            <v>108.34882848626603</v>
          </cell>
          <cell r="G26">
            <v>0.5</v>
          </cell>
          <cell r="H26">
            <v>68.286451612903235</v>
          </cell>
          <cell r="I26">
            <v>59.903225806451616</v>
          </cell>
          <cell r="J26">
            <v>18.612903225806452</v>
          </cell>
          <cell r="K26">
            <v>11.64516129032258</v>
          </cell>
          <cell r="L26">
            <v>11.838709677419354</v>
          </cell>
          <cell r="M26">
            <v>0</v>
          </cell>
          <cell r="N26">
            <v>10.046934010674722</v>
          </cell>
          <cell r="O26">
            <v>100.11649510419282</v>
          </cell>
          <cell r="P26">
            <v>100.40585231866712</v>
          </cell>
          <cell r="Q26">
            <v>0.54296008869179602</v>
          </cell>
          <cell r="R26">
            <v>69.00645161290322</v>
          </cell>
          <cell r="S26">
            <v>58.193548387096776</v>
          </cell>
          <cell r="T26">
            <v>25.967741935483872</v>
          </cell>
          <cell r="U26">
            <v>11.419354838709678</v>
          </cell>
          <cell r="V26">
            <v>10.806451612903226</v>
          </cell>
          <cell r="W26">
            <v>0</v>
          </cell>
          <cell r="X26">
            <v>6</v>
          </cell>
        </row>
        <row r="27">
          <cell r="A27">
            <v>26</v>
          </cell>
          <cell r="B27" t="str">
            <v>Wisconsin</v>
          </cell>
          <cell r="C27" t="str">
            <v>Michigan</v>
          </cell>
          <cell r="D27">
            <v>15.99115140253407</v>
          </cell>
          <cell r="E27">
            <v>101.25838978230519</v>
          </cell>
          <cell r="F27">
            <v>98.106398085976267</v>
          </cell>
          <cell r="G27">
            <v>0.54685863874345553</v>
          </cell>
          <cell r="H27">
            <v>69.153548387096777</v>
          </cell>
          <cell r="I27">
            <v>61.612903225806448</v>
          </cell>
          <cell r="J27">
            <v>20.29032258064516</v>
          </cell>
          <cell r="K27">
            <v>10.419354838709678</v>
          </cell>
          <cell r="L27">
            <v>9.0322580645161299</v>
          </cell>
          <cell r="M27">
            <v>0</v>
          </cell>
          <cell r="N27">
            <v>23.915638484765847</v>
          </cell>
          <cell r="O27">
            <v>98.283491704002756</v>
          </cell>
          <cell r="P27">
            <v>95.448163069798071</v>
          </cell>
          <cell r="Q27">
            <v>0.5870726495726496</v>
          </cell>
          <cell r="R27">
            <v>71.669677419354841</v>
          </cell>
          <cell r="S27">
            <v>60.387096774193552</v>
          </cell>
          <cell r="T27">
            <v>23.516129032258064</v>
          </cell>
          <cell r="U27">
            <v>11.225806451612904</v>
          </cell>
          <cell r="V27">
            <v>12.161290322580646</v>
          </cell>
          <cell r="W27">
            <v>0</v>
          </cell>
          <cell r="X27">
            <v>12.5</v>
          </cell>
        </row>
        <row r="28">
          <cell r="A28">
            <v>27</v>
          </cell>
          <cell r="B28" t="str">
            <v>Purdue</v>
          </cell>
          <cell r="C28" t="str">
            <v>UCLA</v>
          </cell>
          <cell r="D28">
            <v>20.822747409737431</v>
          </cell>
          <cell r="E28">
            <v>102.36430980153686</v>
          </cell>
          <cell r="F28">
            <v>102.10099533949814</v>
          </cell>
          <cell r="G28">
            <v>0.57913090128755362</v>
          </cell>
          <cell r="H28">
            <v>65.54451612903226</v>
          </cell>
          <cell r="I28">
            <v>60.12903225806452</v>
          </cell>
          <cell r="J28">
            <v>17</v>
          </cell>
          <cell r="K28">
            <v>11.161290322580646</v>
          </cell>
          <cell r="L28">
            <v>9.0967741935483879</v>
          </cell>
          <cell r="M28">
            <v>0</v>
          </cell>
          <cell r="N28">
            <v>16.04165934317437</v>
          </cell>
          <cell r="O28">
            <v>100.9511732509619</v>
          </cell>
          <cell r="P28">
            <v>92.195689602132376</v>
          </cell>
          <cell r="Q28">
            <v>0.53971318257032541</v>
          </cell>
          <cell r="R28">
            <v>65.94580645161291</v>
          </cell>
          <cell r="S28">
            <v>58.483870967741936</v>
          </cell>
          <cell r="T28">
            <v>19.451612903225808</v>
          </cell>
          <cell r="U28">
            <v>10.064516129032258</v>
          </cell>
          <cell r="V28">
            <v>8.9677419354838701</v>
          </cell>
          <cell r="W28">
            <v>0</v>
          </cell>
          <cell r="X28">
            <v>-7</v>
          </cell>
        </row>
        <row r="29">
          <cell r="A29">
            <v>28</v>
          </cell>
          <cell r="B29" t="str">
            <v>Vanderbilt</v>
          </cell>
          <cell r="C29" t="str">
            <v>Florida</v>
          </cell>
          <cell r="D29">
            <v>19.188801343657655</v>
          </cell>
          <cell r="E29">
            <v>100.6501092787602</v>
          </cell>
          <cell r="F29">
            <v>97.808224636267653</v>
          </cell>
          <cell r="G29">
            <v>0.55637126376507606</v>
          </cell>
          <cell r="H29">
            <v>70.905806451612904</v>
          </cell>
          <cell r="I29">
            <v>61.516129032258064</v>
          </cell>
          <cell r="J29">
            <v>23.612903225806452</v>
          </cell>
          <cell r="K29">
            <v>10.741935483870968</v>
          </cell>
          <cell r="L29">
            <v>9.741935483870968</v>
          </cell>
          <cell r="M29">
            <v>0</v>
          </cell>
          <cell r="N29">
            <v>22.748625673592354</v>
          </cell>
          <cell r="O29">
            <v>104.56180875012235</v>
          </cell>
          <cell r="P29">
            <v>99.903229832962509</v>
          </cell>
          <cell r="Q29">
            <v>0.54031856645097065</v>
          </cell>
          <cell r="R29">
            <v>71.534193548387094</v>
          </cell>
          <cell r="S29">
            <v>64.806451612903231</v>
          </cell>
          <cell r="T29">
            <v>24.967741935483872</v>
          </cell>
          <cell r="U29">
            <v>15.903225806451612</v>
          </cell>
          <cell r="V29">
            <v>11.64516129032258</v>
          </cell>
          <cell r="W29">
            <v>0</v>
          </cell>
          <cell r="X29">
            <v>8.5</v>
          </cell>
        </row>
        <row r="30">
          <cell r="A30">
            <v>29</v>
          </cell>
          <cell r="B30" t="str">
            <v>Ole Miss</v>
          </cell>
          <cell r="C30" t="str">
            <v>Arkansas</v>
          </cell>
          <cell r="D30">
            <v>8.9278178203979799</v>
          </cell>
          <cell r="E30">
            <v>100.09953473783261</v>
          </cell>
          <cell r="F30">
            <v>93.948889412718557</v>
          </cell>
          <cell r="G30">
            <v>0.50161812297734631</v>
          </cell>
          <cell r="H30">
            <v>68.278709677419357</v>
          </cell>
          <cell r="I30">
            <v>59.806451612903224</v>
          </cell>
          <cell r="J30">
            <v>20.35483870967742</v>
          </cell>
          <cell r="K30">
            <v>10.225806451612904</v>
          </cell>
          <cell r="L30">
            <v>9.741935483870968</v>
          </cell>
          <cell r="M30">
            <v>0</v>
          </cell>
          <cell r="N30">
            <v>20.289786813604461</v>
          </cell>
          <cell r="O30">
            <v>101.81190917064613</v>
          </cell>
          <cell r="P30">
            <v>97.741343816793645</v>
          </cell>
          <cell r="Q30">
            <v>0.56654947262682065</v>
          </cell>
          <cell r="R30">
            <v>72.56258064516129</v>
          </cell>
          <cell r="S30">
            <v>64.225806451612897</v>
          </cell>
          <cell r="T30">
            <v>23.419354838709676</v>
          </cell>
          <cell r="U30">
            <v>11</v>
          </cell>
          <cell r="V30">
            <v>9.0322580645161299</v>
          </cell>
          <cell r="W30">
            <v>0</v>
          </cell>
          <cell r="X30">
            <v>9</v>
          </cell>
        </row>
        <row r="31">
          <cell r="A31">
            <v>30</v>
          </cell>
          <cell r="B31" t="str">
            <v>Charlotte</v>
          </cell>
          <cell r="C31" t="str">
            <v>South Florida</v>
          </cell>
          <cell r="D31">
            <v>-0.94217041800932655</v>
          </cell>
          <cell r="E31">
            <v>97.9635725257845</v>
          </cell>
          <cell r="F31">
            <v>108.1900253682186</v>
          </cell>
          <cell r="G31">
            <v>0.5367215041128085</v>
          </cell>
          <cell r="H31">
            <v>64.8</v>
          </cell>
          <cell r="I31">
            <v>54.903225806451616</v>
          </cell>
          <cell r="J31">
            <v>20</v>
          </cell>
          <cell r="K31">
            <v>10.903225806451612</v>
          </cell>
          <cell r="L31">
            <v>12</v>
          </cell>
          <cell r="M31">
            <v>0</v>
          </cell>
          <cell r="N31">
            <v>10.662427729240893</v>
          </cell>
          <cell r="O31">
            <v>104.34549376348122</v>
          </cell>
          <cell r="P31">
            <v>99.932079382996733</v>
          </cell>
          <cell r="Q31">
            <v>0.51318359375</v>
          </cell>
          <cell r="R31">
            <v>73.95225806451613</v>
          </cell>
          <cell r="S31">
            <v>66.064516129032256</v>
          </cell>
          <cell r="T31">
            <v>27.677419354838708</v>
          </cell>
          <cell r="U31">
            <v>15.516129032258064</v>
          </cell>
          <cell r="V31">
            <v>11.225806451612904</v>
          </cell>
          <cell r="W31">
            <v>0</v>
          </cell>
          <cell r="X31">
            <v>14</v>
          </cell>
        </row>
        <row r="32">
          <cell r="A32">
            <v>31</v>
          </cell>
          <cell r="B32" t="str">
            <v>Tulsa</v>
          </cell>
          <cell r="C32" t="str">
            <v>Wichita State</v>
          </cell>
          <cell r="D32">
            <v>5.3476433114678237</v>
          </cell>
          <cell r="E32">
            <v>100.58857934431276</v>
          </cell>
          <cell r="F32">
            <v>101.35085266969703</v>
          </cell>
          <cell r="G32">
            <v>0.57346491228070173</v>
          </cell>
          <cell r="H32">
            <v>68.307096774193553</v>
          </cell>
          <cell r="I32">
            <v>58.838709677419352</v>
          </cell>
          <cell r="J32">
            <v>23.64516129032258</v>
          </cell>
          <cell r="K32">
            <v>11.193548387096774</v>
          </cell>
          <cell r="L32">
            <v>10.258064516129032</v>
          </cell>
          <cell r="M32">
            <v>0</v>
          </cell>
          <cell r="N32">
            <v>7.770824188202555</v>
          </cell>
          <cell r="O32">
            <v>105.2828776380081</v>
          </cell>
          <cell r="P32">
            <v>97.27607791375182</v>
          </cell>
          <cell r="Q32">
            <v>0.50232558139534889</v>
          </cell>
          <cell r="R32">
            <v>67.778064516129021</v>
          </cell>
          <cell r="S32">
            <v>62.41935483870968</v>
          </cell>
          <cell r="T32">
            <v>22.516129032258064</v>
          </cell>
          <cell r="U32">
            <v>14.806451612903226</v>
          </cell>
          <cell r="V32">
            <v>10.258064516129032</v>
          </cell>
          <cell r="W32">
            <v>0</v>
          </cell>
          <cell r="X32">
            <v>1</v>
          </cell>
        </row>
        <row r="33">
          <cell r="A33">
            <v>32</v>
          </cell>
          <cell r="B33" t="str">
            <v>Houston</v>
          </cell>
          <cell r="C33" t="str">
            <v>Arizona</v>
          </cell>
          <cell r="D33">
            <v>20.523299572994468</v>
          </cell>
          <cell r="E33">
            <v>105.83703703703704</v>
          </cell>
          <cell r="F33">
            <v>98.084829653904706</v>
          </cell>
          <cell r="G33">
            <v>0.52282491944146081</v>
          </cell>
          <cell r="H33">
            <v>64.807999999999993</v>
          </cell>
          <cell r="I33">
            <v>62.06666666666667</v>
          </cell>
          <cell r="J33">
            <v>16.533333333333335</v>
          </cell>
          <cell r="K33">
            <v>12.833333333333334</v>
          </cell>
          <cell r="L33">
            <v>8.3000000000000007</v>
          </cell>
          <cell r="M33">
            <v>0</v>
          </cell>
          <cell r="N33">
            <v>23.726370739322146</v>
          </cell>
          <cell r="O33">
            <v>101.71571463594017</v>
          </cell>
          <cell r="P33">
            <v>98.8245285938752</v>
          </cell>
          <cell r="Q33">
            <v>0.54952581664910427</v>
          </cell>
          <cell r="R33">
            <v>70.829677419354852</v>
          </cell>
          <cell r="S33">
            <v>61.225806451612904</v>
          </cell>
          <cell r="T33">
            <v>26.225806451612904</v>
          </cell>
          <cell r="U33">
            <v>12.903225806451612</v>
          </cell>
          <cell r="V33">
            <v>10.96774193548387</v>
          </cell>
          <cell r="W33">
            <v>0</v>
          </cell>
          <cell r="X33">
            <v>2.5</v>
          </cell>
        </row>
        <row r="34">
          <cell r="A34">
            <v>33</v>
          </cell>
          <cell r="B34" t="str">
            <v>San Diego State</v>
          </cell>
          <cell r="C34" t="str">
            <v>Utah State</v>
          </cell>
          <cell r="D34">
            <v>14.550197800997752</v>
          </cell>
          <cell r="E34">
            <v>96.841816840552212</v>
          </cell>
          <cell r="F34">
            <v>87.434270076584269</v>
          </cell>
          <cell r="G34">
            <v>0.54383954154727798</v>
          </cell>
          <cell r="H34">
            <v>69.707999999999998</v>
          </cell>
          <cell r="I34">
            <v>58.166666666666664</v>
          </cell>
          <cell r="J34">
            <v>21.533333333333335</v>
          </cell>
          <cell r="K34">
            <v>9.6999999999999993</v>
          </cell>
          <cell r="L34">
            <v>11.766666666666667</v>
          </cell>
          <cell r="M34">
            <v>0</v>
          </cell>
          <cell r="N34">
            <v>16.347492910416953</v>
          </cell>
          <cell r="O34">
            <v>99.814093598708979</v>
          </cell>
          <cell r="P34">
            <v>89.773356716311071</v>
          </cell>
          <cell r="Q34">
            <v>0.57657142857142862</v>
          </cell>
          <cell r="R34">
            <v>67.801333333333332</v>
          </cell>
          <cell r="S34">
            <v>58.333333333333336</v>
          </cell>
          <cell r="T34">
            <v>22.2</v>
          </cell>
          <cell r="U34">
            <v>10.766666666666667</v>
          </cell>
          <cell r="V34">
            <v>10.466666666666667</v>
          </cell>
          <cell r="W34">
            <v>0</v>
          </cell>
          <cell r="X34">
            <v>1.5</v>
          </cell>
        </row>
        <row r="35">
          <cell r="A35">
            <v>34</v>
          </cell>
          <cell r="B35" t="str">
            <v>Uconn</v>
          </cell>
          <cell r="C35" t="str">
            <v>St. John's</v>
          </cell>
          <cell r="D35">
            <v>18.208291246988694</v>
          </cell>
          <cell r="E35">
            <v>99.985237449118031</v>
          </cell>
          <cell r="F35">
            <v>95.057403075511033</v>
          </cell>
          <cell r="G35">
            <v>0.55555555555555558</v>
          </cell>
          <cell r="H35">
            <v>66.338064516129037</v>
          </cell>
          <cell r="I35">
            <v>58.645161290322584</v>
          </cell>
          <cell r="J35">
            <v>18.29032258064516</v>
          </cell>
          <cell r="K35">
            <v>11.387096774193548</v>
          </cell>
          <cell r="L35">
            <v>11.03225806451613</v>
          </cell>
          <cell r="M35">
            <v>0</v>
          </cell>
          <cell r="N35">
            <v>15.109788733361889</v>
          </cell>
          <cell r="O35">
            <v>102.58678864787763</v>
          </cell>
          <cell r="P35">
            <v>99.76074998519745</v>
          </cell>
          <cell r="Q35">
            <v>0.50967573221757323</v>
          </cell>
          <cell r="R35">
            <v>70.571612903225812</v>
          </cell>
          <cell r="S35">
            <v>61.677419354838712</v>
          </cell>
          <cell r="T35">
            <v>26.225806451612904</v>
          </cell>
          <cell r="U35">
            <v>13.193548387096774</v>
          </cell>
          <cell r="V35">
            <v>10.548387096774194</v>
          </cell>
          <cell r="W35">
            <v>0</v>
          </cell>
          <cell r="X35">
            <v>-2.5</v>
          </cell>
        </row>
        <row r="36">
          <cell r="A36">
            <v>35</v>
          </cell>
          <cell r="B36" t="str">
            <v>Toledo</v>
          </cell>
          <cell r="C36" t="str">
            <v>Akron</v>
          </cell>
          <cell r="D36">
            <v>4.1368006701786264</v>
          </cell>
          <cell r="E36">
            <v>100.01830473218929</v>
          </cell>
          <cell r="F36">
            <v>101.61078845085268</v>
          </cell>
          <cell r="G36">
            <v>0.54476439790575915</v>
          </cell>
          <cell r="H36">
            <v>69.429677419354846</v>
          </cell>
          <cell r="I36">
            <v>61.612903225806448</v>
          </cell>
          <cell r="J36">
            <v>18.64516129032258</v>
          </cell>
          <cell r="K36">
            <v>10.516129032258064</v>
          </cell>
          <cell r="L36">
            <v>10.129032258064516</v>
          </cell>
          <cell r="M36">
            <v>0</v>
          </cell>
          <cell r="N36">
            <v>10.49945141256813</v>
          </cell>
          <cell r="O36">
            <v>99.8801284338209</v>
          </cell>
          <cell r="P36">
            <v>94.797305672709399</v>
          </cell>
          <cell r="Q36">
            <v>0.59409687184661952</v>
          </cell>
          <cell r="R36">
            <v>71.441290322580642</v>
          </cell>
          <cell r="S36">
            <v>63.935483870967744</v>
          </cell>
          <cell r="T36">
            <v>17.64516129032258</v>
          </cell>
          <cell r="U36">
            <v>11.35483870967742</v>
          </cell>
          <cell r="V36">
            <v>11.096774193548388</v>
          </cell>
          <cell r="W36">
            <v>0</v>
          </cell>
          <cell r="X36">
            <v>7</v>
          </cell>
        </row>
        <row r="37">
          <cell r="A37">
            <v>36</v>
          </cell>
          <cell r="B37" t="str">
            <v>Virginia</v>
          </cell>
          <cell r="C37" t="str">
            <v>Duke</v>
          </cell>
          <cell r="D37">
            <v>13.035509619415494</v>
          </cell>
          <cell r="E37">
            <v>102.89121915051371</v>
          </cell>
          <cell r="F37">
            <v>105.11224188648033</v>
          </cell>
          <cell r="G37">
            <v>0.54407859798194369</v>
          </cell>
          <cell r="H37">
            <v>67.184516129032261</v>
          </cell>
          <cell r="I37">
            <v>60.741935483870968</v>
          </cell>
          <cell r="J37">
            <v>20.580645161290324</v>
          </cell>
          <cell r="K37">
            <v>13.451612903225806</v>
          </cell>
          <cell r="L37">
            <v>10.838709677419354</v>
          </cell>
          <cell r="M37">
            <v>0</v>
          </cell>
          <cell r="N37">
            <v>23.818031475685999</v>
          </cell>
          <cell r="O37">
            <v>101.49806376319559</v>
          </cell>
          <cell r="P37">
            <v>100.14794611787336</v>
          </cell>
          <cell r="Q37">
            <v>0.57475083056478404</v>
          </cell>
          <cell r="R37">
            <v>66.400000000000006</v>
          </cell>
          <cell r="S37">
            <v>58.258064516129032</v>
          </cell>
          <cell r="T37">
            <v>22.096774193548388</v>
          </cell>
          <cell r="U37">
            <v>12</v>
          </cell>
          <cell r="V37">
            <v>10.419354838709678</v>
          </cell>
          <cell r="W37">
            <v>0</v>
          </cell>
          <cell r="X37">
            <v>8.5</v>
          </cell>
        </row>
        <row r="38">
          <cell r="A38">
            <v>37</v>
          </cell>
          <cell r="B38" t="str">
            <v>Kennesaw State</v>
          </cell>
          <cell r="C38" t="str">
            <v>Louisiana Tech</v>
          </cell>
          <cell r="D38">
            <v>6.490752715038262</v>
          </cell>
          <cell r="E38">
            <v>101.8432322449375</v>
          </cell>
          <cell r="F38">
            <v>97.141081053482708</v>
          </cell>
          <cell r="G38">
            <v>0.52519480519480521</v>
          </cell>
          <cell r="H38">
            <v>71.699354838709667</v>
          </cell>
          <cell r="I38">
            <v>62.096774193548384</v>
          </cell>
          <cell r="J38">
            <v>26.516129032258064</v>
          </cell>
          <cell r="K38">
            <v>13.806451612903226</v>
          </cell>
          <cell r="L38">
            <v>11.741935483870968</v>
          </cell>
          <cell r="M38">
            <v>0</v>
          </cell>
          <cell r="N38">
            <v>2.6443345975686983</v>
          </cell>
          <cell r="O38">
            <v>99.919161188678217</v>
          </cell>
          <cell r="P38">
            <v>98.415627483867411</v>
          </cell>
          <cell r="Q38">
            <v>0.49525669642857145</v>
          </cell>
          <cell r="R38">
            <v>65.900645161290328</v>
          </cell>
          <cell r="S38">
            <v>57.806451612903224</v>
          </cell>
          <cell r="T38">
            <v>19.129032258064516</v>
          </cell>
          <cell r="U38">
            <v>12.96774193548387</v>
          </cell>
          <cell r="V38">
            <v>12.64516129032258</v>
          </cell>
          <cell r="W38">
            <v>0</v>
          </cell>
          <cell r="X38">
            <v>-1.5</v>
          </cell>
        </row>
        <row r="39">
          <cell r="A39">
            <v>38</v>
          </cell>
          <cell r="B39" t="str">
            <v>Hawaii</v>
          </cell>
          <cell r="C39" t="str">
            <v>UC Irvine</v>
          </cell>
          <cell r="D39">
            <v>2.4205256715728276</v>
          </cell>
          <cell r="E39">
            <v>96.251520482533294</v>
          </cell>
          <cell r="F39">
            <v>92.252558584997232</v>
          </cell>
          <cell r="G39">
            <v>0.52753872633390708</v>
          </cell>
          <cell r="H39">
            <v>71.861333333333334</v>
          </cell>
          <cell r="I39">
            <v>58.1</v>
          </cell>
          <cell r="J39">
            <v>25.366666666666667</v>
          </cell>
          <cell r="K39">
            <v>10.733333333333333</v>
          </cell>
          <cell r="L39">
            <v>13.333333333333334</v>
          </cell>
          <cell r="M39">
            <v>0</v>
          </cell>
          <cell r="N39">
            <v>5.2870372643884913</v>
          </cell>
          <cell r="O39">
            <v>98.000795228628249</v>
          </cell>
          <cell r="P39">
            <v>92.824900535566286</v>
          </cell>
          <cell r="Q39">
            <v>0.51370585134422775</v>
          </cell>
          <cell r="R39">
            <v>71.811612903225807</v>
          </cell>
          <cell r="S39">
            <v>61.193548387096776</v>
          </cell>
          <cell r="T39">
            <v>21.419354838709676</v>
          </cell>
          <cell r="U39">
            <v>11.548387096774194</v>
          </cell>
          <cell r="V39">
            <v>12.741935483870968</v>
          </cell>
          <cell r="W39">
            <v>0</v>
          </cell>
          <cell r="X39">
            <v>2</v>
          </cell>
        </row>
        <row r="40">
          <cell r="A40">
            <v>39</v>
          </cell>
          <cell r="B40" t="str">
            <v>California Baptist</v>
          </cell>
          <cell r="C40" t="str">
            <v>Utah Valley</v>
          </cell>
          <cell r="D40">
            <v>4.601636720836713</v>
          </cell>
          <cell r="E40">
            <v>101.16726287262874</v>
          </cell>
          <cell r="F40">
            <v>89.920292368090941</v>
          </cell>
          <cell r="G40">
            <v>0.48252536640360766</v>
          </cell>
          <cell r="H40">
            <v>67.391999999999996</v>
          </cell>
          <cell r="I40">
            <v>59.133333333333333</v>
          </cell>
          <cell r="J40">
            <v>21.8</v>
          </cell>
          <cell r="K40">
            <v>13.866666666666667</v>
          </cell>
          <cell r="L40">
            <v>12.533333333333333</v>
          </cell>
          <cell r="M40">
            <v>0</v>
          </cell>
          <cell r="N40">
            <v>7.1660953976463073</v>
          </cell>
          <cell r="O40">
            <v>96.788608522667772</v>
          </cell>
          <cell r="P40">
            <v>87.924687269369926</v>
          </cell>
          <cell r="Q40">
            <v>0.56105144149236852</v>
          </cell>
          <cell r="R40">
            <v>70.398666666666671</v>
          </cell>
          <cell r="S40">
            <v>58.966666666666669</v>
          </cell>
          <cell r="T40">
            <v>21.133333333333333</v>
          </cell>
          <cell r="U40">
            <v>11.933333333333334</v>
          </cell>
          <cell r="V40">
            <v>14.066666666666666</v>
          </cell>
          <cell r="W40">
            <v>0</v>
          </cell>
          <cell r="X40">
            <v>3</v>
          </cell>
        </row>
        <row r="41">
          <cell r="A41">
            <v>40</v>
          </cell>
          <cell r="B41" t="str">
            <v>Vermont</v>
          </cell>
          <cell r="C41" t="str">
            <v>UMBC</v>
          </cell>
          <cell r="D41">
            <v>-8.3049596389430835</v>
          </cell>
          <cell r="E41">
            <v>98.685284640171872</v>
          </cell>
          <cell r="F41">
            <v>109.91881615719028</v>
          </cell>
          <cell r="G41">
            <v>0.54303164908384227</v>
          </cell>
          <cell r="H41">
            <v>64.849999999999994</v>
          </cell>
          <cell r="I41">
            <v>56.28125</v>
          </cell>
          <cell r="J41">
            <v>18.125</v>
          </cell>
          <cell r="K41">
            <v>8.84375</v>
          </cell>
          <cell r="L41">
            <v>9.4375</v>
          </cell>
          <cell r="M41">
            <v>0</v>
          </cell>
          <cell r="N41">
            <v>-8.1832066239376893</v>
          </cell>
          <cell r="O41">
            <v>97.210907835692097</v>
          </cell>
          <cell r="P41">
            <v>110.54326482948768</v>
          </cell>
          <cell r="Q41">
            <v>0.5430982519590114</v>
          </cell>
          <cell r="R41">
            <v>66.972413793103442</v>
          </cell>
          <cell r="S41">
            <v>57.206896551724135</v>
          </cell>
          <cell r="T41">
            <v>18.275862068965516</v>
          </cell>
          <cell r="U41">
            <v>8.068965517241379</v>
          </cell>
          <cell r="V41">
            <v>9.7931034482758612</v>
          </cell>
          <cell r="W41">
            <v>0</v>
          </cell>
          <cell r="X41">
            <v>3.5</v>
          </cell>
        </row>
        <row r="42">
          <cell r="A42">
            <v>41</v>
          </cell>
          <cell r="B42" t="str">
            <v>North Carolina Central</v>
          </cell>
          <cell r="C42" t="str">
            <v>Howard</v>
          </cell>
          <cell r="D42">
            <v>-12.049706064548028</v>
          </cell>
          <cell r="E42">
            <v>97.391178918169217</v>
          </cell>
          <cell r="F42">
            <v>102.17668911130822</v>
          </cell>
          <cell r="G42">
            <v>0.49514563106796117</v>
          </cell>
          <cell r="H42">
            <v>68.108965517241387</v>
          </cell>
          <cell r="I42">
            <v>56.827586206896555</v>
          </cell>
          <cell r="J42">
            <v>22.03448275862069</v>
          </cell>
          <cell r="K42">
            <v>10.689655172413794</v>
          </cell>
          <cell r="L42">
            <v>12.275862068965518</v>
          </cell>
          <cell r="M42">
            <v>0</v>
          </cell>
          <cell r="N42">
            <v>-7.0667288784066029</v>
          </cell>
          <cell r="O42">
            <v>97.771296389419689</v>
          </cell>
          <cell r="P42">
            <v>101.22012384797286</v>
          </cell>
          <cell r="Q42">
            <v>0.52172686230248311</v>
          </cell>
          <cell r="R42">
            <v>69.380645161290332</v>
          </cell>
          <cell r="S42">
            <v>57.161290322580648</v>
          </cell>
          <cell r="T42">
            <v>24.838709677419356</v>
          </cell>
          <cell r="U42">
            <v>12.290322580645162</v>
          </cell>
          <cell r="V42">
            <v>13.580645161290322</v>
          </cell>
          <cell r="W42">
            <v>0</v>
          </cell>
          <cell r="X42">
            <v>13</v>
          </cell>
        </row>
        <row r="43">
          <cell r="A43">
            <v>42</v>
          </cell>
          <cell r="B43" t="str">
            <v>Prairie View A&amp;M</v>
          </cell>
          <cell r="C43" t="str">
            <v>Southern</v>
          </cell>
          <cell r="D43">
            <v>-10.748183340293197</v>
          </cell>
          <cell r="E43">
            <v>96.942723004694827</v>
          </cell>
          <cell r="F43">
            <v>93.291737667336207</v>
          </cell>
          <cell r="G43">
            <v>0.49388297872340425</v>
          </cell>
          <cell r="H43">
            <v>74.380645161290332</v>
          </cell>
          <cell r="I43">
            <v>60.645161290322584</v>
          </cell>
          <cell r="J43">
            <v>26.451612903225808</v>
          </cell>
          <cell r="K43">
            <v>10.161290322580646</v>
          </cell>
          <cell r="L43">
            <v>12.258064516129032</v>
          </cell>
          <cell r="M43">
            <v>0</v>
          </cell>
          <cell r="N43">
            <v>-6.7092460643817606</v>
          </cell>
          <cell r="O43">
            <v>99.018646109371232</v>
          </cell>
          <cell r="P43">
            <v>93.207129449722274</v>
          </cell>
          <cell r="Q43">
            <v>0.50943396226415094</v>
          </cell>
          <cell r="R43">
            <v>72.842580645161291</v>
          </cell>
          <cell r="S43">
            <v>61.548387096774192</v>
          </cell>
          <cell r="T43">
            <v>24.93548387096774</v>
          </cell>
          <cell r="U43">
            <v>11.67741935483871</v>
          </cell>
          <cell r="V43">
            <v>12</v>
          </cell>
          <cell r="W43">
            <v>0</v>
          </cell>
          <cell r="X43">
            <v>3</v>
          </cell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19"/>
  <sheetViews>
    <sheetView tabSelected="1" workbookViewId="0">
      <selection activeCell="A2" sqref="A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B2" s="6" t="e">
        <f>VLOOKUP(A2,[1]Games!$B$2:$K$398,2,FALSE)</f>
        <v>#N/A</v>
      </c>
      <c r="C2" s="6" t="e">
        <f>VLOOKUP(A2,[1]Games!$B$2:$K$398,3,FALSE)</f>
        <v>#N/A</v>
      </c>
      <c r="D2" s="6" t="e">
        <f>B2</f>
        <v>#N/A</v>
      </c>
      <c r="E2" s="5" t="e">
        <f>VLOOKUP(A2,[1]Games!$B$2:$K$398,4,FALSE)</f>
        <v>#N/A</v>
      </c>
      <c r="F2" s="5" t="e">
        <f>-VLOOKUP(A2,[2]Games!$A$2:$X$300,24,FALSE)</f>
        <v>#N/A</v>
      </c>
      <c r="G2" s="7" t="e">
        <f>VLOOKUP(A2,[1]Games!$B$2:$K$398,9,FALSE)</f>
        <v>#N/A</v>
      </c>
      <c r="H2" s="7" t="e">
        <f>VLOOKUP(A2,[1]Games!$B$2:$K$398,7,FALSE)</f>
        <v>#N/A</v>
      </c>
      <c r="I2" s="7" t="e">
        <f>VLOOKUP(A2,[1]Games!$B$2:$K$398,8,FALSE)/4</f>
        <v>#N/A</v>
      </c>
      <c r="J2" s="8"/>
      <c r="K2" s="9">
        <f>IF(J2="Yes",(H2*1500)/100,0)</f>
        <v>0</v>
      </c>
    </row>
    <row r="3" spans="1:11" x14ac:dyDescent="0.2">
      <c r="E3" s="10"/>
      <c r="F3" s="10"/>
      <c r="G3" s="11"/>
      <c r="H3" s="11"/>
      <c r="I3" s="11"/>
      <c r="J3" s="11"/>
      <c r="K3" s="10"/>
    </row>
    <row r="4" spans="1:11" x14ac:dyDescent="0.2">
      <c r="E4" s="10"/>
      <c r="F4" s="10"/>
      <c r="G4" s="11"/>
      <c r="H4" s="11"/>
      <c r="I4" s="11"/>
      <c r="J4" s="11"/>
      <c r="K4" s="10"/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17" sqref="C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4</v>
      </c>
      <c r="B2" s="1">
        <f>COUNTIF($C$6:$C$150,"L")</f>
        <v>7</v>
      </c>
      <c r="C2" s="13">
        <f>SUM(F6:F13)/SUM(E6:E13)</f>
        <v>-0.60164936878897035</v>
      </c>
      <c r="D2" s="14">
        <f>AVERAGE(H6:H150)</f>
        <v>2.4502342779500797E-2</v>
      </c>
      <c r="E2" s="1">
        <f ca="1">COUNTIF(OFFSET($C$6,COUNTA($C$6:$C$1500)-10,0,10,1),"W")</f>
        <v>4</v>
      </c>
      <c r="F2" s="1">
        <f ca="1">COUNTIF(OFFSET($C$6,COUNTA($C$6:$C$1500)-10,0,10,1),"L")</f>
        <v>6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430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437</v>
      </c>
      <c r="E6" s="1">
        <v>0.94499999999999995</v>
      </c>
      <c r="F6" s="15">
        <f t="shared" ref="F6:F12" si="0">IF(C6="P",0,IF(C6="L",-E6,IF(K6&lt;0,E6*(100/-K6),E6*(K6/100)))/1)</f>
        <v>-0.94499999999999995</v>
      </c>
      <c r="G6" s="15">
        <f>F6</f>
        <v>-0.94499999999999995</v>
      </c>
      <c r="H6" s="11">
        <f t="shared" ref="H6:H12" si="1">((M6-P6)*3.55%)+(O6-L6)</f>
        <v>-1.9985536081552357E-2</v>
      </c>
      <c r="I6" s="11">
        <f>H6</f>
        <v>-1.9985536081552357E-2</v>
      </c>
      <c r="J6" s="1" t="s">
        <v>415</v>
      </c>
      <c r="K6" s="1">
        <v>-112</v>
      </c>
      <c r="L6" s="13">
        <f t="shared" ref="L6:L16" si="2">IF(K6&lt;0,K6/(K6-100),100/(K6+100))</f>
        <v>0.52830188679245282</v>
      </c>
      <c r="M6" s="1">
        <v>-14.5</v>
      </c>
      <c r="N6" s="1">
        <v>-111</v>
      </c>
      <c r="O6" s="13">
        <f t="shared" ref="O6:O16" si="3">IF(N6&lt;0,N6/(N6-100),100/(N6+100))</f>
        <v>0.52606635071090047</v>
      </c>
      <c r="P6" s="1">
        <v>-14</v>
      </c>
    </row>
    <row r="7" spans="1:16" x14ac:dyDescent="0.2">
      <c r="A7" s="1" t="s">
        <v>425</v>
      </c>
      <c r="B7" s="1">
        <f>B6+1</f>
        <v>2</v>
      </c>
      <c r="C7" s="1" t="s">
        <v>389</v>
      </c>
      <c r="D7" s="1" t="s">
        <v>436</v>
      </c>
      <c r="E7" s="1">
        <v>0.68979999999999997</v>
      </c>
      <c r="F7" s="15">
        <f t="shared" si="0"/>
        <v>-0.68979999999999997</v>
      </c>
      <c r="G7" s="15">
        <f>F7+G6</f>
        <v>-1.6347999999999998</v>
      </c>
      <c r="H7" s="11">
        <f t="shared" si="1"/>
        <v>5.3772693633062259E-3</v>
      </c>
      <c r="I7" s="11">
        <f>AVERAGE($H$6:H7)</f>
        <v>-7.3041333591230655E-3</v>
      </c>
      <c r="J7" s="1" t="s">
        <v>415</v>
      </c>
      <c r="K7" s="1">
        <v>-103</v>
      </c>
      <c r="L7" s="13">
        <f t="shared" si="2"/>
        <v>0.5073891625615764</v>
      </c>
      <c r="M7" s="1">
        <v>3</v>
      </c>
      <c r="N7" s="1">
        <v>-113</v>
      </c>
      <c r="O7" s="13">
        <f t="shared" si="3"/>
        <v>0.53051643192488263</v>
      </c>
      <c r="P7" s="1">
        <v>3.5</v>
      </c>
    </row>
    <row r="8" spans="1:16" x14ac:dyDescent="0.2">
      <c r="A8" s="1" t="s">
        <v>426</v>
      </c>
      <c r="B8" s="1">
        <f t="shared" ref="B8:B16" si="4">B7+1</f>
        <v>3</v>
      </c>
      <c r="C8" s="1" t="s">
        <v>388</v>
      </c>
      <c r="D8" s="1" t="s">
        <v>435</v>
      </c>
      <c r="E8" s="1">
        <v>0.74019999999999997</v>
      </c>
      <c r="F8" s="15">
        <f t="shared" si="0"/>
        <v>0.6729090909090909</v>
      </c>
      <c r="G8" s="15">
        <f>F8+G7</f>
        <v>-0.96189090909090891</v>
      </c>
      <c r="H8" s="11">
        <f t="shared" si="1"/>
        <v>0.10782963875205255</v>
      </c>
      <c r="I8" s="11">
        <f>AVERAGE($H$6:H8)</f>
        <v>3.1073790677935476E-2</v>
      </c>
      <c r="J8" s="1" t="s">
        <v>415</v>
      </c>
      <c r="K8" s="1">
        <v>-110</v>
      </c>
      <c r="L8" s="13">
        <f t="shared" si="2"/>
        <v>0.52380952380952384</v>
      </c>
      <c r="M8" s="1">
        <v>2.5</v>
      </c>
      <c r="N8" s="1">
        <v>-103</v>
      </c>
      <c r="O8" s="13">
        <f t="shared" si="3"/>
        <v>0.5073891625615764</v>
      </c>
      <c r="P8" s="1">
        <v>-1</v>
      </c>
    </row>
    <row r="9" spans="1:16" x14ac:dyDescent="0.2">
      <c r="A9" s="1" t="s">
        <v>427</v>
      </c>
      <c r="B9" s="1">
        <f t="shared" si="4"/>
        <v>4</v>
      </c>
      <c r="C9" s="1" t="s">
        <v>388</v>
      </c>
      <c r="D9" s="1" t="s">
        <v>434</v>
      </c>
      <c r="E9" s="1">
        <v>0.67900000000000005</v>
      </c>
      <c r="F9" s="15">
        <f t="shared" si="0"/>
        <v>0.61727272727272731</v>
      </c>
      <c r="G9" s="15">
        <f>F9+G8</f>
        <v>-0.3446181818181816</v>
      </c>
      <c r="H9" s="11">
        <f t="shared" si="1"/>
        <v>8.5035829865926608E-3</v>
      </c>
      <c r="I9" s="11">
        <f>AVERAGE($H$6:H9)</f>
        <v>2.5431238755099773E-2</v>
      </c>
      <c r="J9" s="1" t="s">
        <v>415</v>
      </c>
      <c r="K9" s="1">
        <v>-110</v>
      </c>
      <c r="L9" s="13">
        <f t="shared" si="2"/>
        <v>0.52380952380952384</v>
      </c>
      <c r="M9" s="1">
        <v>4.5</v>
      </c>
      <c r="N9" s="1">
        <v>-106</v>
      </c>
      <c r="O9" s="13">
        <f t="shared" si="3"/>
        <v>0.5145631067961165</v>
      </c>
      <c r="P9" s="1">
        <v>4</v>
      </c>
    </row>
    <row r="10" spans="1:16" x14ac:dyDescent="0.2">
      <c r="A10" s="1" t="s">
        <v>428</v>
      </c>
      <c r="B10" s="1">
        <f t="shared" si="4"/>
        <v>5</v>
      </c>
      <c r="C10" s="1" t="s">
        <v>389</v>
      </c>
      <c r="D10" s="1" t="s">
        <v>433</v>
      </c>
      <c r="E10" s="1">
        <v>1.2898000000000001</v>
      </c>
      <c r="F10" s="15">
        <f t="shared" si="0"/>
        <v>-1.2898000000000001</v>
      </c>
      <c r="G10" s="15">
        <f>F10+G9</f>
        <v>-1.6344181818181815</v>
      </c>
      <c r="H10" s="11">
        <f t="shared" si="1"/>
        <v>-3.9992362982928985E-2</v>
      </c>
      <c r="I10" s="11">
        <f>AVERAGE($H$6:H10)</f>
        <v>1.2346518407494022E-2</v>
      </c>
      <c r="J10" s="1" t="s">
        <v>415</v>
      </c>
      <c r="K10" s="1">
        <v>-112</v>
      </c>
      <c r="L10" s="13">
        <f t="shared" si="2"/>
        <v>0.52830188679245282</v>
      </c>
      <c r="M10" s="1">
        <v>-6.5</v>
      </c>
      <c r="N10" s="1">
        <v>-110</v>
      </c>
      <c r="O10" s="13">
        <f t="shared" si="3"/>
        <v>0.52380952380952384</v>
      </c>
      <c r="P10" s="1">
        <v>-5.5</v>
      </c>
    </row>
    <row r="11" spans="1:16" x14ac:dyDescent="0.2">
      <c r="A11" s="1" t="s">
        <v>429</v>
      </c>
      <c r="B11" s="1">
        <f t="shared" si="4"/>
        <v>6</v>
      </c>
      <c r="C11" s="1" t="s">
        <v>389</v>
      </c>
      <c r="D11" s="1" t="s">
        <v>431</v>
      </c>
      <c r="E11" s="1">
        <v>0.68820000000000003</v>
      </c>
      <c r="F11" s="15">
        <f t="shared" si="0"/>
        <v>-0.68820000000000003</v>
      </c>
      <c r="G11" s="15">
        <f t="shared" ref="G11:G12" si="5">F11+G10</f>
        <v>-2.3226181818181817</v>
      </c>
      <c r="H11" s="11">
        <f t="shared" si="1"/>
        <v>9.1028423331054986E-2</v>
      </c>
      <c r="I11" s="11">
        <f>AVERAGE($H$6:H11)</f>
        <v>2.5460169228087515E-2</v>
      </c>
      <c r="J11" s="1" t="s">
        <v>415</v>
      </c>
      <c r="K11" s="1">
        <v>-109</v>
      </c>
      <c r="L11" s="13">
        <f t="shared" si="2"/>
        <v>0.52153110047846885</v>
      </c>
      <c r="M11" s="1">
        <v>1.5</v>
      </c>
      <c r="N11" s="1">
        <v>-110</v>
      </c>
      <c r="O11" s="13">
        <f t="shared" si="3"/>
        <v>0.52380952380952384</v>
      </c>
      <c r="P11" s="1">
        <v>-1</v>
      </c>
    </row>
    <row r="12" spans="1:16" x14ac:dyDescent="0.2">
      <c r="A12" s="1" t="s">
        <v>429</v>
      </c>
      <c r="B12" s="1">
        <f t="shared" si="4"/>
        <v>7</v>
      </c>
      <c r="C12" s="1" t="s">
        <v>389</v>
      </c>
      <c r="D12" s="1" t="s">
        <v>432</v>
      </c>
      <c r="E12" s="1">
        <v>0.69510000000000005</v>
      </c>
      <c r="F12" s="15">
        <f t="shared" si="0"/>
        <v>-0.69510000000000005</v>
      </c>
      <c r="G12" s="15">
        <f t="shared" si="5"/>
        <v>-3.0177181818181817</v>
      </c>
      <c r="H12" s="11">
        <f t="shared" si="1"/>
        <v>0.13975593655856822</v>
      </c>
      <c r="I12" s="11">
        <f>AVERAGE($H$6:H12)</f>
        <v>4.1788135989584758E-2</v>
      </c>
      <c r="J12" s="1" t="s">
        <v>415</v>
      </c>
      <c r="K12" s="1">
        <v>-109</v>
      </c>
      <c r="L12" s="13">
        <f t="shared" si="2"/>
        <v>0.52153110047846885</v>
      </c>
      <c r="M12" s="1">
        <v>1.5</v>
      </c>
      <c r="N12" s="1">
        <v>-116</v>
      </c>
      <c r="O12" s="13">
        <f t="shared" si="3"/>
        <v>0.53703703703703709</v>
      </c>
      <c r="P12" s="1">
        <v>-2</v>
      </c>
    </row>
    <row r="13" spans="1:16" x14ac:dyDescent="0.2">
      <c r="A13" s="1" t="s">
        <v>429</v>
      </c>
      <c r="B13" s="1">
        <f t="shared" si="4"/>
        <v>8</v>
      </c>
      <c r="C13" s="1" t="s">
        <v>389</v>
      </c>
      <c r="D13" s="1" t="s">
        <v>438</v>
      </c>
      <c r="E13" s="1">
        <v>1.0744</v>
      </c>
      <c r="F13" s="15">
        <f t="shared" ref="F13:F16" si="6">IF(C13="P",0,IF(C13="L",-E13,IF(K13&lt;0,E13*(100/-K13),E13*(K13/100)))/1)</f>
        <v>-1.0744</v>
      </c>
      <c r="G13" s="15">
        <f t="shared" ref="G13:G16" si="7">F13+G12</f>
        <v>-4.092118181818182</v>
      </c>
      <c r="H13" s="11">
        <f t="shared" ref="H13:H16" si="8">((M13-P13)*3.55%)+(O13-L13)</f>
        <v>-1.7749999999999998E-2</v>
      </c>
      <c r="I13" s="11">
        <f>AVERAGE($H$6:H13)</f>
        <v>3.4345868990886666E-2</v>
      </c>
      <c r="J13" s="1" t="s">
        <v>415</v>
      </c>
      <c r="K13" s="1">
        <v>-107</v>
      </c>
      <c r="L13" s="13">
        <f t="shared" si="2"/>
        <v>0.51690821256038644</v>
      </c>
      <c r="M13" s="1">
        <v>2</v>
      </c>
      <c r="N13" s="1">
        <v>-107</v>
      </c>
      <c r="O13" s="13">
        <f t="shared" si="3"/>
        <v>0.51690821256038644</v>
      </c>
      <c r="P13" s="1">
        <v>2.5</v>
      </c>
    </row>
    <row r="14" spans="1:16" x14ac:dyDescent="0.2">
      <c r="A14" s="1" t="s">
        <v>439</v>
      </c>
      <c r="B14" s="1">
        <f t="shared" si="4"/>
        <v>9</v>
      </c>
      <c r="C14" s="1" t="s">
        <v>388</v>
      </c>
      <c r="D14" s="1" t="s">
        <v>440</v>
      </c>
      <c r="E14" s="1">
        <v>1.0632999999999999</v>
      </c>
      <c r="F14" s="15">
        <f t="shared" si="6"/>
        <v>0.96663636363636352</v>
      </c>
      <c r="G14" s="15">
        <f t="shared" si="7"/>
        <v>-3.1254818181818185</v>
      </c>
      <c r="H14" s="11">
        <f>((M14-P14)*3.55%)+(O14-L14)</f>
        <v>2.6650756564307886E-2</v>
      </c>
      <c r="I14" s="11">
        <f>AVERAGE($H$6:H14)</f>
        <v>3.3490856499044576E-2</v>
      </c>
      <c r="J14" s="1" t="s">
        <v>415</v>
      </c>
      <c r="K14" s="1">
        <v>-110</v>
      </c>
      <c r="L14" s="13">
        <f t="shared" si="2"/>
        <v>0.52380952380952384</v>
      </c>
      <c r="M14" s="1">
        <v>-6</v>
      </c>
      <c r="N14" s="1">
        <v>-114</v>
      </c>
      <c r="O14" s="13">
        <f t="shared" si="3"/>
        <v>0.53271028037383172</v>
      </c>
      <c r="P14" s="1">
        <v>-6.5</v>
      </c>
    </row>
    <row r="15" spans="1:16" x14ac:dyDescent="0.2">
      <c r="A15" s="1" t="s">
        <v>439</v>
      </c>
      <c r="B15" s="1">
        <f t="shared" si="4"/>
        <v>10</v>
      </c>
      <c r="C15" s="1" t="s">
        <v>389</v>
      </c>
      <c r="D15" s="1" t="s">
        <v>441</v>
      </c>
      <c r="E15" s="1">
        <v>0.82620000000000005</v>
      </c>
      <c r="F15" s="15">
        <f t="shared" si="6"/>
        <v>-0.82620000000000005</v>
      </c>
      <c r="G15" s="15">
        <f t="shared" si="7"/>
        <v>-3.9516818181818185</v>
      </c>
      <c r="H15" s="11">
        <f t="shared" si="8"/>
        <v>-3.3221576668945006E-2</v>
      </c>
      <c r="I15" s="11">
        <f>AVERAGE($H$6:H15)</f>
        <v>2.681961318224562E-2</v>
      </c>
      <c r="J15" s="1" t="s">
        <v>415</v>
      </c>
      <c r="K15" s="1">
        <v>-109</v>
      </c>
      <c r="L15" s="13">
        <f t="shared" si="2"/>
        <v>0.52153110047846885</v>
      </c>
      <c r="M15" s="1">
        <v>-9.5</v>
      </c>
      <c r="N15" s="1">
        <v>-110</v>
      </c>
      <c r="O15" s="13">
        <f t="shared" si="3"/>
        <v>0.52380952380952384</v>
      </c>
      <c r="P15" s="1">
        <v>-8.5</v>
      </c>
    </row>
    <row r="16" spans="1:16" x14ac:dyDescent="0.2">
      <c r="A16" s="1" t="s">
        <v>439</v>
      </c>
      <c r="B16" s="1">
        <f t="shared" si="4"/>
        <v>11</v>
      </c>
      <c r="C16" s="1" t="s">
        <v>388</v>
      </c>
      <c r="D16" s="1" t="s">
        <v>442</v>
      </c>
      <c r="E16" s="1">
        <v>0.72199999999999998</v>
      </c>
      <c r="F16" s="15">
        <f t="shared" si="6"/>
        <v>0.65636363636363637</v>
      </c>
      <c r="G16" s="15">
        <f t="shared" si="7"/>
        <v>-3.2953181818181823</v>
      </c>
      <c r="H16" s="11">
        <f t="shared" si="8"/>
        <v>1.3296387520525636E-3</v>
      </c>
      <c r="I16" s="11">
        <f>AVERAGE($H$6:H16)</f>
        <v>2.4502342779500797E-2</v>
      </c>
      <c r="J16" s="1" t="s">
        <v>415</v>
      </c>
      <c r="K16" s="1">
        <v>-110</v>
      </c>
      <c r="L16" s="13">
        <f t="shared" si="2"/>
        <v>0.52380952380952384</v>
      </c>
      <c r="M16" s="1">
        <v>-1.5</v>
      </c>
      <c r="N16" s="1">
        <v>-103</v>
      </c>
      <c r="O16" s="13">
        <f t="shared" si="3"/>
        <v>0.5073891625615764</v>
      </c>
      <c r="P16" s="1">
        <v>-2</v>
      </c>
    </row>
    <row r="17" spans="6:16" x14ac:dyDescent="0.2">
      <c r="F17" s="15"/>
      <c r="G17" s="15"/>
      <c r="H17" s="11"/>
      <c r="I17" s="11"/>
      <c r="J17" s="1"/>
      <c r="K17" s="1"/>
      <c r="L17" s="13"/>
      <c r="M17" s="1"/>
      <c r="N17" s="1"/>
      <c r="O17" s="13"/>
      <c r="P17" s="1"/>
    </row>
    <row r="18" spans="6:16" x14ac:dyDescent="0.2">
      <c r="F18" s="15"/>
      <c r="G18" s="15"/>
      <c r="H18" s="11"/>
      <c r="I18" s="11"/>
      <c r="J18" s="1"/>
      <c r="K18" s="1"/>
      <c r="L18" s="13"/>
      <c r="M18" s="1"/>
      <c r="N18" s="1"/>
      <c r="O18" s="13"/>
      <c r="P18" s="1"/>
    </row>
    <row r="19" spans="6:16" x14ac:dyDescent="0.2">
      <c r="F19" s="15"/>
      <c r="G19" s="15"/>
      <c r="H19" s="11"/>
      <c r="I19" s="11"/>
      <c r="J19" s="1"/>
      <c r="K19" s="1"/>
      <c r="L19" s="13"/>
      <c r="M19" s="1"/>
      <c r="N19" s="1"/>
      <c r="O19" s="13"/>
      <c r="P19" s="1"/>
    </row>
    <row r="20" spans="6:16" x14ac:dyDescent="0.2">
      <c r="F20" s="15"/>
      <c r="G20" s="15"/>
      <c r="H20" s="11"/>
      <c r="I20" s="11"/>
      <c r="J20" s="1"/>
      <c r="K20" s="1"/>
      <c r="L20" s="13"/>
      <c r="M20" s="1"/>
      <c r="N20" s="1"/>
      <c r="O20" s="13"/>
      <c r="P20" s="1"/>
    </row>
    <row r="21" spans="6:16" x14ac:dyDescent="0.2">
      <c r="F21" s="15"/>
      <c r="G21" s="15"/>
      <c r="H21" s="11"/>
      <c r="I21" s="11"/>
      <c r="J21" s="1"/>
      <c r="K21" s="1"/>
      <c r="L21" s="13"/>
      <c r="M21" s="1"/>
      <c r="N21" s="1"/>
      <c r="O21" s="13"/>
      <c r="P21" s="1"/>
    </row>
    <row r="22" spans="6:16" x14ac:dyDescent="0.2">
      <c r="F22" s="15"/>
      <c r="G22" s="15"/>
      <c r="H22" s="11"/>
      <c r="I22" s="11"/>
      <c r="J22" s="1"/>
      <c r="K22" s="1"/>
      <c r="L22" s="13"/>
      <c r="M22" s="1"/>
      <c r="N22" s="1"/>
      <c r="O22" s="13"/>
      <c r="P22" s="1"/>
    </row>
    <row r="23" spans="6:16" x14ac:dyDescent="0.2">
      <c r="F23" s="15"/>
      <c r="G23" s="15"/>
      <c r="H23" s="11"/>
      <c r="I23" s="11"/>
      <c r="J23" s="1"/>
      <c r="K23" s="1"/>
      <c r="L23" s="13"/>
      <c r="M23" s="1"/>
      <c r="N23" s="1"/>
      <c r="O23" s="13"/>
      <c r="P23" s="1"/>
    </row>
    <row r="24" spans="6:16" x14ac:dyDescent="0.2">
      <c r="F24" s="15"/>
      <c r="G24" s="15"/>
      <c r="H24" s="11"/>
      <c r="I24" s="11"/>
      <c r="J24" s="1"/>
      <c r="K24" s="1"/>
      <c r="L24" s="13"/>
      <c r="M24" s="1"/>
      <c r="N24" s="1"/>
      <c r="O24" s="13"/>
      <c r="P24" s="1"/>
    </row>
    <row r="25" spans="6:16" x14ac:dyDescent="0.2">
      <c r="F25" s="15"/>
      <c r="G25" s="15"/>
      <c r="H25" s="11"/>
      <c r="I25" s="11"/>
      <c r="J25" s="1"/>
      <c r="K25" s="1"/>
      <c r="L25" s="13"/>
      <c r="M25" s="1"/>
      <c r="N25" s="1"/>
      <c r="O25" s="13"/>
      <c r="P25" s="1"/>
    </row>
    <row r="26" spans="6:16" x14ac:dyDescent="0.2">
      <c r="F26" s="15"/>
      <c r="G26" s="15"/>
      <c r="H26" s="11"/>
      <c r="I26" s="11"/>
      <c r="J26" s="1"/>
      <c r="K26" s="1"/>
      <c r="L26" s="13"/>
      <c r="M26" s="1"/>
      <c r="N26" s="1"/>
      <c r="O26" s="13"/>
      <c r="P26" s="1"/>
    </row>
    <row r="27" spans="6:16" x14ac:dyDescent="0.2">
      <c r="F27" s="15"/>
      <c r="G27" s="15"/>
      <c r="H27" s="11"/>
      <c r="I27" s="11"/>
      <c r="J27" s="1"/>
      <c r="K27" s="1"/>
      <c r="L27" s="13"/>
      <c r="M27" s="1"/>
      <c r="N27" s="1"/>
      <c r="O27" s="13"/>
      <c r="P27" s="1"/>
    </row>
    <row r="28" spans="6:16" x14ac:dyDescent="0.2">
      <c r="F28" s="15"/>
      <c r="G28" s="15"/>
      <c r="H28" s="11"/>
      <c r="I28" s="11"/>
      <c r="J28" s="1"/>
      <c r="K28" s="1"/>
      <c r="L28" s="13"/>
      <c r="M28" s="1"/>
      <c r="N28" s="1"/>
      <c r="O28" s="13"/>
      <c r="P28" s="1"/>
    </row>
    <row r="29" spans="6:16" x14ac:dyDescent="0.2">
      <c r="F29" s="15"/>
      <c r="G29" s="15"/>
      <c r="H29" s="11"/>
      <c r="I29" s="11"/>
      <c r="J29" s="1"/>
      <c r="K29" s="1"/>
      <c r="L29" s="13"/>
      <c r="M29" s="1"/>
      <c r="N29" s="1"/>
      <c r="O29" s="13"/>
      <c r="P29" s="1"/>
    </row>
    <row r="30" spans="6:16" x14ac:dyDescent="0.2">
      <c r="F30" s="15"/>
      <c r="G30" s="15"/>
      <c r="H30" s="11"/>
      <c r="I30" s="11"/>
      <c r="J30" s="1"/>
      <c r="K30" s="1"/>
      <c r="L30" s="13"/>
      <c r="M30" s="1"/>
      <c r="N30" s="1"/>
      <c r="O30" s="13"/>
      <c r="P30" s="1"/>
    </row>
    <row r="31" spans="6:16" x14ac:dyDescent="0.2">
      <c r="F31" s="15"/>
      <c r="G31" s="15"/>
      <c r="H31" s="11"/>
      <c r="I31" s="11"/>
      <c r="J31" s="1"/>
      <c r="K31" s="1"/>
      <c r="L31" s="13"/>
      <c r="M31" s="1"/>
      <c r="N31" s="1"/>
      <c r="O31" s="13"/>
      <c r="P31" s="1"/>
    </row>
    <row r="32" spans="6:16" x14ac:dyDescent="0.2">
      <c r="F32" s="15"/>
      <c r="G32" s="15"/>
      <c r="H32" s="11"/>
      <c r="I32" s="11"/>
      <c r="J32" s="1"/>
      <c r="K32" s="1"/>
      <c r="L32" s="13"/>
      <c r="M32" s="1"/>
      <c r="N32" s="1"/>
      <c r="O32" s="13"/>
      <c r="P32" s="1"/>
    </row>
    <row r="33" spans="6:16" x14ac:dyDescent="0.2">
      <c r="F33" s="15"/>
      <c r="G33" s="15"/>
      <c r="H33" s="11"/>
      <c r="I33" s="11"/>
      <c r="J33" s="1"/>
      <c r="K33" s="1"/>
      <c r="L33" s="13"/>
      <c r="M33" s="1"/>
      <c r="N33" s="1"/>
      <c r="O33" s="13"/>
      <c r="P33" s="1"/>
    </row>
    <row r="34" spans="6:16" x14ac:dyDescent="0.2">
      <c r="F34" s="15"/>
      <c r="G34" s="15"/>
      <c r="H34" s="11"/>
      <c r="I34" s="11"/>
      <c r="J34" s="1"/>
      <c r="K34" s="1"/>
      <c r="L34" s="13"/>
      <c r="M34" s="1"/>
      <c r="N34" s="1"/>
      <c r="O34" s="13"/>
      <c r="P34" s="1"/>
    </row>
    <row r="35" spans="6:16" x14ac:dyDescent="0.2">
      <c r="F35" s="15"/>
      <c r="G35" s="15"/>
      <c r="H35" s="11"/>
      <c r="I35" s="11"/>
      <c r="J35" s="1"/>
      <c r="K35" s="1"/>
      <c r="L35" s="13"/>
      <c r="M35" s="1"/>
      <c r="N35" s="1"/>
      <c r="O35" s="13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2" t="s">
        <v>416</v>
      </c>
      <c r="K2" s="1">
        <f>IF(J2="W",(D2/100)*E2,IF(J2="",0,-E2))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2" t="s">
        <v>417</v>
      </c>
      <c r="K3" s="1">
        <f t="shared" ref="K3:K5" si="0">IF(J3="W",(D3/100)*E3,IF(J3="",0,-E3))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2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413</v>
      </c>
      <c r="H5" s="12" t="s">
        <v>417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424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2026-03-15T03:41:44Z</dcterms:modified>
</cp:coreProperties>
</file>