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F47787EA-0E91-5441-8D93-15FECB3664D7}" xr6:coauthVersionLast="47" xr6:coauthVersionMax="47" xr10:uidLastSave="{00000000-0000-0000-0000-000000000000}"/>
  <bookViews>
    <workbookView xWindow="0" yWindow="780" windowWidth="3420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B4" i="1" l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B8" i="1"/>
  <c r="D8" i="1" s="1"/>
  <c r="C8" i="1"/>
  <c r="F8" i="1"/>
  <c r="K8" i="1"/>
  <c r="B9" i="1"/>
  <c r="D9" i="1" s="1"/>
  <c r="C9" i="1"/>
  <c r="F9" i="1"/>
  <c r="K9" i="1"/>
  <c r="C2" i="4" l="1"/>
  <c r="O26" i="4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F3" i="1"/>
  <c r="K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4" i="1" l="1"/>
  <c r="E5" i="1"/>
  <c r="E6" i="1"/>
  <c r="E7" i="1"/>
  <c r="E8" i="1"/>
  <c r="E9" i="1"/>
  <c r="E2" i="1"/>
  <c r="E3" i="1" l="1"/>
  <c r="I3" i="1"/>
  <c r="I4" i="1"/>
  <c r="G4" i="1"/>
  <c r="I5" i="1"/>
  <c r="G5" i="1"/>
  <c r="I6" i="1"/>
  <c r="G6" i="1"/>
  <c r="K7" i="1"/>
  <c r="G8" i="1"/>
  <c r="I9" i="1"/>
  <c r="G9" i="1"/>
  <c r="G2" i="1"/>
  <c r="I2" i="1"/>
  <c r="I8" i="1" l="1"/>
  <c r="G7" i="1"/>
  <c r="I7" i="1"/>
  <c r="H2" i="1"/>
  <c r="K2" i="1" s="1"/>
  <c r="G3" i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</calcChain>
</file>

<file path=xl/sharedStrings.xml><?xml version="1.0" encoding="utf-8"?>
<sst xmlns="http://schemas.openxmlformats.org/spreadsheetml/2006/main" count="706" uniqueCount="465">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</sst>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Houston</v>
          </cell>
          <cell r="D2" t="str">
            <v>Illinois</v>
          </cell>
          <cell r="E2">
            <v>5.7742945023488783</v>
          </cell>
          <cell r="F2" t="b">
            <v>0</v>
          </cell>
          <cell r="G2">
            <v>0.56882889622899346</v>
          </cell>
          <cell r="H2">
            <v>0</v>
          </cell>
          <cell r="I2">
            <v>8.5946074618987622E-2</v>
          </cell>
          <cell r="J2">
            <v>0.34694764321218979</v>
          </cell>
          <cell r="K2">
            <v>0</v>
          </cell>
        </row>
        <row r="3">
          <cell r="B3">
            <v>2</v>
          </cell>
          <cell r="C3" t="str">
            <v>Arizona</v>
          </cell>
          <cell r="D3" t="str">
            <v>Arkansas</v>
          </cell>
          <cell r="E3">
            <v>10.17544759009586</v>
          </cell>
          <cell r="F3" t="b">
            <v>0</v>
          </cell>
          <cell r="G3">
            <v>0.55407571254869992</v>
          </cell>
          <cell r="H3">
            <v>0</v>
          </cell>
          <cell r="I3">
            <v>5.7780905774790781E-2</v>
          </cell>
          <cell r="J3">
            <v>0.44652162262184469</v>
          </cell>
          <cell r="K3">
            <v>0</v>
          </cell>
        </row>
        <row r="4">
          <cell r="B4">
            <v>3</v>
          </cell>
          <cell r="C4" t="str">
            <v>Nebraska</v>
          </cell>
          <cell r="D4" t="str">
            <v>Iowa</v>
          </cell>
          <cell r="E4">
            <v>5.5829743724806304</v>
          </cell>
          <cell r="F4" t="b">
            <v>0</v>
          </cell>
          <cell r="G4">
            <v>0.58859640890923282</v>
          </cell>
          <cell r="H4">
            <v>0</v>
          </cell>
          <cell r="I4">
            <v>0.1236840533721718</v>
          </cell>
          <cell r="J4">
            <v>0.38710225177014629</v>
          </cell>
          <cell r="K4">
            <v>0</v>
          </cell>
        </row>
        <row r="5">
          <cell r="B5">
            <v>4</v>
          </cell>
          <cell r="C5" t="str">
            <v>Purdue</v>
          </cell>
          <cell r="D5" t="str">
            <v>Texas</v>
          </cell>
          <cell r="E5">
            <v>9.442842152691437</v>
          </cell>
          <cell r="F5" t="b">
            <v>0</v>
          </cell>
          <cell r="G5">
            <v>0.56067375049667179</v>
          </cell>
          <cell r="H5">
            <v>0</v>
          </cell>
          <cell r="I5">
            <v>7.0377160039100772E-2</v>
          </cell>
          <cell r="J5">
            <v>0.43952016208204348</v>
          </cell>
          <cell r="K5">
            <v>0</v>
          </cell>
        </row>
        <row r="6">
          <cell r="B6">
            <v>5</v>
          </cell>
          <cell r="C6" t="str">
            <v>Duke</v>
          </cell>
          <cell r="D6" t="str">
            <v>St. John's</v>
          </cell>
          <cell r="E6">
            <v>10.90062402757979</v>
          </cell>
          <cell r="F6" t="b">
            <v>0</v>
          </cell>
          <cell r="G6">
            <v>0.60226039075025728</v>
          </cell>
          <cell r="H6">
            <v>0</v>
          </cell>
          <cell r="I6">
            <v>0.14976983688685491</v>
          </cell>
          <cell r="J6">
            <v>0.57242552718101847</v>
          </cell>
          <cell r="K6">
            <v>0</v>
          </cell>
        </row>
        <row r="7">
          <cell r="B7">
            <v>6</v>
          </cell>
          <cell r="C7" t="str">
            <v>Iowa State</v>
          </cell>
          <cell r="D7" t="str">
            <v>Tennessee</v>
          </cell>
          <cell r="E7">
            <v>6.1693961042649601</v>
          </cell>
          <cell r="F7" t="b">
            <v>0</v>
          </cell>
          <cell r="G7">
            <v>0.55392620988041141</v>
          </cell>
          <cell r="H7">
            <v>0</v>
          </cell>
          <cell r="I7">
            <v>5.7495491589876317E-2</v>
          </cell>
          <cell r="J7">
            <v>0.32440678103529169</v>
          </cell>
          <cell r="K7">
            <v>0</v>
          </cell>
        </row>
        <row r="8">
          <cell r="B8">
            <v>7</v>
          </cell>
          <cell r="C8" t="str">
            <v>Uconn</v>
          </cell>
          <cell r="D8" t="str">
            <v>Michigan State</v>
          </cell>
          <cell r="E8">
            <v>1.153376885695232</v>
          </cell>
          <cell r="F8" t="b">
            <v>0</v>
          </cell>
          <cell r="G8">
            <v>0.52109976312859441</v>
          </cell>
          <cell r="H8">
            <v>0</v>
          </cell>
          <cell r="I8">
            <v>-5.1731794817742593E-3</v>
          </cell>
          <cell r="J8">
            <v>1.3461591133435419E-2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Alabama</v>
          </cell>
          <cell r="E9">
            <v>10.995761388698931</v>
          </cell>
          <cell r="F9" t="b">
            <v>0</v>
          </cell>
          <cell r="G9">
            <v>0.52481218929335105</v>
          </cell>
          <cell r="H9">
            <v>0</v>
          </cell>
          <cell r="I9">
            <v>1.914179560033868E-3</v>
          </cell>
          <cell r="J9">
            <v>0.4055283806319735</v>
          </cell>
          <cell r="K9">
            <v>0</v>
          </cell>
        </row>
        <row r="10">
          <cell r="B10">
            <v>9</v>
          </cell>
          <cell r="C10" t="str">
            <v>Illinois</v>
          </cell>
          <cell r="D10" t="str">
            <v>Houston</v>
          </cell>
          <cell r="E10">
            <v>-2.5972659968097491</v>
          </cell>
          <cell r="F10" t="b">
            <v>0</v>
          </cell>
          <cell r="G10">
            <v>0.51004066609146437</v>
          </cell>
          <cell r="H10">
            <v>0</v>
          </cell>
          <cell r="I10">
            <v>-2.6286001098113469E-2</v>
          </cell>
          <cell r="J10">
            <v>5.9410701506423469E-2</v>
          </cell>
          <cell r="K10">
            <v>0</v>
          </cell>
        </row>
        <row r="11">
          <cell r="B11">
            <v>10</v>
          </cell>
          <cell r="C11" t="str">
            <v>Texas</v>
          </cell>
          <cell r="D11" t="str">
            <v>Arizona</v>
          </cell>
          <cell r="E11">
            <v>-7.8495794140245847</v>
          </cell>
          <cell r="F11" t="b">
            <v>0</v>
          </cell>
          <cell r="G11">
            <v>0.50375051547647842</v>
          </cell>
          <cell r="H11">
            <v>0</v>
          </cell>
          <cell r="I11">
            <v>-3.8294470453995699E-2</v>
          </cell>
          <cell r="J11">
            <v>0.2420191120804065</v>
          </cell>
          <cell r="K11">
            <v>0</v>
          </cell>
        </row>
        <row r="12">
          <cell r="B12">
            <v>11</v>
          </cell>
          <cell r="C12" t="str">
            <v>Iowa</v>
          </cell>
          <cell r="D12" t="str">
            <v>Nebraska</v>
          </cell>
          <cell r="E12">
            <v>0.8061527799804542</v>
          </cell>
          <cell r="F12" t="b">
            <v>0</v>
          </cell>
          <cell r="G12">
            <v>0.56961125963652415</v>
          </cell>
          <cell r="H12">
            <v>0</v>
          </cell>
          <cell r="I12">
            <v>8.7439677487909817E-2</v>
          </cell>
          <cell r="J12">
            <v>0.19277136123939659</v>
          </cell>
          <cell r="K12">
            <v>0</v>
          </cell>
        </row>
        <row r="13">
          <cell r="B13">
            <v>12</v>
          </cell>
          <cell r="C13" t="str">
            <v>Arkansas</v>
          </cell>
          <cell r="D13" t="str">
            <v>Purdue</v>
          </cell>
          <cell r="E13">
            <v>-4.5363947236177697</v>
          </cell>
          <cell r="F13" t="b">
            <v>0</v>
          </cell>
          <cell r="G13">
            <v>0.56118540620989066</v>
          </cell>
          <cell r="H13">
            <v>0</v>
          </cell>
          <cell r="I13">
            <v>7.1353957309791327E-2</v>
          </cell>
          <cell r="J13">
            <v>1.249128979806335E-3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Duke</v>
          </cell>
          <cell r="E14">
            <v>-5.7074469950208453</v>
          </cell>
          <cell r="F14" t="b">
            <v>0</v>
          </cell>
          <cell r="G14">
            <v>0.51975335307188941</v>
          </cell>
          <cell r="H14">
            <v>0</v>
          </cell>
          <cell r="I14">
            <v>-7.7435986809383786E-3</v>
          </cell>
          <cell r="J14">
            <v>0.1359058509226507</v>
          </cell>
          <cell r="K14">
            <v>0</v>
          </cell>
        </row>
        <row r="15">
          <cell r="B15">
            <v>14</v>
          </cell>
          <cell r="C15" t="str">
            <v>Tennessee</v>
          </cell>
          <cell r="D15" t="str">
            <v>Iowa State</v>
          </cell>
          <cell r="E15">
            <v>0.5490944982080217</v>
          </cell>
          <cell r="F15" t="b">
            <v>0</v>
          </cell>
          <cell r="G15">
            <v>0.61191680905930845</v>
          </cell>
          <cell r="H15">
            <v>0</v>
          </cell>
          <cell r="I15">
            <v>0.16820481729504341</v>
          </cell>
          <cell r="J15">
            <v>0.28694196100801311</v>
          </cell>
          <cell r="K15">
            <v>0</v>
          </cell>
        </row>
        <row r="16">
          <cell r="B16">
            <v>15</v>
          </cell>
          <cell r="C16" t="str">
            <v>Michigan State</v>
          </cell>
          <cell r="D16" t="str">
            <v>Uconn</v>
          </cell>
          <cell r="E16">
            <v>2.732549893009701</v>
          </cell>
          <cell r="F16" t="b">
            <v>1</v>
          </cell>
          <cell r="G16">
            <v>0.61630261928910979</v>
          </cell>
          <cell r="H16">
            <v>4.7694200202852269E-2</v>
          </cell>
          <cell r="I16">
            <v>0.1765777277337551</v>
          </cell>
          <cell r="J16">
            <v>0.36524831529047608</v>
          </cell>
          <cell r="K16">
            <v>0.93099078795967627</v>
          </cell>
        </row>
        <row r="17">
          <cell r="B17">
            <v>16</v>
          </cell>
          <cell r="C17" t="str">
            <v>Alabama</v>
          </cell>
          <cell r="D17" t="str">
            <v>Michigan</v>
          </cell>
          <cell r="E17">
            <v>-6.390332324615847</v>
          </cell>
          <cell r="F17" t="b">
            <v>0</v>
          </cell>
          <cell r="G17">
            <v>0.58924537458598858</v>
          </cell>
          <cell r="H17">
            <v>0</v>
          </cell>
          <cell r="I17">
            <v>0.1249229878459782</v>
          </cell>
          <cell r="J17">
            <v>1.00687426971065E-2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Houston</v>
          </cell>
          <cell r="C2" t="str">
            <v>Illinois</v>
          </cell>
          <cell r="D2">
            <v>20.908506008479332</v>
          </cell>
          <cell r="E2">
            <v>105.43571389837862</v>
          </cell>
          <cell r="F2">
            <v>97.099609428307105</v>
          </cell>
          <cell r="G2">
            <v>0.52154080081094778</v>
          </cell>
          <cell r="H2">
            <v>64.762500000000003</v>
          </cell>
          <cell r="I2">
            <v>61.65625</v>
          </cell>
          <cell r="J2">
            <v>16.71875</v>
          </cell>
          <cell r="K2">
            <v>12.78125</v>
          </cell>
          <cell r="L2">
            <v>8.53125</v>
          </cell>
          <cell r="M2">
            <v>0</v>
          </cell>
          <cell r="N2">
            <v>18.836157720404749</v>
          </cell>
          <cell r="O2">
            <v>105.08780903665816</v>
          </cell>
          <cell r="P2">
            <v>108.93352999987511</v>
          </cell>
          <cell r="Q2">
            <v>0.5511688311688312</v>
          </cell>
          <cell r="R2">
            <v>66.809032258064519</v>
          </cell>
          <cell r="S2">
            <v>62.096774193548384</v>
          </cell>
          <cell r="T2">
            <v>20.387096774193548</v>
          </cell>
          <cell r="U2">
            <v>13.258064516129032</v>
          </cell>
          <cell r="V2">
            <v>9</v>
          </cell>
          <cell r="W2">
            <v>0</v>
          </cell>
          <cell r="X2">
            <v>-3</v>
          </cell>
        </row>
        <row r="3">
          <cell r="A3">
            <v>2</v>
          </cell>
          <cell r="B3" t="str">
            <v>Arizona</v>
          </cell>
          <cell r="C3" t="str">
            <v>Arkansas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19.912380875616748</v>
          </cell>
          <cell r="O3">
            <v>101.9693472090823</v>
          </cell>
          <cell r="P3">
            <v>97.560765185917347</v>
          </cell>
          <cell r="Q3">
            <v>0.56447688564476883</v>
          </cell>
          <cell r="R3">
            <v>72.41</v>
          </cell>
          <cell r="S3">
            <v>64.21875</v>
          </cell>
          <cell r="T3">
            <v>23.375</v>
          </cell>
          <cell r="U3">
            <v>11.0625</v>
          </cell>
          <cell r="V3">
            <v>8.96875</v>
          </cell>
          <cell r="W3">
            <v>0</v>
          </cell>
          <cell r="X3">
            <v>-8</v>
          </cell>
        </row>
        <row r="4">
          <cell r="A4">
            <v>3</v>
          </cell>
          <cell r="B4" t="str">
            <v>Nebraska</v>
          </cell>
          <cell r="C4" t="str">
            <v>Iowa</v>
          </cell>
          <cell r="D4">
            <v>15.832130159542826</v>
          </cell>
          <cell r="E4">
            <v>98.25476089716463</v>
          </cell>
          <cell r="F4">
            <v>102.36737546035253</v>
          </cell>
          <cell r="G4">
            <v>0.55440552016985134</v>
          </cell>
          <cell r="H4">
            <v>66.883750000000006</v>
          </cell>
          <cell r="I4">
            <v>58.875</v>
          </cell>
          <cell r="J4">
            <v>16</v>
          </cell>
          <cell r="K4">
            <v>8.78125</v>
          </cell>
          <cell r="L4">
            <v>9.75</v>
          </cell>
          <cell r="M4">
            <v>0</v>
          </cell>
          <cell r="N4">
            <v>15.533956620207105</v>
          </cell>
          <cell r="O4">
            <v>98.238539943433466</v>
          </cell>
          <cell r="P4">
            <v>93.183243223384508</v>
          </cell>
          <cell r="Q4">
            <v>0.56555993247045577</v>
          </cell>
          <cell r="R4">
            <v>62.900606060606066</v>
          </cell>
          <cell r="S4">
            <v>53.848484848484851</v>
          </cell>
          <cell r="T4">
            <v>18.575757575757574</v>
          </cell>
          <cell r="U4">
            <v>8.8181818181818183</v>
          </cell>
          <cell r="V4">
            <v>9.6969696969696972</v>
          </cell>
          <cell r="W4">
            <v>0</v>
          </cell>
          <cell r="X4">
            <v>-2</v>
          </cell>
        </row>
        <row r="5">
          <cell r="A5">
            <v>4</v>
          </cell>
          <cell r="B5" t="str">
            <v>Purdue</v>
          </cell>
          <cell r="C5" t="str">
            <v>Texas</v>
          </cell>
          <cell r="D5">
            <v>20.952342842063047</v>
          </cell>
          <cell r="E5">
            <v>102.749921687376</v>
          </cell>
          <cell r="F5">
            <v>101.58084764470013</v>
          </cell>
          <cell r="G5">
            <v>0.5771558245083207</v>
          </cell>
          <cell r="H5">
            <v>65.197575757575763</v>
          </cell>
          <cell r="I5">
            <v>60.090909090909093</v>
          </cell>
          <cell r="J5">
            <v>16.90909090909091</v>
          </cell>
          <cell r="K5">
            <v>11.363636363636363</v>
          </cell>
          <cell r="L5">
            <v>9.0303030303030312</v>
          </cell>
          <cell r="M5">
            <v>0</v>
          </cell>
          <cell r="N5">
            <v>14.540908746576733</v>
          </cell>
          <cell r="O5">
            <v>100.55048907489414</v>
          </cell>
          <cell r="P5">
            <v>96.685052394872145</v>
          </cell>
          <cell r="Q5">
            <v>0.5496777658431794</v>
          </cell>
          <cell r="R5">
            <v>68.81</v>
          </cell>
          <cell r="S5">
            <v>58.1875</v>
          </cell>
          <cell r="T5">
            <v>26.34375</v>
          </cell>
          <cell r="U5">
            <v>12</v>
          </cell>
          <cell r="V5">
            <v>11.03125</v>
          </cell>
          <cell r="W5">
            <v>0</v>
          </cell>
          <cell r="X5">
            <v>-7</v>
          </cell>
        </row>
        <row r="6">
          <cell r="A6">
            <v>5</v>
          </cell>
          <cell r="B6" t="str">
            <v>Duke</v>
          </cell>
          <cell r="C6" t="str">
            <v>St. John's</v>
          </cell>
          <cell r="D6">
            <v>23.057528028184478</v>
          </cell>
          <cell r="E6">
            <v>101.57301127857072</v>
          </cell>
          <cell r="F6">
            <v>99.429621355662846</v>
          </cell>
          <cell r="G6">
            <v>0.57213541666666667</v>
          </cell>
          <cell r="H6">
            <v>66.278787878787867</v>
          </cell>
          <cell r="I6">
            <v>58.18181818181818</v>
          </cell>
          <cell r="J6">
            <v>22.121212121212121</v>
          </cell>
          <cell r="K6">
            <v>12.212121212121213</v>
          </cell>
          <cell r="L6">
            <v>10.575757575757576</v>
          </cell>
          <cell r="M6">
            <v>0</v>
          </cell>
          <cell r="N6">
            <v>15.127354829706851</v>
          </cell>
          <cell r="O6">
            <v>102.62076624097725</v>
          </cell>
          <cell r="P6">
            <v>99.083260899694253</v>
          </cell>
          <cell r="Q6">
            <v>0.50957290132547861</v>
          </cell>
          <cell r="R6">
            <v>70.527272727272731</v>
          </cell>
          <cell r="S6">
            <v>61.727272727272727</v>
          </cell>
          <cell r="T6">
            <v>26.060606060606062</v>
          </cell>
          <cell r="U6">
            <v>13.242424242424242</v>
          </cell>
          <cell r="V6">
            <v>10.575757575757576</v>
          </cell>
          <cell r="W6">
            <v>0</v>
          </cell>
          <cell r="X6">
            <v>-6.5</v>
          </cell>
        </row>
        <row r="7">
          <cell r="A7">
            <v>6</v>
          </cell>
          <cell r="B7" t="str">
            <v>Iowa State</v>
          </cell>
          <cell r="C7" t="str">
            <v>Tennessee</v>
          </cell>
          <cell r="D7">
            <v>20.65655264831895</v>
          </cell>
          <cell r="E7">
            <v>101.50134460238188</v>
          </cell>
          <cell r="F7">
            <v>96.966113821111122</v>
          </cell>
          <cell r="G7">
            <v>0.56497313141182215</v>
          </cell>
          <cell r="H7">
            <v>67.654117647058825</v>
          </cell>
          <cell r="I7">
            <v>60.205882352941174</v>
          </cell>
          <cell r="J7">
            <v>20.470588235294116</v>
          </cell>
          <cell r="K7">
            <v>11.823529411764707</v>
          </cell>
          <cell r="L7">
            <v>10.264705882352942</v>
          </cell>
          <cell r="M7">
            <v>0</v>
          </cell>
          <cell r="N7">
            <v>20.60232878669483</v>
          </cell>
          <cell r="O7">
            <v>105.02195491662999</v>
          </cell>
          <cell r="P7">
            <v>93.652390264453544</v>
          </cell>
          <cell r="Q7">
            <v>0.51561725334655428</v>
          </cell>
          <cell r="R7">
            <v>67.170909090909092</v>
          </cell>
          <cell r="S7">
            <v>61.121212121212125</v>
          </cell>
          <cell r="T7">
            <v>23.666666666666668</v>
          </cell>
          <cell r="U7">
            <v>16.030303030303031</v>
          </cell>
          <cell r="V7">
            <v>11.666666666666666</v>
          </cell>
          <cell r="W7">
            <v>0</v>
          </cell>
          <cell r="X7">
            <v>-4</v>
          </cell>
        </row>
        <row r="8">
          <cell r="A8">
            <v>7</v>
          </cell>
          <cell r="B8" t="str">
            <v>Uconn</v>
          </cell>
          <cell r="C8" t="str">
            <v>Michigan State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19.991205466978023</v>
          </cell>
          <cell r="O8">
            <v>101.32466702184337</v>
          </cell>
          <cell r="P8">
            <v>94.593976527502747</v>
          </cell>
          <cell r="Q8">
            <v>0.53589041095890411</v>
          </cell>
          <cell r="R8">
            <v>66.620645161290327</v>
          </cell>
          <cell r="S8">
            <v>58.87096774193548</v>
          </cell>
          <cell r="T8">
            <v>20.838709677419356</v>
          </cell>
          <cell r="U8">
            <v>12.774193548387096</v>
          </cell>
          <cell r="V8">
            <v>11.35483870967742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Michigan</v>
          </cell>
          <cell r="C9" t="str">
            <v>Alabama</v>
          </cell>
          <cell r="D9">
            <v>23.168628302235671</v>
          </cell>
          <cell r="E9">
            <v>98.200984374253366</v>
          </cell>
          <cell r="F9">
            <v>96.398308125131024</v>
          </cell>
          <cell r="G9">
            <v>0.58467532467532468</v>
          </cell>
          <cell r="H9">
            <v>71.510000000000005</v>
          </cell>
          <cell r="I9">
            <v>60.15625</v>
          </cell>
          <cell r="J9">
            <v>23.53125</v>
          </cell>
          <cell r="K9">
            <v>11.0625</v>
          </cell>
          <cell r="L9">
            <v>12.0625</v>
          </cell>
          <cell r="M9">
            <v>0</v>
          </cell>
          <cell r="N9">
            <v>19.656169100501042</v>
          </cell>
          <cell r="O9">
            <v>102.29455081001471</v>
          </cell>
          <cell r="P9">
            <v>103.73486826442995</v>
          </cell>
          <cell r="Q9">
            <v>0.55384250474383301</v>
          </cell>
          <cell r="R9">
            <v>74.217500000000001</v>
          </cell>
          <cell r="S9">
            <v>65.875</v>
          </cell>
          <cell r="T9">
            <v>24.5</v>
          </cell>
          <cell r="U9">
            <v>12.21875</v>
          </cell>
          <cell r="V9">
            <v>9.78125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Illinois</v>
          </cell>
          <cell r="C10" t="str">
            <v>Houston</v>
          </cell>
          <cell r="D10">
            <v>18.836157720404749</v>
          </cell>
          <cell r="E10">
            <v>105.08780903665816</v>
          </cell>
          <cell r="F10">
            <v>108.93352999987511</v>
          </cell>
          <cell r="G10">
            <v>0.5511688311688312</v>
          </cell>
          <cell r="H10">
            <v>66.809032258064519</v>
          </cell>
          <cell r="I10">
            <v>62.096774193548384</v>
          </cell>
          <cell r="J10">
            <v>20.387096774193548</v>
          </cell>
          <cell r="K10">
            <v>13.258064516129032</v>
          </cell>
          <cell r="L10">
            <v>9</v>
          </cell>
          <cell r="M10">
            <v>0</v>
          </cell>
          <cell r="N10">
            <v>20.908506008479332</v>
          </cell>
          <cell r="O10">
            <v>105.43571389837862</v>
          </cell>
          <cell r="P10">
            <v>97.099609428307105</v>
          </cell>
          <cell r="Q10">
            <v>0.52154080081094778</v>
          </cell>
          <cell r="R10">
            <v>64.762500000000003</v>
          </cell>
          <cell r="S10">
            <v>61.65625</v>
          </cell>
          <cell r="T10">
            <v>16.71875</v>
          </cell>
          <cell r="U10">
            <v>12.78125</v>
          </cell>
          <cell r="V10">
            <v>8.53125</v>
          </cell>
          <cell r="W10">
            <v>0</v>
          </cell>
          <cell r="X10">
            <v>3</v>
          </cell>
        </row>
        <row r="11">
          <cell r="A11">
            <v>10</v>
          </cell>
          <cell r="B11" t="str">
            <v>Texas</v>
          </cell>
          <cell r="C11" t="str">
            <v>Arizona</v>
          </cell>
          <cell r="D11">
            <v>14.540908746576733</v>
          </cell>
          <cell r="E11">
            <v>100.55048907489414</v>
          </cell>
          <cell r="F11">
            <v>96.685052394872145</v>
          </cell>
          <cell r="G11">
            <v>0.5496777658431794</v>
          </cell>
          <cell r="H11">
            <v>68.81</v>
          </cell>
          <cell r="I11">
            <v>58.1875</v>
          </cell>
          <cell r="J11">
            <v>26.34375</v>
          </cell>
          <cell r="K11">
            <v>12</v>
          </cell>
          <cell r="L11">
            <v>11.03125</v>
          </cell>
          <cell r="M11">
            <v>0</v>
          </cell>
          <cell r="N11">
            <v>23.698276332727119</v>
          </cell>
          <cell r="O11">
            <v>101.76807841686704</v>
          </cell>
          <cell r="P11">
            <v>98.508521311778111</v>
          </cell>
          <cell r="Q11">
            <v>0.55109126984126988</v>
          </cell>
          <cell r="R11">
            <v>70.587878787878793</v>
          </cell>
          <cell r="S11">
            <v>61.090909090909093</v>
          </cell>
          <cell r="T11">
            <v>26.060606060606062</v>
          </cell>
          <cell r="U11">
            <v>12.878787878787879</v>
          </cell>
          <cell r="V11">
            <v>10.909090909090908</v>
          </cell>
          <cell r="W11">
            <v>0</v>
          </cell>
          <cell r="X11">
            <v>8</v>
          </cell>
        </row>
        <row r="12">
          <cell r="A12">
            <v>11</v>
          </cell>
          <cell r="B12" t="str">
            <v>Iowa</v>
          </cell>
          <cell r="C12" t="str">
            <v>Nebraska</v>
          </cell>
          <cell r="D12">
            <v>15.533956620207105</v>
          </cell>
          <cell r="E12">
            <v>98.238539943433466</v>
          </cell>
          <cell r="F12">
            <v>93.183243223384508</v>
          </cell>
          <cell r="G12">
            <v>0.56555993247045577</v>
          </cell>
          <cell r="H12">
            <v>62.900606060606066</v>
          </cell>
          <cell r="I12">
            <v>53.848484848484851</v>
          </cell>
          <cell r="J12">
            <v>18.575757575757574</v>
          </cell>
          <cell r="K12">
            <v>8.8181818181818183</v>
          </cell>
          <cell r="L12">
            <v>9.6969696969696972</v>
          </cell>
          <cell r="M12">
            <v>0</v>
          </cell>
          <cell r="N12">
            <v>15.832130159542826</v>
          </cell>
          <cell r="O12">
            <v>98.25476089716463</v>
          </cell>
          <cell r="P12">
            <v>102.36737546035253</v>
          </cell>
          <cell r="Q12">
            <v>0.55440552016985134</v>
          </cell>
          <cell r="R12">
            <v>66.883750000000006</v>
          </cell>
          <cell r="S12">
            <v>58.875</v>
          </cell>
          <cell r="T12">
            <v>16</v>
          </cell>
          <cell r="U12">
            <v>8.78125</v>
          </cell>
          <cell r="V12">
            <v>9.75</v>
          </cell>
          <cell r="W12">
            <v>0</v>
          </cell>
          <cell r="X12">
            <v>2</v>
          </cell>
        </row>
        <row r="13">
          <cell r="A13">
            <v>12</v>
          </cell>
          <cell r="B13" t="str">
            <v>Arkansas</v>
          </cell>
          <cell r="C13" t="str">
            <v>Purdue</v>
          </cell>
          <cell r="D13">
            <v>19.912380875616748</v>
          </cell>
          <cell r="E13">
            <v>101.9693472090823</v>
          </cell>
          <cell r="F13">
            <v>97.560765185917347</v>
          </cell>
          <cell r="G13">
            <v>0.56447688564476883</v>
          </cell>
          <cell r="H13">
            <v>72.41</v>
          </cell>
          <cell r="I13">
            <v>64.21875</v>
          </cell>
          <cell r="J13">
            <v>23.375</v>
          </cell>
          <cell r="K13">
            <v>11.0625</v>
          </cell>
          <cell r="L13">
            <v>8.96875</v>
          </cell>
          <cell r="M13">
            <v>0</v>
          </cell>
          <cell r="N13">
            <v>20.952342842063047</v>
          </cell>
          <cell r="O13">
            <v>102.749921687376</v>
          </cell>
          <cell r="P13">
            <v>101.58084764470013</v>
          </cell>
          <cell r="Q13">
            <v>0.5771558245083207</v>
          </cell>
          <cell r="R13">
            <v>65.197575757575763</v>
          </cell>
          <cell r="S13">
            <v>60.090909090909093</v>
          </cell>
          <cell r="T13">
            <v>16.90909090909091</v>
          </cell>
          <cell r="U13">
            <v>11.363636363636363</v>
          </cell>
          <cell r="V13">
            <v>9.0303030303030312</v>
          </cell>
          <cell r="W13">
            <v>0</v>
          </cell>
          <cell r="X13">
            <v>7</v>
          </cell>
        </row>
        <row r="14">
          <cell r="A14">
            <v>13</v>
          </cell>
          <cell r="B14" t="str">
            <v>St. John's</v>
          </cell>
          <cell r="C14" t="str">
            <v>Duke</v>
          </cell>
          <cell r="D14">
            <v>15.127354829706851</v>
          </cell>
          <cell r="E14">
            <v>102.62076624097725</v>
          </cell>
          <cell r="F14">
            <v>99.083260899694253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0</v>
          </cell>
          <cell r="N14">
            <v>23.057528028184478</v>
          </cell>
          <cell r="O14">
            <v>101.57301127857072</v>
          </cell>
          <cell r="P14">
            <v>99.429621355662846</v>
          </cell>
          <cell r="Q14">
            <v>0.57213541666666667</v>
          </cell>
          <cell r="R14">
            <v>66.278787878787867</v>
          </cell>
          <cell r="S14">
            <v>58.18181818181818</v>
          </cell>
          <cell r="T14">
            <v>22.121212121212121</v>
          </cell>
          <cell r="U14">
            <v>12.212121212121213</v>
          </cell>
          <cell r="V14">
            <v>10.575757575757576</v>
          </cell>
          <cell r="W14">
            <v>0</v>
          </cell>
          <cell r="X14">
            <v>6.5</v>
          </cell>
        </row>
        <row r="15">
          <cell r="A15">
            <v>14</v>
          </cell>
          <cell r="B15" t="str">
            <v>Tennessee</v>
          </cell>
          <cell r="C15" t="str">
            <v>Iowa State</v>
          </cell>
          <cell r="D15">
            <v>20.60232878669483</v>
          </cell>
          <cell r="E15">
            <v>105.02195491662999</v>
          </cell>
          <cell r="F15">
            <v>93.652390264453544</v>
          </cell>
          <cell r="G15">
            <v>0.51561725334655428</v>
          </cell>
          <cell r="H15">
            <v>67.170909090909092</v>
          </cell>
          <cell r="I15">
            <v>61.121212121212125</v>
          </cell>
          <cell r="J15">
            <v>23.666666666666668</v>
          </cell>
          <cell r="K15">
            <v>16.030303030303031</v>
          </cell>
          <cell r="L15">
            <v>11.666666666666666</v>
          </cell>
          <cell r="M15">
            <v>0</v>
          </cell>
          <cell r="N15">
            <v>20.65655264831895</v>
          </cell>
          <cell r="O15">
            <v>101.50134460238188</v>
          </cell>
          <cell r="P15">
            <v>96.966113821111122</v>
          </cell>
          <cell r="Q15">
            <v>0.56497313141182215</v>
          </cell>
          <cell r="R15">
            <v>67.654117647058825</v>
          </cell>
          <cell r="S15">
            <v>60.205882352941174</v>
          </cell>
          <cell r="T15">
            <v>20.470588235294116</v>
          </cell>
          <cell r="U15">
            <v>11.823529411764707</v>
          </cell>
          <cell r="V15">
            <v>10.264705882352942</v>
          </cell>
          <cell r="W15">
            <v>0</v>
          </cell>
          <cell r="X15">
            <v>4</v>
          </cell>
        </row>
        <row r="16">
          <cell r="A16">
            <v>15</v>
          </cell>
          <cell r="B16" t="str">
            <v>Michigan State</v>
          </cell>
          <cell r="C16" t="str">
            <v>Uconn</v>
          </cell>
          <cell r="D16">
            <v>19.991205466978023</v>
          </cell>
          <cell r="E16">
            <v>101.32466702184337</v>
          </cell>
          <cell r="F16">
            <v>94.593976527502747</v>
          </cell>
          <cell r="G16">
            <v>0.53589041095890411</v>
          </cell>
          <cell r="H16">
            <v>66.620645161290327</v>
          </cell>
          <cell r="I16">
            <v>58.87096774193548</v>
          </cell>
          <cell r="J16">
            <v>20.838709677419356</v>
          </cell>
          <cell r="K16">
            <v>12.774193548387096</v>
          </cell>
          <cell r="L16">
            <v>11.35483870967742</v>
          </cell>
          <cell r="M16">
            <v>0</v>
          </cell>
          <cell r="N16">
            <v>18.116591097400342</v>
          </cell>
          <cell r="O16">
            <v>100.0952772073922</v>
          </cell>
          <cell r="P16">
            <v>94.276311107817818</v>
          </cell>
          <cell r="Q16">
            <v>0.55882352941176472</v>
          </cell>
          <cell r="R16">
            <v>66.089696969696973</v>
          </cell>
          <cell r="S16">
            <v>58.727272727272727</v>
          </cell>
          <cell r="T16">
            <v>17.696969696969695</v>
          </cell>
          <cell r="U16">
            <v>11.454545454545455</v>
          </cell>
          <cell r="V16">
            <v>11.030303030303031</v>
          </cell>
          <cell r="W16">
            <v>0</v>
          </cell>
          <cell r="X16">
            <v>2</v>
          </cell>
        </row>
        <row r="17">
          <cell r="A17">
            <v>16</v>
          </cell>
          <cell r="B17" t="str">
            <v>Alabama</v>
          </cell>
          <cell r="C17" t="str">
            <v>Michigan</v>
          </cell>
          <cell r="D17">
            <v>19.656169100501042</v>
          </cell>
          <cell r="E17">
            <v>102.29455081001471</v>
          </cell>
          <cell r="F17">
            <v>103.73486826442995</v>
          </cell>
          <cell r="G17">
            <v>0.55384250474383301</v>
          </cell>
          <cell r="H17">
            <v>74.217500000000001</v>
          </cell>
          <cell r="I17">
            <v>65.875</v>
          </cell>
          <cell r="J17">
            <v>24.5</v>
          </cell>
          <cell r="K17">
            <v>12.21875</v>
          </cell>
          <cell r="L17">
            <v>9.78125</v>
          </cell>
          <cell r="M17">
            <v>0</v>
          </cell>
          <cell r="N17">
            <v>23.168628302235671</v>
          </cell>
          <cell r="O17">
            <v>98.200984374253366</v>
          </cell>
          <cell r="P17">
            <v>96.398308125131024</v>
          </cell>
          <cell r="Q17">
            <v>0.58467532467532468</v>
          </cell>
          <cell r="R17">
            <v>71.510000000000005</v>
          </cell>
          <cell r="S17">
            <v>60.15625</v>
          </cell>
          <cell r="T17">
            <v>23.53125</v>
          </cell>
          <cell r="U17">
            <v>11.0625</v>
          </cell>
          <cell r="V17">
            <v>12.0625</v>
          </cell>
          <cell r="W17">
            <v>0</v>
          </cell>
          <cell r="X17">
            <v>10</v>
          </cell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J8" sqref="J8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9</v>
      </c>
      <c r="B2" s="6" t="str">
        <f>VLOOKUP(A2,[1]Games!$B$2:$K$398,2,FALSE)</f>
        <v>Illinois</v>
      </c>
      <c r="C2" s="6" t="str">
        <f>VLOOKUP(A2,[1]Games!$B$2:$K$398,3,FALSE)</f>
        <v>Houston</v>
      </c>
      <c r="D2" s="6" t="str">
        <f>B2</f>
        <v>Illinois</v>
      </c>
      <c r="E2" s="5">
        <f>VLOOKUP(A2,[1]Games!$B$2:$K$398,4,FALSE)</f>
        <v>-2.5972659968097491</v>
      </c>
      <c r="F2" s="5">
        <f>-VLOOKUP(A2,[2]Games!$A$2:$X$284,24,FALSE)</f>
        <v>-3</v>
      </c>
      <c r="G2" s="7">
        <f>VLOOKUP(A2,[1]Games!$B$2:$K$398,9,FALSE)</f>
        <v>5.9410701506423469E-2</v>
      </c>
      <c r="H2" s="7">
        <f>VLOOKUP(A2,[1]Games!$B$2:$K$398,7,FALSE)</f>
        <v>0</v>
      </c>
      <c r="I2" s="7">
        <f>VLOOKUP(A2,[1]Games!$B$2:$K$398,8,FALSE)/4</f>
        <v>-6.5715002745283671E-3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Arizona</v>
      </c>
      <c r="C3" s="6" t="str">
        <f>VLOOKUP(A3,[1]Games!$B$2:$K$398,3,FALSE)</f>
        <v>Arkansas</v>
      </c>
      <c r="D3" s="6" t="str">
        <f t="shared" ref="D3" si="0">B3</f>
        <v>Arizona</v>
      </c>
      <c r="E3" s="5">
        <f>VLOOKUP(A3,[1]Games!$B$2:$K$398,4,FALSE)</f>
        <v>10.17544759009586</v>
      </c>
      <c r="F3" s="5">
        <f>-VLOOKUP(A3,[2]Games!$A$2:$X$284,24,FALSE)</f>
        <v>8</v>
      </c>
      <c r="G3" s="7">
        <f>VLOOKUP(A3,[1]Games!$B$2:$K$398,9,FALSE)</f>
        <v>0.44652162262184469</v>
      </c>
      <c r="H3" s="7">
        <f>VLOOKUP(A3,[1]Games!$B$2:$K$398,7,FALSE)</f>
        <v>0</v>
      </c>
      <c r="I3" s="7">
        <f>VLOOKUP(A3,[1]Games!$B$2:$K$398,8,FALSE)/4</f>
        <v>1.4445226443697695E-2</v>
      </c>
      <c r="J3" s="8" t="s">
        <v>443</v>
      </c>
      <c r="K3" s="9">
        <f t="shared" ref="K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Nebraska</v>
      </c>
      <c r="C4" s="6" t="str">
        <f>VLOOKUP(A4,[1]Games!$B$2:$K$398,3,FALSE)</f>
        <v>Iowa</v>
      </c>
      <c r="D4" s="6" t="str">
        <f t="shared" ref="D4:D9" si="2">B4</f>
        <v>Nebraska</v>
      </c>
      <c r="E4" s="5">
        <f>VLOOKUP(A4,[1]Games!$B$2:$K$398,4,FALSE)</f>
        <v>5.5829743724806304</v>
      </c>
      <c r="F4" s="5">
        <f>-VLOOKUP(A4,[2]Games!$A$2:$X$284,24,FALSE)</f>
        <v>2</v>
      </c>
      <c r="G4" s="7">
        <f>VLOOKUP(A4,[1]Games!$B$2:$K$398,9,FALSE)</f>
        <v>0.38710225177014629</v>
      </c>
      <c r="H4" s="7">
        <f>VLOOKUP(A4,[1]Games!$B$2:$K$398,7,FALSE)</f>
        <v>0</v>
      </c>
      <c r="I4" s="7">
        <f>VLOOKUP(A4,[1]Games!$B$2:$K$398,8,FALSE)/4</f>
        <v>3.0921013343042949E-2</v>
      </c>
      <c r="J4" s="8" t="s">
        <v>443</v>
      </c>
      <c r="K4" s="9">
        <f t="shared" ref="K4:K9" si="3">IF(J4="Yes",(H4*1500)/100,0)</f>
        <v>0</v>
      </c>
    </row>
    <row r="5" spans="1:12" x14ac:dyDescent="0.2">
      <c r="A5" s="1">
        <v>4</v>
      </c>
      <c r="B5" s="6" t="str">
        <f>VLOOKUP(A5,[1]Games!$B$2:$K$398,2,FALSE)</f>
        <v>Purdue</v>
      </c>
      <c r="C5" s="6" t="str">
        <f>VLOOKUP(A5,[1]Games!$B$2:$K$398,3,FALSE)</f>
        <v>Texas</v>
      </c>
      <c r="D5" s="6" t="str">
        <f t="shared" si="2"/>
        <v>Purdue</v>
      </c>
      <c r="E5" s="5">
        <f>VLOOKUP(A5,[1]Games!$B$2:$K$398,4,FALSE)</f>
        <v>9.442842152691437</v>
      </c>
      <c r="F5" s="5">
        <f>-VLOOKUP(A5,[2]Games!$A$2:$X$284,24,FALSE)</f>
        <v>7</v>
      </c>
      <c r="G5" s="7">
        <f>VLOOKUP(A5,[1]Games!$B$2:$K$398,9,FALSE)</f>
        <v>0.43952016208204348</v>
      </c>
      <c r="H5" s="7">
        <f>VLOOKUP(A5,[1]Games!$B$2:$K$398,7,FALSE)</f>
        <v>0</v>
      </c>
      <c r="I5" s="7">
        <f>VLOOKUP(A5,[1]Games!$B$2:$K$398,8,FALSE)/4</f>
        <v>1.7594290009775193E-2</v>
      </c>
      <c r="J5" s="8" t="s">
        <v>443</v>
      </c>
      <c r="K5" s="9">
        <f t="shared" si="3"/>
        <v>0</v>
      </c>
    </row>
    <row r="6" spans="1:12" x14ac:dyDescent="0.2">
      <c r="A6" s="1">
        <v>5</v>
      </c>
      <c r="B6" s="6" t="str">
        <f>VLOOKUP(A6,[1]Games!$B$2:$K$398,2,FALSE)</f>
        <v>Duke</v>
      </c>
      <c r="C6" s="6" t="str">
        <f>VLOOKUP(A6,[1]Games!$B$2:$K$398,3,FALSE)</f>
        <v>St. John's</v>
      </c>
      <c r="D6" s="6" t="str">
        <f t="shared" si="2"/>
        <v>Duke</v>
      </c>
      <c r="E6" s="5">
        <f>VLOOKUP(A6,[1]Games!$B$2:$K$398,4,FALSE)</f>
        <v>10.90062402757979</v>
      </c>
      <c r="F6" s="5">
        <f>-VLOOKUP(A6,[2]Games!$A$2:$X$284,24,FALSE)</f>
        <v>6.5</v>
      </c>
      <c r="G6" s="7">
        <f>VLOOKUP(A6,[1]Games!$B$2:$K$398,9,FALSE)</f>
        <v>0.57242552718101847</v>
      </c>
      <c r="H6" s="7">
        <f>VLOOKUP(A6,[1]Games!$B$2:$K$398,7,FALSE)</f>
        <v>0</v>
      </c>
      <c r="I6" s="7">
        <f>VLOOKUP(A6,[1]Games!$B$2:$K$398,8,FALSE)/4</f>
        <v>3.7442459221713728E-2</v>
      </c>
      <c r="J6" s="8" t="s">
        <v>443</v>
      </c>
      <c r="K6" s="9">
        <f t="shared" si="3"/>
        <v>0</v>
      </c>
    </row>
    <row r="7" spans="1:12" x14ac:dyDescent="0.2">
      <c r="A7" s="1">
        <v>14</v>
      </c>
      <c r="B7" s="6" t="str">
        <f>VLOOKUP(A7,[1]Games!$B$2:$K$398,2,FALSE)</f>
        <v>Tennessee</v>
      </c>
      <c r="C7" s="6" t="str">
        <f>VLOOKUP(A7,[1]Games!$B$2:$K$398,3,FALSE)</f>
        <v>Iowa State</v>
      </c>
      <c r="D7" s="6" t="str">
        <f t="shared" si="2"/>
        <v>Tennessee</v>
      </c>
      <c r="E7" s="5">
        <f>VLOOKUP(A7,[1]Games!$B$2:$K$398,4,FALSE)</f>
        <v>0.5490944982080217</v>
      </c>
      <c r="F7" s="5">
        <f>-VLOOKUP(A7,[2]Games!$A$2:$X$284,24,FALSE)</f>
        <v>-4</v>
      </c>
      <c r="G7" s="7">
        <f>VLOOKUP(A7,[1]Games!$B$2:$K$398,9,FALSE)</f>
        <v>0.28694196100801311</v>
      </c>
      <c r="H7" s="7">
        <f>VLOOKUP(A7,[1]Games!$B$2:$K$398,7,FALSE)</f>
        <v>0</v>
      </c>
      <c r="I7" s="7">
        <f>VLOOKUP(A7,[1]Games!$B$2:$K$398,8,FALSE)/4</f>
        <v>4.2051204323760853E-2</v>
      </c>
      <c r="J7" s="8" t="s">
        <v>443</v>
      </c>
      <c r="K7" s="9">
        <f t="shared" si="3"/>
        <v>0</v>
      </c>
    </row>
    <row r="8" spans="1:12" x14ac:dyDescent="0.2">
      <c r="A8" s="1">
        <v>15</v>
      </c>
      <c r="B8" s="6" t="str">
        <f>VLOOKUP(A8,[1]Games!$B$2:$K$398,2,FALSE)</f>
        <v>Michigan State</v>
      </c>
      <c r="C8" s="6" t="str">
        <f>VLOOKUP(A8,[1]Games!$B$2:$K$398,3,FALSE)</f>
        <v>Uconn</v>
      </c>
      <c r="D8" s="6" t="str">
        <f t="shared" si="2"/>
        <v>Michigan State</v>
      </c>
      <c r="E8" s="5">
        <f>VLOOKUP(A8,[1]Games!$B$2:$K$398,4,FALSE)</f>
        <v>2.732549893009701</v>
      </c>
      <c r="F8" s="5">
        <f>-VLOOKUP(A8,[2]Games!$A$2:$X$284,24,FALSE)</f>
        <v>-2</v>
      </c>
      <c r="G8" s="7">
        <f>VLOOKUP(A8,[1]Games!$B$2:$K$398,9,FALSE)</f>
        <v>0.36524831529047608</v>
      </c>
      <c r="H8" s="7">
        <f>VLOOKUP(A8,[1]Games!$B$2:$K$398,7,FALSE)</f>
        <v>4.7694200202852269E-2</v>
      </c>
      <c r="I8" s="7">
        <f>VLOOKUP(A8,[1]Games!$B$2:$K$398,8,FALSE)/4</f>
        <v>4.4144431933438776E-2</v>
      </c>
      <c r="J8" s="8" t="s">
        <v>444</v>
      </c>
      <c r="K8" s="9">
        <f t="shared" si="3"/>
        <v>0.7154130030427841</v>
      </c>
    </row>
    <row r="9" spans="1:12" x14ac:dyDescent="0.2">
      <c r="A9" s="1">
        <v>8</v>
      </c>
      <c r="B9" s="6" t="str">
        <f>VLOOKUP(A9,[1]Games!$B$2:$K$398,2,FALSE)</f>
        <v>Michigan</v>
      </c>
      <c r="C9" s="6" t="str">
        <f>VLOOKUP(A9,[1]Games!$B$2:$K$398,3,FALSE)</f>
        <v>Alabama</v>
      </c>
      <c r="D9" s="6" t="str">
        <f t="shared" si="2"/>
        <v>Michigan</v>
      </c>
      <c r="E9" s="5">
        <f>VLOOKUP(A9,[1]Games!$B$2:$K$398,4,FALSE)</f>
        <v>10.995761388698931</v>
      </c>
      <c r="F9" s="5">
        <f>-VLOOKUP(A9,[2]Games!$A$2:$X$284,24,FALSE)</f>
        <v>10</v>
      </c>
      <c r="G9" s="7">
        <f>VLOOKUP(A9,[1]Games!$B$2:$K$398,9,FALSE)</f>
        <v>0.4055283806319735</v>
      </c>
      <c r="H9" s="7">
        <f>VLOOKUP(A9,[1]Games!$B$2:$K$398,7,FALSE)</f>
        <v>0</v>
      </c>
      <c r="I9" s="7">
        <f>VLOOKUP(A9,[1]Games!$B$2:$K$398,8,FALSE)/4</f>
        <v>4.7854489000846701E-4</v>
      </c>
      <c r="J9" s="8" t="s">
        <v>443</v>
      </c>
      <c r="K9" s="9">
        <f t="shared" si="3"/>
        <v>0</v>
      </c>
    </row>
    <row r="10" spans="1:12" x14ac:dyDescent="0.2">
      <c r="B10" s="6"/>
      <c r="C10" s="6"/>
      <c r="D10" s="6"/>
      <c r="E10" s="5"/>
      <c r="F10" s="5"/>
      <c r="G10" s="7"/>
      <c r="H10" s="7"/>
      <c r="I10" s="7"/>
      <c r="J10" s="8"/>
      <c r="K10" s="9"/>
    </row>
    <row r="11" spans="1:12" x14ac:dyDescent="0.2">
      <c r="B11" s="6"/>
      <c r="C11" s="6"/>
      <c r="D11" s="6"/>
      <c r="E11" s="5"/>
      <c r="F11" s="5"/>
      <c r="G11" s="7"/>
      <c r="H11" s="7"/>
      <c r="I11" s="7"/>
      <c r="J11" s="8"/>
      <c r="K11" s="9"/>
    </row>
    <row r="12" spans="1:12" x14ac:dyDescent="0.2">
      <c r="B12" s="6"/>
      <c r="C12" s="6"/>
      <c r="D12" s="6"/>
      <c r="E12" s="5"/>
      <c r="F12" s="5"/>
      <c r="G12" s="7"/>
      <c r="H12" s="7"/>
      <c r="I12" s="7"/>
      <c r="J12" s="8"/>
      <c r="K12" s="9"/>
    </row>
    <row r="13" spans="1:12" x14ac:dyDescent="0.2">
      <c r="B13" s="6"/>
      <c r="C13" s="6"/>
      <c r="D13" s="6"/>
      <c r="E13" s="5"/>
      <c r="F13" s="5"/>
      <c r="G13" s="7"/>
      <c r="H13" s="7"/>
      <c r="I13" s="7"/>
      <c r="J13" s="8"/>
      <c r="K13" s="9"/>
    </row>
    <row r="14" spans="1:12" x14ac:dyDescent="0.2">
      <c r="B14" s="6"/>
      <c r="C14" s="6"/>
      <c r="D14" s="6"/>
      <c r="E14" s="5"/>
      <c r="F14" s="5"/>
      <c r="G14" s="7"/>
      <c r="H14" s="7"/>
      <c r="I14" s="7"/>
      <c r="J14" s="8"/>
      <c r="K14" s="9"/>
    </row>
    <row r="15" spans="1:12" x14ac:dyDescent="0.2">
      <c r="B15" s="6"/>
      <c r="C15" s="6"/>
      <c r="D15" s="6"/>
      <c r="E15" s="5"/>
      <c r="F15" s="5"/>
      <c r="G15" s="7"/>
      <c r="H15" s="7"/>
      <c r="I15" s="7"/>
      <c r="J15" s="8"/>
      <c r="K15" s="9"/>
    </row>
    <row r="16" spans="1:12" x14ac:dyDescent="0.2">
      <c r="B16" s="6"/>
      <c r="C16" s="6"/>
      <c r="D16" s="6"/>
      <c r="E16" s="5"/>
      <c r="F16" s="5"/>
      <c r="G16" s="7"/>
      <c r="H16" s="7"/>
      <c r="I16" s="7"/>
      <c r="J16" s="8"/>
      <c r="K16" s="9"/>
    </row>
    <row r="17" spans="2:11" x14ac:dyDescent="0.2">
      <c r="B17" s="6"/>
      <c r="C17" s="6"/>
      <c r="D17" s="6"/>
      <c r="E17" s="5"/>
      <c r="F17" s="5"/>
      <c r="G17" s="7"/>
      <c r="H17" s="7"/>
      <c r="I17" s="7"/>
      <c r="J17" s="8"/>
      <c r="K17" s="9"/>
    </row>
    <row r="18" spans="2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2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2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2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2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2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2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2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2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2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2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2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2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2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2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3" sqref="C3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SUM(F6:F25)/SUM(E6:E25)</f>
        <v>0.11202337575793919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G9" sqref="G9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0.78559999999999997</v>
      </c>
      <c r="E2">
        <v>0.51839999999999997</v>
      </c>
      <c r="F2">
        <v>0.34449999999999997</v>
      </c>
      <c r="G2">
        <v>0.19015000000000001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0.6411</v>
      </c>
      <c r="E3">
        <v>0.42809999999999998</v>
      </c>
      <c r="F3">
        <v>0.25369999999999998</v>
      </c>
      <c r="G3">
        <v>0.16009999999999999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0.63749999999999996</v>
      </c>
      <c r="E4">
        <v>0.38324999999999998</v>
      </c>
      <c r="F4">
        <v>0.21410000000000001</v>
      </c>
      <c r="G4">
        <v>0.13034999999999999</v>
      </c>
      <c r="H4" t="s">
        <v>382</v>
      </c>
      <c r="I4">
        <v>1</v>
      </c>
      <c r="J4">
        <v>23.168628302235671</v>
      </c>
    </row>
    <row r="5" spans="1:10" x14ac:dyDescent="0.2">
      <c r="A5" t="s">
        <v>6</v>
      </c>
      <c r="B5">
        <v>1</v>
      </c>
      <c r="C5">
        <v>1</v>
      </c>
      <c r="D5">
        <v>0.58425000000000005</v>
      </c>
      <c r="E5">
        <v>0.41144999999999998</v>
      </c>
      <c r="F5">
        <v>0.20455000000000001</v>
      </c>
      <c r="G5">
        <v>9.1450000000000004E-2</v>
      </c>
      <c r="H5" t="s">
        <v>385</v>
      </c>
      <c r="I5">
        <v>2</v>
      </c>
      <c r="J5">
        <v>20.908506008479328</v>
      </c>
    </row>
    <row r="6" spans="1:10" x14ac:dyDescent="0.2">
      <c r="A6" t="s">
        <v>7</v>
      </c>
      <c r="B6">
        <v>1</v>
      </c>
      <c r="C6">
        <v>1</v>
      </c>
      <c r="D6">
        <v>0.74629999999999996</v>
      </c>
      <c r="E6">
        <v>0.32645000000000002</v>
      </c>
      <c r="F6">
        <v>0.1535</v>
      </c>
      <c r="G6">
        <v>7.8149999999999997E-2</v>
      </c>
      <c r="H6" t="s">
        <v>383</v>
      </c>
      <c r="I6">
        <v>2</v>
      </c>
      <c r="J6">
        <v>20.95234284206305</v>
      </c>
    </row>
    <row r="7" spans="1:10" x14ac:dyDescent="0.2">
      <c r="A7" t="s">
        <v>9</v>
      </c>
      <c r="B7">
        <v>1</v>
      </c>
      <c r="C7">
        <v>1</v>
      </c>
      <c r="D7">
        <v>0.61180000000000001</v>
      </c>
      <c r="E7">
        <v>0.27289999999999998</v>
      </c>
      <c r="F7">
        <v>0.15145</v>
      </c>
      <c r="G7">
        <v>6.4949999999999994E-2</v>
      </c>
      <c r="H7" t="s">
        <v>384</v>
      </c>
      <c r="I7">
        <v>3</v>
      </c>
      <c r="J7">
        <v>19.99120546697802</v>
      </c>
    </row>
    <row r="8" spans="1:10" x14ac:dyDescent="0.2">
      <c r="A8" t="s">
        <v>10</v>
      </c>
      <c r="B8">
        <v>1</v>
      </c>
      <c r="C8">
        <v>1</v>
      </c>
      <c r="D8">
        <v>0.50075000000000003</v>
      </c>
      <c r="E8">
        <v>0.22869999999999999</v>
      </c>
      <c r="F8">
        <v>0.10539999999999999</v>
      </c>
      <c r="G8">
        <v>5.355E-2</v>
      </c>
      <c r="H8" t="s">
        <v>382</v>
      </c>
      <c r="I8">
        <v>6</v>
      </c>
      <c r="J8">
        <v>20.60232878669483</v>
      </c>
    </row>
    <row r="9" spans="1:10" x14ac:dyDescent="0.2">
      <c r="A9" t="s">
        <v>14</v>
      </c>
      <c r="B9">
        <v>1</v>
      </c>
      <c r="C9">
        <v>1</v>
      </c>
      <c r="D9">
        <v>0.49925000000000003</v>
      </c>
      <c r="E9">
        <v>0.2228</v>
      </c>
      <c r="F9">
        <v>0.1052</v>
      </c>
      <c r="G9">
        <v>5.2749999999999998E-2</v>
      </c>
      <c r="H9" t="s">
        <v>382</v>
      </c>
      <c r="I9">
        <v>2</v>
      </c>
      <c r="J9">
        <v>20.65655264831895</v>
      </c>
    </row>
    <row r="10" spans="1:10" x14ac:dyDescent="0.2">
      <c r="A10" t="s">
        <v>13</v>
      </c>
      <c r="B10">
        <v>1</v>
      </c>
      <c r="C10">
        <v>1</v>
      </c>
      <c r="D10">
        <v>0.41575000000000001</v>
      </c>
      <c r="E10">
        <v>0.25890000000000002</v>
      </c>
      <c r="F10">
        <v>0.11070000000000001</v>
      </c>
      <c r="G10">
        <v>4.4499999999999998E-2</v>
      </c>
      <c r="H10" t="s">
        <v>385</v>
      </c>
      <c r="I10">
        <v>3</v>
      </c>
      <c r="J10">
        <v>18.836157720404749</v>
      </c>
    </row>
    <row r="11" spans="1:10" x14ac:dyDescent="0.2">
      <c r="A11" t="s">
        <v>8</v>
      </c>
      <c r="B11">
        <v>1</v>
      </c>
      <c r="C11">
        <v>1</v>
      </c>
      <c r="D11">
        <v>0.3589</v>
      </c>
      <c r="E11">
        <v>0.1885</v>
      </c>
      <c r="F11">
        <v>8.3000000000000004E-2</v>
      </c>
      <c r="G11">
        <v>4.1500000000000002E-2</v>
      </c>
      <c r="H11" t="s">
        <v>383</v>
      </c>
      <c r="I11">
        <v>4</v>
      </c>
      <c r="J11">
        <v>19.912380875616751</v>
      </c>
    </row>
    <row r="12" spans="1:10" x14ac:dyDescent="0.2">
      <c r="A12" t="s">
        <v>12</v>
      </c>
      <c r="B12">
        <v>1</v>
      </c>
      <c r="C12">
        <v>1</v>
      </c>
      <c r="D12">
        <v>0.36249999999999999</v>
      </c>
      <c r="E12">
        <v>0.16525000000000001</v>
      </c>
      <c r="F12">
        <v>7.0800000000000002E-2</v>
      </c>
      <c r="G12">
        <v>3.295E-2</v>
      </c>
      <c r="H12" t="s">
        <v>382</v>
      </c>
      <c r="I12">
        <v>4</v>
      </c>
      <c r="J12">
        <v>19.656169100501039</v>
      </c>
    </row>
    <row r="13" spans="1:10" x14ac:dyDescent="0.2">
      <c r="A13" t="s">
        <v>386</v>
      </c>
      <c r="B13">
        <v>1</v>
      </c>
      <c r="C13">
        <v>1</v>
      </c>
      <c r="D13">
        <v>0.38179999999999997</v>
      </c>
      <c r="E13">
        <v>0.27429999999999999</v>
      </c>
      <c r="F13">
        <v>0.14344999999999999</v>
      </c>
      <c r="G13">
        <v>6.1949999999999998E-2</v>
      </c>
      <c r="H13" t="s">
        <v>384</v>
      </c>
      <c r="I13">
        <v>2</v>
      </c>
      <c r="J13">
        <v>18.116591097400342</v>
      </c>
    </row>
    <row r="14" spans="1:10" x14ac:dyDescent="0.2">
      <c r="A14" t="s">
        <v>24</v>
      </c>
      <c r="B14">
        <v>1</v>
      </c>
      <c r="C14">
        <v>1</v>
      </c>
      <c r="D14">
        <v>0.51070000000000004</v>
      </c>
      <c r="E14">
        <v>0.1719</v>
      </c>
      <c r="F14">
        <v>5.2449999999999997E-2</v>
      </c>
      <c r="G14">
        <v>1.465E-2</v>
      </c>
      <c r="H14" t="s">
        <v>385</v>
      </c>
      <c r="I14">
        <v>4</v>
      </c>
      <c r="J14">
        <v>15.83213015954283</v>
      </c>
    </row>
    <row r="15" spans="1:10" x14ac:dyDescent="0.2">
      <c r="A15" t="s">
        <v>28</v>
      </c>
      <c r="B15">
        <v>1</v>
      </c>
      <c r="C15">
        <v>1</v>
      </c>
      <c r="D15">
        <v>0.48930000000000001</v>
      </c>
      <c r="E15">
        <v>0.15775</v>
      </c>
      <c r="F15">
        <v>4.7800000000000002E-2</v>
      </c>
      <c r="G15">
        <v>1.325E-2</v>
      </c>
      <c r="H15" t="s">
        <v>385</v>
      </c>
      <c r="I15">
        <v>9</v>
      </c>
      <c r="J15">
        <v>15.53395662020711</v>
      </c>
    </row>
    <row r="16" spans="1:10" x14ac:dyDescent="0.2">
      <c r="A16" t="s">
        <v>30</v>
      </c>
      <c r="B16">
        <v>1</v>
      </c>
      <c r="C16">
        <v>1</v>
      </c>
      <c r="D16">
        <v>0.21440000000000001</v>
      </c>
      <c r="E16">
        <v>7.6450000000000004E-2</v>
      </c>
      <c r="F16">
        <v>2.8049999999999999E-2</v>
      </c>
      <c r="G16">
        <v>7.0499999999999998E-3</v>
      </c>
      <c r="H16" t="s">
        <v>384</v>
      </c>
      <c r="I16">
        <v>5</v>
      </c>
      <c r="J16">
        <v>15.127354829706849</v>
      </c>
    </row>
    <row r="17" spans="1:10" x14ac:dyDescent="0.2">
      <c r="A17" t="s">
        <v>25</v>
      </c>
      <c r="B17">
        <v>1</v>
      </c>
      <c r="C17">
        <v>1</v>
      </c>
      <c r="D17">
        <v>0.25369999999999998</v>
      </c>
      <c r="E17">
        <v>5.6950000000000001E-2</v>
      </c>
      <c r="F17">
        <v>1.43E-2</v>
      </c>
      <c r="G17">
        <v>3.7000000000000002E-3</v>
      </c>
      <c r="H17" t="s">
        <v>383</v>
      </c>
      <c r="I17">
        <v>11</v>
      </c>
      <c r="J17">
        <v>14.540908746576729</v>
      </c>
    </row>
    <row r="18" spans="1:10" x14ac:dyDescent="0.2">
      <c r="A18" t="s">
        <v>58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10.607575381157361</v>
      </c>
    </row>
    <row r="19" spans="1:10" x14ac:dyDescent="0.2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6</v>
      </c>
      <c r="J19">
        <v>16.968495718532171</v>
      </c>
    </row>
    <row r="20" spans="1:10" x14ac:dyDescent="0.2">
      <c r="A20" t="s">
        <v>132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13</v>
      </c>
      <c r="J20">
        <v>4.7044196436570411</v>
      </c>
    </row>
    <row r="21" spans="1:10" x14ac:dyDescent="0.2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385</v>
      </c>
      <c r="I21">
        <v>8</v>
      </c>
      <c r="J21">
        <v>11.029310509440901</v>
      </c>
    </row>
    <row r="22" spans="1:10" x14ac:dyDescent="0.2">
      <c r="A22" t="s">
        <v>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</v>
      </c>
      <c r="J22">
        <v>22.660012020194909</v>
      </c>
    </row>
    <row r="23" spans="1:10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15</v>
      </c>
      <c r="J23">
        <v>0.21312405184055919</v>
      </c>
    </row>
    <row r="24" spans="1:10" x14ac:dyDescent="0.2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8</v>
      </c>
      <c r="J24">
        <v>14.1383998729836</v>
      </c>
    </row>
    <row r="25" spans="1:10" x14ac:dyDescent="0.2">
      <c r="A25" t="s">
        <v>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3</v>
      </c>
      <c r="J25">
        <v>20.97083468579552</v>
      </c>
    </row>
    <row r="26" spans="1:10" x14ac:dyDescent="0.2">
      <c r="A26" t="s">
        <v>154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13</v>
      </c>
      <c r="J26">
        <v>2.6083148574060759</v>
      </c>
    </row>
    <row r="27" spans="1:10" x14ac:dyDescent="0.2">
      <c r="A27" t="s">
        <v>60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383</v>
      </c>
      <c r="I27">
        <v>12</v>
      </c>
      <c r="J27">
        <v>9.7941357758882948</v>
      </c>
    </row>
    <row r="28" spans="1:10" x14ac:dyDescent="0.2">
      <c r="A28" t="s">
        <v>182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13</v>
      </c>
      <c r="J28">
        <v>2.1310612455384579</v>
      </c>
    </row>
    <row r="29" spans="1:10" x14ac:dyDescent="0.2">
      <c r="A29" t="s">
        <v>293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16</v>
      </c>
      <c r="J29">
        <v>-7.2185591209035449</v>
      </c>
    </row>
    <row r="30" spans="1:10" x14ac:dyDescent="0.2">
      <c r="A30" t="s">
        <v>139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15</v>
      </c>
      <c r="J30">
        <v>3.942693201935243</v>
      </c>
    </row>
    <row r="31" spans="1:10" x14ac:dyDescent="0.2">
      <c r="A31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4</v>
      </c>
      <c r="J31">
        <v>16.816980413993029</v>
      </c>
    </row>
    <row r="32" spans="1:10" x14ac:dyDescent="0.2">
      <c r="A32" t="s">
        <v>92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383</v>
      </c>
      <c r="I32">
        <v>14</v>
      </c>
      <c r="J32">
        <v>6.970747918389864</v>
      </c>
    </row>
    <row r="33" spans="1:10" x14ac:dyDescent="0.2">
      <c r="A33" t="s">
        <v>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382</v>
      </c>
      <c r="I33">
        <v>7</v>
      </c>
      <c r="J33">
        <v>18.061704750271812</v>
      </c>
    </row>
    <row r="34" spans="1:10" x14ac:dyDescent="0.2">
      <c r="A34" t="s">
        <v>275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16</v>
      </c>
      <c r="J34">
        <v>-5.3135212359347586</v>
      </c>
    </row>
    <row r="35" spans="1:10" x14ac:dyDescent="0.2">
      <c r="A35" t="s">
        <v>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6</v>
      </c>
      <c r="J35">
        <v>16.63084451378386</v>
      </c>
    </row>
    <row r="36" spans="1:10" x14ac:dyDescent="0.2">
      <c r="A36" t="s">
        <v>89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12</v>
      </c>
      <c r="J36">
        <v>7.3588143041314016</v>
      </c>
    </row>
    <row r="37" spans="1:10" x14ac:dyDescent="0.2">
      <c r="A37" t="s">
        <v>53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7</v>
      </c>
      <c r="J37">
        <v>12.241609973382021</v>
      </c>
    </row>
    <row r="38" spans="1:10" x14ac:dyDescent="0.2">
      <c r="A38" t="s">
        <v>78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382</v>
      </c>
      <c r="I38">
        <v>11</v>
      </c>
      <c r="J38">
        <v>7.7373456911862846</v>
      </c>
    </row>
    <row r="39" spans="1:10" x14ac:dyDescent="0.2">
      <c r="A39" t="s">
        <v>50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10</v>
      </c>
      <c r="J39">
        <v>11.96195079214662</v>
      </c>
    </row>
    <row r="40" spans="1:10" x14ac:dyDescent="0.2">
      <c r="A40" t="s">
        <v>35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6</v>
      </c>
      <c r="J40">
        <v>13.97752668447534</v>
      </c>
    </row>
    <row r="41" spans="1:10" x14ac:dyDescent="0.2">
      <c r="A41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14</v>
      </c>
      <c r="J41">
        <v>3.8798755560939222</v>
      </c>
    </row>
    <row r="42" spans="1:10" x14ac:dyDescent="0.2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384</v>
      </c>
      <c r="I42">
        <v>12</v>
      </c>
      <c r="J42">
        <v>9.0872035902891817</v>
      </c>
    </row>
    <row r="43" spans="1:10" x14ac:dyDescent="0.2">
      <c r="A43" t="s">
        <v>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384</v>
      </c>
      <c r="I43">
        <v>8</v>
      </c>
      <c r="J43">
        <v>14.73771853734006</v>
      </c>
    </row>
    <row r="44" spans="1:10" x14ac:dyDescent="0.2">
      <c r="A44" t="s">
        <v>221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385</v>
      </c>
      <c r="I44">
        <v>14</v>
      </c>
      <c r="J44">
        <v>-0.36300712066444207</v>
      </c>
    </row>
    <row r="45" spans="1:10" x14ac:dyDescent="0.2">
      <c r="A45" t="s">
        <v>319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16</v>
      </c>
      <c r="J45">
        <v>-11.44814822660846</v>
      </c>
    </row>
    <row r="46" spans="1:10" x14ac:dyDescent="0.2">
      <c r="A46" t="s">
        <v>235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383</v>
      </c>
      <c r="I46">
        <v>15</v>
      </c>
      <c r="J46">
        <v>-2.423138952361608</v>
      </c>
    </row>
    <row r="47" spans="1:10" x14ac:dyDescent="0.2">
      <c r="A47" t="s">
        <v>38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9</v>
      </c>
      <c r="J47">
        <v>12.90381283391684</v>
      </c>
    </row>
    <row r="48" spans="1:10" x14ac:dyDescent="0.2">
      <c r="A48" t="s">
        <v>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385</v>
      </c>
      <c r="I48">
        <v>7</v>
      </c>
      <c r="J48">
        <v>15.029836879013709</v>
      </c>
    </row>
    <row r="49" spans="1:10" x14ac:dyDescent="0.2">
      <c r="A49" t="s">
        <v>27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10</v>
      </c>
      <c r="J49">
        <v>15.748134392962729</v>
      </c>
    </row>
    <row r="50" spans="1:10" x14ac:dyDescent="0.2">
      <c r="A50" t="s">
        <v>316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16</v>
      </c>
      <c r="J50">
        <v>-9.5097540407855199</v>
      </c>
    </row>
    <row r="51" spans="1:10" x14ac:dyDescent="0.2">
      <c r="A51" t="s">
        <v>55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11</v>
      </c>
      <c r="J51">
        <v>10.63039633378199</v>
      </c>
    </row>
    <row r="52" spans="1:10" x14ac:dyDescent="0.2">
      <c r="A52" t="s">
        <v>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9</v>
      </c>
      <c r="J52">
        <v>12.689579175374289</v>
      </c>
    </row>
    <row r="53" spans="1:10" x14ac:dyDescent="0.2">
      <c r="A53" t="s">
        <v>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15</v>
      </c>
      <c r="J53">
        <v>1.2683199118622079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2026-03-24T00:57:39Z</dcterms:modified>
</cp:coreProperties>
</file>