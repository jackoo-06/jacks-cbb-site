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B0DB9FF3-87F2-9642-A5D4-10B69171EB99}" xr6:coauthVersionLast="47" xr6:coauthVersionMax="47" xr10:uidLastSave="{00000000-0000-0000-0000-000000000000}"/>
  <bookViews>
    <workbookView xWindow="0" yWindow="780" windowWidth="18760" windowHeight="1996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O26" i="4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B3" i="1" l="1"/>
  <c r="D3" i="1" s="1"/>
  <c r="C3" i="1"/>
  <c r="F3" i="1"/>
  <c r="K3" i="1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E3" i="1" l="1"/>
  <c r="E2" i="1"/>
  <c r="H3" i="1" l="1"/>
  <c r="I3" i="1"/>
  <c r="G3" i="1"/>
  <c r="G2" i="1"/>
  <c r="I2" i="1"/>
  <c r="H2" i="1"/>
  <c r="K2" i="1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C146" i="2" s="1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C339" i="2" s="1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143" i="2" l="1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</calcChain>
</file>

<file path=xl/sharedStrings.xml><?xml version="1.0" encoding="utf-8"?>
<sst xmlns="http://schemas.openxmlformats.org/spreadsheetml/2006/main" count="699" uniqueCount="465">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</sst>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Houston</v>
          </cell>
          <cell r="D2" t="str">
            <v>Illinois</v>
          </cell>
          <cell r="E2">
            <v>5.449294502348879</v>
          </cell>
          <cell r="F2" t="b">
            <v>0</v>
          </cell>
          <cell r="G2">
            <v>0.5731230652375563</v>
          </cell>
          <cell r="H2">
            <v>0</v>
          </cell>
          <cell r="I2">
            <v>9.4144033635334745E-2</v>
          </cell>
          <cell r="J2">
            <v>0.34694764321218979</v>
          </cell>
          <cell r="K2">
            <v>0</v>
          </cell>
        </row>
        <row r="3">
          <cell r="B3">
            <v>2</v>
          </cell>
          <cell r="C3" t="str">
            <v>Purdue</v>
          </cell>
          <cell r="D3" t="str">
            <v>Texas</v>
          </cell>
          <cell r="E3">
            <v>10.092842152691439</v>
          </cell>
          <cell r="F3" t="b">
            <v>0</v>
          </cell>
          <cell r="G3">
            <v>0.55203428057968584</v>
          </cell>
          <cell r="H3">
            <v>0</v>
          </cell>
          <cell r="I3">
            <v>5.3883626561218478E-2</v>
          </cell>
          <cell r="J3">
            <v>0.43952016208204348</v>
          </cell>
          <cell r="K3">
            <v>0</v>
          </cell>
        </row>
        <row r="4">
          <cell r="B4">
            <v>3</v>
          </cell>
          <cell r="C4" t="str">
            <v>Illinois</v>
          </cell>
          <cell r="D4" t="str">
            <v>Houston</v>
          </cell>
          <cell r="E4">
            <v>-2.2722659968097489</v>
          </cell>
          <cell r="F4" t="b">
            <v>0</v>
          </cell>
          <cell r="G4">
            <v>0.50567810343901931</v>
          </cell>
          <cell r="H4">
            <v>0</v>
          </cell>
          <cell r="I4">
            <v>-3.4614529798235823E-2</v>
          </cell>
          <cell r="J4">
            <v>5.9410701506423469E-2</v>
          </cell>
          <cell r="K4">
            <v>0</v>
          </cell>
        </row>
        <row r="5">
          <cell r="B5">
            <v>4</v>
          </cell>
          <cell r="C5" t="str">
            <v>Texas</v>
          </cell>
          <cell r="D5" t="str">
            <v>Purdue</v>
          </cell>
          <cell r="E5">
            <v>-4.9701845204405686</v>
          </cell>
          <cell r="F5" t="b">
            <v>0</v>
          </cell>
          <cell r="G5">
            <v>0.57509602242469182</v>
          </cell>
          <cell r="H5">
            <v>0</v>
          </cell>
          <cell r="I5">
            <v>9.7910588265320841E-2</v>
          </cell>
          <cell r="J5">
            <v>2.1099126100401319E-2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Houston</v>
          </cell>
          <cell r="C2" t="str">
            <v>Illinois</v>
          </cell>
          <cell r="D2">
            <v>20.908506008479332</v>
          </cell>
          <cell r="E2">
            <v>105.43571389837862</v>
          </cell>
          <cell r="F2">
            <v>97.099609428307105</v>
          </cell>
          <cell r="G2">
            <v>0.52154080081094778</v>
          </cell>
          <cell r="H2">
            <v>64.762500000000003</v>
          </cell>
          <cell r="I2">
            <v>61.65625</v>
          </cell>
          <cell r="J2">
            <v>16.71875</v>
          </cell>
          <cell r="K2">
            <v>12.78125</v>
          </cell>
          <cell r="L2">
            <v>8.53125</v>
          </cell>
          <cell r="M2">
            <v>0</v>
          </cell>
          <cell r="N2">
            <v>18.836157720404749</v>
          </cell>
          <cell r="O2">
            <v>105.08780903665816</v>
          </cell>
          <cell r="P2">
            <v>108.93352999987511</v>
          </cell>
          <cell r="Q2">
            <v>0.5511688311688312</v>
          </cell>
          <cell r="R2">
            <v>66.809032258064519</v>
          </cell>
          <cell r="S2">
            <v>62.096774193548384</v>
          </cell>
          <cell r="T2">
            <v>20.387096774193548</v>
          </cell>
          <cell r="U2">
            <v>13.258064516129032</v>
          </cell>
          <cell r="V2">
            <v>9</v>
          </cell>
          <cell r="W2">
            <v>0</v>
          </cell>
          <cell r="X2">
            <v>-2.5</v>
          </cell>
        </row>
        <row r="3">
          <cell r="A3">
            <v>2</v>
          </cell>
          <cell r="B3" t="str">
            <v>Purdue</v>
          </cell>
          <cell r="C3" t="str">
            <v>Texas</v>
          </cell>
          <cell r="D3">
            <v>20.952342842063047</v>
          </cell>
          <cell r="E3">
            <v>102.749921687376</v>
          </cell>
          <cell r="F3">
            <v>101.58084764470013</v>
          </cell>
          <cell r="G3">
            <v>0.5771558245083207</v>
          </cell>
          <cell r="H3">
            <v>65.197575757575763</v>
          </cell>
          <cell r="I3">
            <v>60.090909090909093</v>
          </cell>
          <cell r="J3">
            <v>16.90909090909091</v>
          </cell>
          <cell r="K3">
            <v>11.363636363636363</v>
          </cell>
          <cell r="L3">
            <v>9.0303030303030312</v>
          </cell>
          <cell r="M3">
            <v>0</v>
          </cell>
          <cell r="N3">
            <v>14.540908746576733</v>
          </cell>
          <cell r="O3">
            <v>100.55048907489414</v>
          </cell>
          <cell r="P3">
            <v>96.685052394872145</v>
          </cell>
          <cell r="Q3">
            <v>0.5496777658431794</v>
          </cell>
          <cell r="R3">
            <v>68.81</v>
          </cell>
          <cell r="S3">
            <v>58.1875</v>
          </cell>
          <cell r="T3">
            <v>26.34375</v>
          </cell>
          <cell r="U3">
            <v>12</v>
          </cell>
          <cell r="V3">
            <v>11.03125</v>
          </cell>
          <cell r="W3">
            <v>0</v>
          </cell>
          <cell r="X3">
            <v>-8</v>
          </cell>
        </row>
        <row r="4">
          <cell r="A4">
            <v>3</v>
          </cell>
          <cell r="B4" t="str">
            <v>Illinois</v>
          </cell>
          <cell r="C4" t="str">
            <v>Houston</v>
          </cell>
          <cell r="D4">
            <v>18.836157720404749</v>
          </cell>
          <cell r="E4">
            <v>105.08780903665816</v>
          </cell>
          <cell r="F4">
            <v>108.93352999987511</v>
          </cell>
          <cell r="G4">
            <v>0.5511688311688312</v>
          </cell>
          <cell r="H4">
            <v>66.809032258064519</v>
          </cell>
          <cell r="I4">
            <v>62.096774193548384</v>
          </cell>
          <cell r="J4">
            <v>20.387096774193548</v>
          </cell>
          <cell r="K4">
            <v>13.258064516129032</v>
          </cell>
          <cell r="L4">
            <v>9</v>
          </cell>
          <cell r="M4">
            <v>0</v>
          </cell>
          <cell r="N4">
            <v>20.908506008479332</v>
          </cell>
          <cell r="O4">
            <v>105.43571389837862</v>
          </cell>
          <cell r="P4">
            <v>97.099609428307105</v>
          </cell>
          <cell r="Q4">
            <v>0.52154080081094778</v>
          </cell>
          <cell r="R4">
            <v>64.762500000000003</v>
          </cell>
          <cell r="S4">
            <v>61.65625</v>
          </cell>
          <cell r="T4">
            <v>16.71875</v>
          </cell>
          <cell r="U4">
            <v>12.78125</v>
          </cell>
          <cell r="V4">
            <v>8.53125</v>
          </cell>
          <cell r="W4">
            <v>0</v>
          </cell>
          <cell r="X4">
            <v>2.5</v>
          </cell>
        </row>
        <row r="5">
          <cell r="A5">
            <v>4</v>
          </cell>
          <cell r="B5" t="str">
            <v>Texas</v>
          </cell>
          <cell r="C5" t="str">
            <v>Purdue</v>
          </cell>
          <cell r="D5">
            <v>14.540908746576733</v>
          </cell>
          <cell r="E5">
            <v>100.55048907489414</v>
          </cell>
          <cell r="F5">
            <v>96.685052394872145</v>
          </cell>
          <cell r="G5">
            <v>0.5496777658431794</v>
          </cell>
          <cell r="H5">
            <v>68.81</v>
          </cell>
          <cell r="I5">
            <v>58.1875</v>
          </cell>
          <cell r="J5">
            <v>26.34375</v>
          </cell>
          <cell r="K5">
            <v>12</v>
          </cell>
          <cell r="L5">
            <v>11.03125</v>
          </cell>
          <cell r="M5">
            <v>0</v>
          </cell>
          <cell r="N5">
            <v>20.952342842063047</v>
          </cell>
          <cell r="O5">
            <v>102.749921687376</v>
          </cell>
          <cell r="P5">
            <v>101.58084764470013</v>
          </cell>
          <cell r="Q5">
            <v>0.5771558245083207</v>
          </cell>
          <cell r="R5">
            <v>65.197575757575763</v>
          </cell>
          <cell r="S5">
            <v>60.090909090909093</v>
          </cell>
          <cell r="T5">
            <v>16.90909090909091</v>
          </cell>
          <cell r="U5">
            <v>11.363636363636363</v>
          </cell>
          <cell r="V5">
            <v>9.0303030303030312</v>
          </cell>
          <cell r="W5">
            <v>0</v>
          </cell>
          <cell r="X5">
            <v>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7"/>
  <sheetViews>
    <sheetView workbookViewId="0">
      <selection activeCell="D16" sqref="D16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1</v>
      </c>
      <c r="B2" s="6" t="str">
        <f>VLOOKUP(A2,[1]Games!$B$2:$K$398,2,FALSE)</f>
        <v>Houston</v>
      </c>
      <c r="C2" s="6" t="str">
        <f>VLOOKUP(A2,[1]Games!$B$2:$K$398,3,FALSE)</f>
        <v>Illinois</v>
      </c>
      <c r="D2" s="6" t="str">
        <f>B2</f>
        <v>Houston</v>
      </c>
      <c r="E2" s="5">
        <f>VLOOKUP(A2,[1]Games!$B$2:$K$398,4,FALSE)</f>
        <v>5.449294502348879</v>
      </c>
      <c r="F2" s="5">
        <f>-VLOOKUP(A2,[2]Games!$A$2:$X$284,24,FALSE)</f>
        <v>2.5</v>
      </c>
      <c r="G2" s="7">
        <f>VLOOKUP(A2,[1]Games!$B$2:$K$398,9,FALSE)</f>
        <v>0.34694764321218979</v>
      </c>
      <c r="H2" s="7">
        <f>VLOOKUP(A2,[1]Games!$B$2:$K$398,7,FALSE)</f>
        <v>0</v>
      </c>
      <c r="I2" s="7">
        <f>VLOOKUP(A2,[1]Games!$B$2:$K$398,8,FALSE)/4</f>
        <v>2.3536008408833686E-2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4</v>
      </c>
      <c r="B3" s="6" t="str">
        <f>VLOOKUP(A3,[1]Games!$B$2:$K$398,2,FALSE)</f>
        <v>Texas</v>
      </c>
      <c r="C3" s="6" t="str">
        <f>VLOOKUP(A3,[1]Games!$B$2:$K$398,3,FALSE)</f>
        <v>Purdue</v>
      </c>
      <c r="D3" s="6" t="str">
        <f t="shared" ref="D3:D9" si="0">B3</f>
        <v>Texas</v>
      </c>
      <c r="E3" s="5">
        <f>VLOOKUP(A3,[1]Games!$B$2:$K$398,4,FALSE)</f>
        <v>-4.9701845204405686</v>
      </c>
      <c r="F3" s="5">
        <f>-VLOOKUP(A3,[2]Games!$A$2:$X$284,24,FALSE)</f>
        <v>-8</v>
      </c>
      <c r="G3" s="7">
        <f>VLOOKUP(A3,[1]Games!$B$2:$K$398,9,FALSE)</f>
        <v>2.1099126100401319E-2</v>
      </c>
      <c r="H3" s="7">
        <f>VLOOKUP(A3,[1]Games!$B$2:$K$398,7,FALSE)</f>
        <v>0</v>
      </c>
      <c r="I3" s="7">
        <f>VLOOKUP(A3,[1]Games!$B$2:$K$398,8,FALSE)/4</f>
        <v>2.447764706633021E-2</v>
      </c>
      <c r="J3" s="8" t="s">
        <v>443</v>
      </c>
      <c r="K3" s="9">
        <f t="shared" ref="K3:K9" si="1">IF(J3="Yes",(H3*1500)/100,0)</f>
        <v>0</v>
      </c>
    </row>
    <row r="4" spans="1:12" x14ac:dyDescent="0.2">
      <c r="B4" s="6"/>
      <c r="C4" s="6"/>
      <c r="D4" s="6"/>
      <c r="E4" s="5"/>
      <c r="F4" s="5"/>
      <c r="G4" s="7"/>
      <c r="H4" s="7"/>
      <c r="I4" s="7"/>
      <c r="J4" s="8"/>
      <c r="K4" s="9"/>
    </row>
    <row r="5" spans="1:12" x14ac:dyDescent="0.2">
      <c r="B5" s="6"/>
      <c r="C5" s="6"/>
      <c r="D5" s="6"/>
      <c r="E5" s="5"/>
      <c r="F5" s="5"/>
      <c r="G5" s="7"/>
      <c r="H5" s="7"/>
      <c r="I5" s="7"/>
      <c r="J5" s="8"/>
      <c r="K5" s="9"/>
    </row>
    <row r="6" spans="1:12" x14ac:dyDescent="0.2">
      <c r="B6" s="6"/>
      <c r="C6" s="6"/>
      <c r="D6" s="6"/>
      <c r="E6" s="5"/>
      <c r="F6" s="5"/>
      <c r="G6" s="7"/>
      <c r="H6" s="7"/>
      <c r="I6" s="7"/>
      <c r="J6" s="8"/>
      <c r="K6" s="9"/>
    </row>
    <row r="7" spans="1:12" x14ac:dyDescent="0.2">
      <c r="B7" s="6"/>
      <c r="C7" s="6"/>
      <c r="D7" s="6"/>
      <c r="E7" s="5"/>
      <c r="F7" s="5"/>
      <c r="G7" s="7"/>
      <c r="H7" s="7"/>
      <c r="I7" s="7"/>
      <c r="J7" s="8"/>
      <c r="K7" s="9"/>
    </row>
    <row r="8" spans="1:12" x14ac:dyDescent="0.2">
      <c r="B8" s="6"/>
      <c r="C8" s="6"/>
      <c r="D8" s="6"/>
      <c r="E8" s="5"/>
      <c r="F8" s="5"/>
      <c r="G8" s="7"/>
      <c r="H8" s="7"/>
      <c r="I8" s="7"/>
      <c r="J8" s="8"/>
      <c r="K8" s="9"/>
    </row>
    <row r="9" spans="1:12" x14ac:dyDescent="0.2">
      <c r="B9" s="6"/>
      <c r="C9" s="6"/>
      <c r="D9" s="6"/>
      <c r="E9" s="5"/>
      <c r="F9" s="5"/>
      <c r="G9" s="7"/>
      <c r="H9" s="7"/>
      <c r="I9" s="7"/>
      <c r="J9" s="8"/>
      <c r="K9" s="9"/>
    </row>
    <row r="10" spans="1:12" x14ac:dyDescent="0.2">
      <c r="B10" s="6"/>
      <c r="C10" s="6"/>
      <c r="D10" s="6"/>
      <c r="E10" s="5"/>
      <c r="F10" s="5"/>
      <c r="G10" s="7"/>
      <c r="H10" s="7"/>
      <c r="I10" s="7"/>
      <c r="J10" s="8"/>
      <c r="K10" s="9"/>
    </row>
    <row r="11" spans="1:12" x14ac:dyDescent="0.2">
      <c r="B11" s="6"/>
      <c r="C11" s="6"/>
      <c r="D11" s="6"/>
      <c r="E11" s="5"/>
      <c r="F11" s="5"/>
      <c r="G11" s="7"/>
      <c r="H11" s="7"/>
      <c r="I11" s="7"/>
      <c r="J11" s="8"/>
      <c r="K11" s="9"/>
    </row>
    <row r="12" spans="1:12" x14ac:dyDescent="0.2">
      <c r="B12" s="6"/>
      <c r="C12" s="6"/>
      <c r="D12" s="6"/>
      <c r="E12" s="5"/>
      <c r="F12" s="5"/>
      <c r="G12" s="7"/>
      <c r="H12" s="7"/>
      <c r="I12" s="7"/>
      <c r="J12" s="8"/>
      <c r="K12" s="9"/>
    </row>
    <row r="13" spans="1:12" x14ac:dyDescent="0.2">
      <c r="B13" s="6"/>
      <c r="C13" s="6"/>
      <c r="D13" s="6"/>
      <c r="E13" s="5"/>
      <c r="F13" s="5"/>
      <c r="G13" s="7"/>
      <c r="H13" s="7"/>
      <c r="I13" s="7"/>
      <c r="J13" s="8"/>
      <c r="K13" s="9"/>
    </row>
    <row r="14" spans="1:12" x14ac:dyDescent="0.2">
      <c r="B14" s="6"/>
      <c r="C14" s="6"/>
      <c r="D14" s="6"/>
      <c r="E14" s="5"/>
      <c r="F14" s="5"/>
      <c r="G14" s="7"/>
      <c r="H14" s="7"/>
      <c r="I14" s="7"/>
      <c r="J14" s="8"/>
      <c r="K14" s="9"/>
    </row>
    <row r="15" spans="1:12" x14ac:dyDescent="0.2">
      <c r="B15" s="6"/>
      <c r="C15" s="6"/>
      <c r="D15" s="6"/>
      <c r="E15" s="5"/>
      <c r="F15" s="5"/>
      <c r="G15" s="7"/>
      <c r="H15" s="7"/>
      <c r="I15" s="7"/>
      <c r="J15" s="8"/>
      <c r="K15" s="9"/>
    </row>
    <row r="16" spans="1:12" x14ac:dyDescent="0.2">
      <c r="B16" s="6"/>
      <c r="C16" s="6"/>
      <c r="D16" s="6"/>
      <c r="E16" s="5"/>
      <c r="F16" s="5"/>
      <c r="G16" s="7"/>
      <c r="H16" s="7"/>
      <c r="I16" s="7"/>
      <c r="J16" s="8"/>
      <c r="K16" s="9"/>
    </row>
    <row r="17" spans="2:11" x14ac:dyDescent="0.2">
      <c r="B17" s="6"/>
      <c r="C17" s="6"/>
      <c r="D17" s="6"/>
      <c r="E17" s="5"/>
      <c r="F17" s="5"/>
      <c r="G17" s="7"/>
      <c r="H17" s="7"/>
      <c r="I17" s="7"/>
      <c r="J17" s="8"/>
      <c r="K17" s="9"/>
    </row>
    <row r="18" spans="2:11" x14ac:dyDescent="0.2">
      <c r="B18" s="6"/>
      <c r="C18" s="6"/>
      <c r="D18" s="6"/>
      <c r="E18" s="5"/>
      <c r="F18" s="5"/>
      <c r="G18" s="7"/>
      <c r="H18" s="7"/>
      <c r="I18" s="7"/>
      <c r="J18" s="8"/>
      <c r="K18" s="9"/>
    </row>
    <row r="19" spans="2:11" x14ac:dyDescent="0.2">
      <c r="B19" s="6"/>
      <c r="C19" s="6"/>
      <c r="D19" s="6"/>
      <c r="E19" s="5"/>
      <c r="F19" s="5"/>
      <c r="G19" s="7"/>
      <c r="H19" s="7"/>
      <c r="I19" s="7"/>
      <c r="J19" s="8"/>
      <c r="K19" s="9"/>
    </row>
    <row r="20" spans="2:11" x14ac:dyDescent="0.2">
      <c r="B20" s="6"/>
      <c r="C20" s="6"/>
      <c r="D20" s="6"/>
      <c r="E20" s="5"/>
      <c r="F20" s="5"/>
      <c r="G20" s="7"/>
      <c r="H20" s="7"/>
      <c r="I20" s="7"/>
      <c r="J20" s="8"/>
      <c r="K20" s="9"/>
    </row>
    <row r="21" spans="2:11" x14ac:dyDescent="0.2">
      <c r="B21" s="6"/>
      <c r="C21" s="6"/>
      <c r="D21" s="6"/>
      <c r="E21" s="5"/>
      <c r="F21" s="5"/>
      <c r="G21" s="7"/>
      <c r="H21" s="7"/>
      <c r="I21" s="7"/>
      <c r="J21" s="8"/>
      <c r="K21" s="9"/>
    </row>
    <row r="22" spans="2:11" x14ac:dyDescent="0.2">
      <c r="B22" s="6"/>
      <c r="C22" s="6"/>
      <c r="D22" s="6"/>
      <c r="E22" s="5"/>
      <c r="F22" s="5"/>
      <c r="G22" s="7"/>
      <c r="H22" s="7"/>
      <c r="I22" s="7"/>
      <c r="J22" s="8"/>
      <c r="K22" s="9"/>
    </row>
    <row r="23" spans="2:11" x14ac:dyDescent="0.2">
      <c r="B23" s="6"/>
      <c r="C23" s="6"/>
      <c r="D23" s="6"/>
      <c r="E23" s="5"/>
      <c r="F23" s="5"/>
      <c r="G23" s="7"/>
      <c r="H23" s="7"/>
      <c r="I23" s="7"/>
      <c r="J23" s="8"/>
      <c r="K23" s="9"/>
    </row>
    <row r="24" spans="2:11" x14ac:dyDescent="0.2">
      <c r="B24" s="6"/>
      <c r="C24" s="6"/>
      <c r="D24" s="6"/>
      <c r="E24" s="5"/>
      <c r="F24" s="5"/>
      <c r="G24" s="7"/>
      <c r="H24" s="7"/>
      <c r="I24" s="7"/>
      <c r="J24" s="8"/>
      <c r="K24" s="9"/>
    </row>
    <row r="25" spans="2:11" x14ac:dyDescent="0.2">
      <c r="B25" s="6"/>
      <c r="C25" s="6"/>
      <c r="D25" s="6"/>
      <c r="E25" s="5"/>
      <c r="F25" s="5"/>
      <c r="G25" s="7"/>
      <c r="H25" s="7"/>
      <c r="I25" s="7"/>
      <c r="J25" s="8"/>
      <c r="K25" s="9"/>
    </row>
    <row r="26" spans="2:11" x14ac:dyDescent="0.2">
      <c r="B26" s="6"/>
      <c r="C26" s="6"/>
      <c r="D26" s="6"/>
      <c r="E26" s="5"/>
      <c r="F26" s="5"/>
      <c r="G26" s="7"/>
      <c r="H26" s="7"/>
      <c r="I26" s="7"/>
      <c r="J26" s="8"/>
      <c r="K26" s="9"/>
    </row>
    <row r="27" spans="2:11" x14ac:dyDescent="0.2">
      <c r="B27" s="6"/>
      <c r="C27" s="6"/>
      <c r="D27" s="6"/>
      <c r="E27" s="5"/>
      <c r="F27" s="5"/>
      <c r="G27" s="7"/>
      <c r="H27" s="7"/>
      <c r="I27" s="7"/>
      <c r="J27" s="8"/>
      <c r="K27" s="9"/>
    </row>
    <row r="28" spans="2:11" x14ac:dyDescent="0.2">
      <c r="B28" s="6"/>
      <c r="C28" s="6"/>
      <c r="D28" s="6"/>
      <c r="E28" s="5"/>
      <c r="F28" s="5"/>
      <c r="G28" s="7"/>
      <c r="H28" s="7"/>
      <c r="I28" s="7"/>
      <c r="J28" s="8"/>
      <c r="K28" s="9"/>
    </row>
    <row r="29" spans="2:11" x14ac:dyDescent="0.2">
      <c r="B29" s="6"/>
      <c r="C29" s="6"/>
      <c r="D29" s="6"/>
      <c r="E29" s="5"/>
      <c r="F29" s="5"/>
      <c r="G29" s="7"/>
      <c r="H29" s="7"/>
      <c r="I29" s="7"/>
      <c r="J29" s="8"/>
      <c r="K29" s="9"/>
    </row>
    <row r="30" spans="2:11" x14ac:dyDescent="0.2">
      <c r="B30" s="6"/>
      <c r="C30" s="6"/>
      <c r="D30" s="6"/>
      <c r="E30" s="5"/>
      <c r="F30" s="5"/>
      <c r="G30" s="7"/>
      <c r="H30" s="7"/>
      <c r="I30" s="7"/>
      <c r="J30" s="8"/>
      <c r="K30" s="9"/>
    </row>
    <row r="31" spans="2:11" x14ac:dyDescent="0.2">
      <c r="B31" s="6"/>
      <c r="C31" s="6"/>
      <c r="D31" s="6"/>
      <c r="E31" s="5"/>
      <c r="F31" s="5"/>
      <c r="G31" s="7"/>
      <c r="H31" s="7"/>
      <c r="I31" s="7"/>
      <c r="J31" s="8"/>
      <c r="K31" s="9"/>
    </row>
    <row r="32" spans="2:11" x14ac:dyDescent="0.2">
      <c r="B32" s="6"/>
      <c r="C32" s="6"/>
      <c r="D32" s="6"/>
      <c r="E32" s="5"/>
      <c r="F32" s="5"/>
      <c r="G32" s="7"/>
      <c r="H32" s="7"/>
      <c r="I32" s="7"/>
      <c r="J32" s="8"/>
      <c r="K32" s="9"/>
    </row>
    <row r="33" spans="2:11" x14ac:dyDescent="0.2">
      <c r="B33" s="6"/>
      <c r="C33" s="6"/>
      <c r="D33" s="6"/>
      <c r="E33" s="5"/>
      <c r="F33" s="5"/>
      <c r="G33" s="7"/>
      <c r="H33" s="7"/>
      <c r="I33" s="7"/>
      <c r="J33" s="8"/>
      <c r="K33" s="9"/>
    </row>
    <row r="34" spans="2:11" x14ac:dyDescent="0.2">
      <c r="B34" s="6"/>
      <c r="C34" s="6"/>
      <c r="D34" s="6"/>
      <c r="E34" s="5"/>
      <c r="F34" s="5"/>
      <c r="G34" s="7"/>
      <c r="H34" s="7"/>
      <c r="I34" s="7"/>
      <c r="J34" s="8"/>
      <c r="K34" s="9"/>
    </row>
    <row r="35" spans="2:11" x14ac:dyDescent="0.2">
      <c r="B35" s="6"/>
      <c r="C35" s="6"/>
      <c r="D35" s="6"/>
      <c r="E35" s="5"/>
      <c r="F35" s="5"/>
      <c r="G35" s="7"/>
      <c r="H35" s="7"/>
      <c r="I35" s="7"/>
      <c r="J35" s="8"/>
      <c r="K35" s="9"/>
    </row>
    <row r="36" spans="2:11" x14ac:dyDescent="0.2">
      <c r="B36" s="6"/>
      <c r="C36" s="6"/>
      <c r="D36" s="6"/>
      <c r="E36" s="5"/>
      <c r="F36" s="5"/>
      <c r="G36" s="7"/>
      <c r="H36" s="7"/>
      <c r="I36" s="7"/>
      <c r="J36" s="8"/>
      <c r="K36" s="9"/>
    </row>
    <row r="37" spans="2:11" x14ac:dyDescent="0.2">
      <c r="B37" s="6"/>
      <c r="C37" s="6"/>
      <c r="D37" s="6"/>
      <c r="E37" s="5"/>
      <c r="F37" s="5"/>
      <c r="G37" s="7"/>
      <c r="H37" s="7"/>
      <c r="I37" s="7"/>
      <c r="J37" s="8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3" sqref="C3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13</v>
      </c>
      <c r="B2" s="1">
        <f>COUNTIF($C$6:$C$150,"L")</f>
        <v>8</v>
      </c>
      <c r="C2" s="12">
        <f>SUM(F6:F25)/SUM(E6:E25)</f>
        <v>0.11202337575793919</v>
      </c>
      <c r="D2" s="13">
        <f>AVERAGE(H6:H150)</f>
        <v>2.1950547850687559E-2</v>
      </c>
      <c r="E2" s="1">
        <f ca="1">COUNTIF(OFFSET($C$6,COUNTA($C$6:$C$1500)-10,0,10,1),"W")</f>
        <v>9</v>
      </c>
      <c r="F2" s="1">
        <f ca="1">COUNTIF(OFFSET($C$6,COUNTA($C$6:$C$1500)-10,0,10,1),"L")</f>
        <v>1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6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462</v>
      </c>
      <c r="B25" s="1">
        <f t="shared" si="4"/>
        <v>20</v>
      </c>
      <c r="C25" s="1" t="s">
        <v>388</v>
      </c>
      <c r="D25" s="1" t="s">
        <v>463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462</v>
      </c>
      <c r="B26" s="1">
        <f t="shared" si="4"/>
        <v>21</v>
      </c>
      <c r="C26" s="1" t="s">
        <v>388</v>
      </c>
      <c r="D26" s="1" t="s">
        <v>464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tabSelected="1" workbookViewId="0">
      <selection activeCell="G7" sqref="G7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447</v>
      </c>
      <c r="H9" s="1" t="s">
        <v>451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447</v>
      </c>
      <c r="H10" s="1" t="s">
        <v>451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447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447</v>
      </c>
      <c r="H12" s="1" t="s">
        <v>451</v>
      </c>
      <c r="J12" s="1" t="s">
        <v>389</v>
      </c>
      <c r="K12" s="1">
        <f t="shared" si="0"/>
        <v>-1.0649999999999999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B2" sqref="B2:B33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0.77400000000000002</v>
      </c>
      <c r="D2">
        <v>0.54344999999999999</v>
      </c>
      <c r="E2">
        <v>0.35235</v>
      </c>
      <c r="F2">
        <v>0.21299999999999999</v>
      </c>
      <c r="G2">
        <v>0.11915000000000001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1</v>
      </c>
      <c r="C3">
        <v>0.70679999999999998</v>
      </c>
      <c r="D3">
        <v>0.46884999999999999</v>
      </c>
      <c r="E3">
        <v>0.2888</v>
      </c>
      <c r="F3">
        <v>0.1704</v>
      </c>
      <c r="G3">
        <v>0.10445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1</v>
      </c>
      <c r="C4">
        <v>0.77080000000000004</v>
      </c>
      <c r="D4">
        <v>0.48220000000000002</v>
      </c>
      <c r="E4">
        <v>0.29485</v>
      </c>
      <c r="F4">
        <v>0.16830000000000001</v>
      </c>
      <c r="G4">
        <v>9.9250000000000005E-2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1</v>
      </c>
      <c r="C5">
        <v>0.7016</v>
      </c>
      <c r="D5">
        <v>0.44555</v>
      </c>
      <c r="E5">
        <v>0.27579999999999999</v>
      </c>
      <c r="F5">
        <v>0.16025</v>
      </c>
      <c r="G5">
        <v>8.5599999999999996E-2</v>
      </c>
      <c r="H5" t="s">
        <v>385</v>
      </c>
      <c r="I5">
        <v>1</v>
      </c>
      <c r="J5">
        <v>22.650454216704581</v>
      </c>
    </row>
    <row r="6" spans="1:10" x14ac:dyDescent="0.2">
      <c r="A6" t="s">
        <v>6</v>
      </c>
      <c r="B6">
        <v>1</v>
      </c>
      <c r="C6">
        <v>0.70814999999999995</v>
      </c>
      <c r="D6">
        <v>0.44405</v>
      </c>
      <c r="E6">
        <v>0.23455000000000001</v>
      </c>
      <c r="F6">
        <v>0.12825</v>
      </c>
      <c r="G6">
        <v>6.515E-2</v>
      </c>
      <c r="H6" t="s">
        <v>385</v>
      </c>
      <c r="I6">
        <v>2</v>
      </c>
      <c r="J6">
        <v>20.901069562815731</v>
      </c>
    </row>
    <row r="7" spans="1:10" x14ac:dyDescent="0.2">
      <c r="A7" t="s">
        <v>7</v>
      </c>
      <c r="B7">
        <v>1</v>
      </c>
      <c r="C7">
        <v>0.73945000000000005</v>
      </c>
      <c r="D7">
        <v>0.40915000000000001</v>
      </c>
      <c r="E7">
        <v>0.20449999999999999</v>
      </c>
      <c r="F7">
        <v>0.1053</v>
      </c>
      <c r="G7">
        <v>5.5050000000000002E-2</v>
      </c>
      <c r="H7" t="s">
        <v>383</v>
      </c>
      <c r="I7">
        <v>2</v>
      </c>
      <c r="J7">
        <v>20.933350618351088</v>
      </c>
    </row>
    <row r="8" spans="1:10" x14ac:dyDescent="0.2">
      <c r="A8" t="s">
        <v>5</v>
      </c>
      <c r="B8">
        <v>1</v>
      </c>
      <c r="C8">
        <v>0.68059999999999998</v>
      </c>
      <c r="D8">
        <v>0.38345000000000001</v>
      </c>
      <c r="E8">
        <v>0.19395000000000001</v>
      </c>
      <c r="F8">
        <v>0.10015</v>
      </c>
      <c r="G8">
        <v>5.3100000000000001E-2</v>
      </c>
      <c r="H8" t="s">
        <v>383</v>
      </c>
      <c r="I8">
        <v>3</v>
      </c>
      <c r="J8">
        <v>20.95985487362351</v>
      </c>
    </row>
    <row r="9" spans="1:10" x14ac:dyDescent="0.2">
      <c r="A9" t="s">
        <v>10</v>
      </c>
      <c r="B9">
        <v>1</v>
      </c>
      <c r="C9">
        <v>0.71745000000000003</v>
      </c>
      <c r="D9">
        <v>0.37959999999999999</v>
      </c>
      <c r="E9">
        <v>0.18584999999999999</v>
      </c>
      <c r="F9">
        <v>9.0999999999999998E-2</v>
      </c>
      <c r="G9">
        <v>4.8300000000000003E-2</v>
      </c>
      <c r="H9" t="s">
        <v>382</v>
      </c>
      <c r="I9">
        <v>6</v>
      </c>
      <c r="J9">
        <v>20.582457175121959</v>
      </c>
    </row>
    <row r="10" spans="1:10" x14ac:dyDescent="0.2">
      <c r="A10" t="s">
        <v>8</v>
      </c>
      <c r="B10">
        <v>1</v>
      </c>
      <c r="C10">
        <v>0.76895000000000002</v>
      </c>
      <c r="D10">
        <v>0.34825</v>
      </c>
      <c r="E10">
        <v>0.17760000000000001</v>
      </c>
      <c r="F10">
        <v>8.7099999999999997E-2</v>
      </c>
      <c r="G10">
        <v>4.2950000000000002E-2</v>
      </c>
      <c r="H10" t="s">
        <v>383</v>
      </c>
      <c r="I10">
        <v>4</v>
      </c>
      <c r="J10">
        <v>19.899076876872609</v>
      </c>
    </row>
    <row r="11" spans="1:10" x14ac:dyDescent="0.2">
      <c r="A11" t="s">
        <v>14</v>
      </c>
      <c r="B11">
        <v>1</v>
      </c>
      <c r="C11">
        <v>0.57520000000000004</v>
      </c>
      <c r="D11">
        <v>0.32435000000000003</v>
      </c>
      <c r="E11">
        <v>0.16170000000000001</v>
      </c>
      <c r="F11">
        <v>8.0100000000000005E-2</v>
      </c>
      <c r="G11">
        <v>4.1000000000000002E-2</v>
      </c>
      <c r="H11" t="s">
        <v>382</v>
      </c>
      <c r="I11">
        <v>2</v>
      </c>
      <c r="J11">
        <v>20.64149391157072</v>
      </c>
    </row>
    <row r="12" spans="1:10" x14ac:dyDescent="0.2">
      <c r="A12" t="s">
        <v>9</v>
      </c>
      <c r="B12">
        <v>1</v>
      </c>
      <c r="C12">
        <v>0.59484999999999999</v>
      </c>
      <c r="D12">
        <v>0.34484999999999999</v>
      </c>
      <c r="E12">
        <v>0.17674999999999999</v>
      </c>
      <c r="F12">
        <v>8.7999999999999995E-2</v>
      </c>
      <c r="G12">
        <v>4.095E-2</v>
      </c>
      <c r="H12" t="s">
        <v>384</v>
      </c>
      <c r="I12">
        <v>3</v>
      </c>
      <c r="J12">
        <v>19.982154388171558</v>
      </c>
    </row>
    <row r="13" spans="1:10" x14ac:dyDescent="0.2">
      <c r="A13" t="s">
        <v>13</v>
      </c>
      <c r="B13">
        <v>1</v>
      </c>
      <c r="C13">
        <v>0.73275000000000001</v>
      </c>
      <c r="D13">
        <v>0.36275000000000002</v>
      </c>
      <c r="E13">
        <v>0.16664999999999999</v>
      </c>
      <c r="F13">
        <v>7.8600000000000003E-2</v>
      </c>
      <c r="G13">
        <v>3.4799999999999998E-2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15</v>
      </c>
      <c r="B14">
        <v>1</v>
      </c>
      <c r="C14">
        <v>0.59504999999999997</v>
      </c>
      <c r="D14">
        <v>0.27705000000000002</v>
      </c>
      <c r="E14">
        <v>0.14660000000000001</v>
      </c>
      <c r="F14">
        <v>7.4300000000000005E-2</v>
      </c>
      <c r="G14">
        <v>3.2500000000000001E-2</v>
      </c>
      <c r="H14" t="s">
        <v>385</v>
      </c>
      <c r="I14">
        <v>5</v>
      </c>
      <c r="J14">
        <v>19.33409526621552</v>
      </c>
    </row>
    <row r="15" spans="1:10" x14ac:dyDescent="0.2">
      <c r="A15" t="s">
        <v>12</v>
      </c>
      <c r="B15">
        <v>1</v>
      </c>
      <c r="C15">
        <v>0.57769999999999999</v>
      </c>
      <c r="D15">
        <v>0.26769999999999999</v>
      </c>
      <c r="E15">
        <v>0.1384</v>
      </c>
      <c r="F15">
        <v>6.5299999999999997E-2</v>
      </c>
      <c r="G15">
        <v>3.175E-2</v>
      </c>
      <c r="H15" t="s">
        <v>382</v>
      </c>
      <c r="I15">
        <v>4</v>
      </c>
      <c r="J15">
        <v>19.673613604820769</v>
      </c>
    </row>
    <row r="16" spans="1:10" x14ac:dyDescent="0.2">
      <c r="A16" t="s">
        <v>386</v>
      </c>
      <c r="B16">
        <v>1</v>
      </c>
      <c r="C16">
        <v>0.56415000000000004</v>
      </c>
      <c r="D16">
        <v>0.27405000000000002</v>
      </c>
      <c r="E16">
        <v>0.12705</v>
      </c>
      <c r="F16">
        <v>5.6349999999999997E-2</v>
      </c>
      <c r="G16">
        <v>2.3349999999999999E-2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17</v>
      </c>
      <c r="B17">
        <v>1</v>
      </c>
      <c r="C17">
        <v>0.42480000000000001</v>
      </c>
      <c r="D17">
        <v>0.20985000000000001</v>
      </c>
      <c r="E17">
        <v>9.3200000000000005E-2</v>
      </c>
      <c r="F17">
        <v>4.0250000000000001E-2</v>
      </c>
      <c r="G17">
        <v>1.7850000000000001E-2</v>
      </c>
      <c r="H17" t="s">
        <v>382</v>
      </c>
      <c r="I17">
        <v>7</v>
      </c>
      <c r="J17">
        <v>18.034523649586539</v>
      </c>
    </row>
    <row r="18" spans="1:10" x14ac:dyDescent="0.2">
      <c r="A18" t="s">
        <v>20</v>
      </c>
      <c r="B18">
        <v>1</v>
      </c>
      <c r="C18">
        <v>0.54944999999999999</v>
      </c>
      <c r="D18">
        <v>0.2104</v>
      </c>
      <c r="E18">
        <v>9.4950000000000007E-2</v>
      </c>
      <c r="F18">
        <v>3.8850000000000003E-2</v>
      </c>
      <c r="G18">
        <v>1.52E-2</v>
      </c>
      <c r="H18" t="s">
        <v>384</v>
      </c>
      <c r="I18">
        <v>4</v>
      </c>
      <c r="J18">
        <v>16.809475334579389</v>
      </c>
    </row>
    <row r="19" spans="1:10" x14ac:dyDescent="0.2">
      <c r="A19" t="s">
        <v>18</v>
      </c>
      <c r="B19">
        <v>1</v>
      </c>
      <c r="C19">
        <v>0.40515000000000001</v>
      </c>
      <c r="D19">
        <v>0.19364999999999999</v>
      </c>
      <c r="E19">
        <v>8.1500000000000003E-2</v>
      </c>
      <c r="F19">
        <v>3.3849999999999998E-2</v>
      </c>
      <c r="G19">
        <v>1.26E-2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23</v>
      </c>
      <c r="B20">
        <v>1</v>
      </c>
      <c r="C20">
        <v>0.43585000000000002</v>
      </c>
      <c r="D20">
        <v>0.18745000000000001</v>
      </c>
      <c r="E20">
        <v>7.3050000000000004E-2</v>
      </c>
      <c r="F20">
        <v>2.9950000000000001E-2</v>
      </c>
      <c r="G20">
        <v>1.1350000000000001E-2</v>
      </c>
      <c r="H20" t="s">
        <v>384</v>
      </c>
      <c r="I20">
        <v>7</v>
      </c>
      <c r="J20">
        <v>15.943406980069801</v>
      </c>
    </row>
    <row r="21" spans="1:10" x14ac:dyDescent="0.2">
      <c r="A21" t="s">
        <v>11</v>
      </c>
      <c r="B21">
        <v>1</v>
      </c>
      <c r="C21">
        <v>0.42230000000000001</v>
      </c>
      <c r="D21">
        <v>0.16925000000000001</v>
      </c>
      <c r="E21">
        <v>7.3599999999999999E-2</v>
      </c>
      <c r="F21">
        <v>2.845E-2</v>
      </c>
      <c r="G21">
        <v>1.115E-2</v>
      </c>
      <c r="H21" t="s">
        <v>382</v>
      </c>
      <c r="I21">
        <v>5</v>
      </c>
      <c r="J21">
        <v>17.052374181699321</v>
      </c>
    </row>
    <row r="22" spans="1:10" x14ac:dyDescent="0.2">
      <c r="A22" t="s">
        <v>24</v>
      </c>
      <c r="B22">
        <v>1</v>
      </c>
      <c r="C22">
        <v>0.40494999999999998</v>
      </c>
      <c r="D22">
        <v>0.14765</v>
      </c>
      <c r="E22">
        <v>6.3700000000000007E-2</v>
      </c>
      <c r="F22">
        <v>2.5899999999999999E-2</v>
      </c>
      <c r="G22">
        <v>9.5999999999999992E-3</v>
      </c>
      <c r="H22" t="s">
        <v>385</v>
      </c>
      <c r="I22">
        <v>4</v>
      </c>
      <c r="J22">
        <v>15.82631796216417</v>
      </c>
    </row>
    <row r="23" spans="1:10" x14ac:dyDescent="0.2">
      <c r="A23" t="s">
        <v>21</v>
      </c>
      <c r="B23">
        <v>1</v>
      </c>
      <c r="C23">
        <v>0.29320000000000002</v>
      </c>
      <c r="D23">
        <v>0.13439999999999999</v>
      </c>
      <c r="E23">
        <v>5.7450000000000001E-2</v>
      </c>
      <c r="F23">
        <v>2.3050000000000001E-2</v>
      </c>
      <c r="G23">
        <v>9.1999999999999998E-3</v>
      </c>
      <c r="H23" t="s">
        <v>383</v>
      </c>
      <c r="I23">
        <v>9</v>
      </c>
      <c r="J23">
        <v>16.287809545840609</v>
      </c>
    </row>
    <row r="24" spans="1:10" x14ac:dyDescent="0.2">
      <c r="A24" t="s">
        <v>30</v>
      </c>
      <c r="B24">
        <v>1</v>
      </c>
      <c r="C24">
        <v>0.45055000000000001</v>
      </c>
      <c r="D24">
        <v>0.15359999999999999</v>
      </c>
      <c r="E24">
        <v>6.2549999999999994E-2</v>
      </c>
      <c r="F24">
        <v>2.4649999999999998E-2</v>
      </c>
      <c r="G24">
        <v>8.3999999999999995E-3</v>
      </c>
      <c r="H24" t="s">
        <v>384</v>
      </c>
      <c r="I24">
        <v>5</v>
      </c>
      <c r="J24">
        <v>15.123966744544839</v>
      </c>
    </row>
    <row r="25" spans="1:10" x14ac:dyDescent="0.2">
      <c r="A25" t="s">
        <v>28</v>
      </c>
      <c r="B25">
        <v>1</v>
      </c>
      <c r="C25">
        <v>0.2984</v>
      </c>
      <c r="D25">
        <v>0.12975</v>
      </c>
      <c r="E25">
        <v>5.5750000000000001E-2</v>
      </c>
      <c r="F25">
        <v>2.1149999999999999E-2</v>
      </c>
      <c r="G25">
        <v>7.9500000000000005E-3</v>
      </c>
      <c r="H25" t="s">
        <v>385</v>
      </c>
      <c r="I25">
        <v>9</v>
      </c>
      <c r="J25">
        <v>15.51511812576733</v>
      </c>
    </row>
    <row r="26" spans="1:10" x14ac:dyDescent="0.2">
      <c r="A26" t="s">
        <v>25</v>
      </c>
      <c r="B26">
        <v>1</v>
      </c>
      <c r="C26">
        <v>0.31940000000000002</v>
      </c>
      <c r="D26">
        <v>0.12470000000000001</v>
      </c>
      <c r="E26">
        <v>4.1149999999999999E-2</v>
      </c>
      <c r="F26">
        <v>1.34E-2</v>
      </c>
      <c r="G26">
        <v>4.5999999999999999E-3</v>
      </c>
      <c r="H26" t="s">
        <v>383</v>
      </c>
      <c r="I26">
        <v>11</v>
      </c>
      <c r="J26">
        <v>14.53205210966642</v>
      </c>
    </row>
    <row r="27" spans="1:10" x14ac:dyDescent="0.2">
      <c r="A27" t="s">
        <v>46</v>
      </c>
      <c r="B27">
        <v>1</v>
      </c>
      <c r="C27">
        <v>0.22600000000000001</v>
      </c>
      <c r="D27">
        <v>9.2549999999999993E-2</v>
      </c>
      <c r="E27">
        <v>3.1800000000000002E-2</v>
      </c>
      <c r="F27">
        <v>1.0999999999999999E-2</v>
      </c>
      <c r="G27">
        <v>3.3E-3</v>
      </c>
      <c r="H27" t="s">
        <v>384</v>
      </c>
      <c r="I27">
        <v>9</v>
      </c>
      <c r="J27">
        <v>12.67635641689086</v>
      </c>
    </row>
    <row r="28" spans="1:10" x14ac:dyDescent="0.2">
      <c r="A28" t="s">
        <v>37</v>
      </c>
      <c r="B28">
        <v>1</v>
      </c>
      <c r="C28">
        <v>0.29185</v>
      </c>
      <c r="D28">
        <v>0.11945</v>
      </c>
      <c r="E28">
        <v>3.875E-2</v>
      </c>
      <c r="F28">
        <v>1.115E-2</v>
      </c>
      <c r="G28">
        <v>2.8999999999999998E-3</v>
      </c>
      <c r="H28" t="s">
        <v>385</v>
      </c>
      <c r="I28">
        <v>10</v>
      </c>
      <c r="J28">
        <v>13.344745551152521</v>
      </c>
    </row>
    <row r="29" spans="1:10" x14ac:dyDescent="0.2">
      <c r="A29" t="s">
        <v>38</v>
      </c>
      <c r="B29">
        <v>1</v>
      </c>
      <c r="C29">
        <v>0.22919999999999999</v>
      </c>
      <c r="D29">
        <v>8.0850000000000005E-2</v>
      </c>
      <c r="E29">
        <v>2.7400000000000001E-2</v>
      </c>
      <c r="F29">
        <v>9.4500000000000001E-3</v>
      </c>
      <c r="G29">
        <v>2.3999999999999998E-3</v>
      </c>
      <c r="H29" t="s">
        <v>382</v>
      </c>
      <c r="I29">
        <v>9</v>
      </c>
      <c r="J29">
        <v>12.8910075642879</v>
      </c>
    </row>
    <row r="30" spans="1:10" x14ac:dyDescent="0.2">
      <c r="A30" t="s">
        <v>40</v>
      </c>
      <c r="B30">
        <v>1</v>
      </c>
      <c r="C30">
        <v>0.28255000000000002</v>
      </c>
      <c r="D30">
        <v>8.6199999999999999E-2</v>
      </c>
      <c r="E30">
        <v>2.5000000000000001E-2</v>
      </c>
      <c r="F30">
        <v>7.5500000000000003E-3</v>
      </c>
      <c r="G30">
        <v>2.3500000000000001E-3</v>
      </c>
      <c r="H30" t="s">
        <v>382</v>
      </c>
      <c r="I30">
        <v>3</v>
      </c>
      <c r="J30">
        <v>12.89893074417701</v>
      </c>
    </row>
    <row r="31" spans="1:10" x14ac:dyDescent="0.2">
      <c r="A31" t="s">
        <v>53</v>
      </c>
      <c r="B31">
        <v>1</v>
      </c>
      <c r="C31">
        <v>0.26055</v>
      </c>
      <c r="D31">
        <v>8.2699999999999996E-2</v>
      </c>
      <c r="E31">
        <v>2.4E-2</v>
      </c>
      <c r="F31">
        <v>7.0000000000000001E-3</v>
      </c>
      <c r="G31">
        <v>1.6000000000000001E-3</v>
      </c>
      <c r="H31" t="s">
        <v>383</v>
      </c>
      <c r="I31">
        <v>7</v>
      </c>
      <c r="J31">
        <v>12.2388904180045</v>
      </c>
    </row>
    <row r="32" spans="1:10" x14ac:dyDescent="0.2">
      <c r="A32" t="s">
        <v>63</v>
      </c>
      <c r="B32">
        <v>1</v>
      </c>
      <c r="C32">
        <v>0.26724999999999999</v>
      </c>
      <c r="D32">
        <v>7.3749999999999996E-2</v>
      </c>
      <c r="E32">
        <v>1.8200000000000001E-2</v>
      </c>
      <c r="F32">
        <v>4.7499999999999999E-3</v>
      </c>
      <c r="G32">
        <v>1.2999999999999999E-3</v>
      </c>
      <c r="H32" t="s">
        <v>385</v>
      </c>
      <c r="I32">
        <v>11</v>
      </c>
      <c r="J32">
        <v>10.280535393881051</v>
      </c>
    </row>
    <row r="33" spans="1:10" x14ac:dyDescent="0.2">
      <c r="A33" t="s">
        <v>60</v>
      </c>
      <c r="B33">
        <v>1</v>
      </c>
      <c r="C33">
        <v>0.23105000000000001</v>
      </c>
      <c r="D33">
        <v>4.8500000000000001E-2</v>
      </c>
      <c r="E33">
        <v>1.255E-2</v>
      </c>
      <c r="F33">
        <v>3.2000000000000002E-3</v>
      </c>
      <c r="G33">
        <v>8.9999999999999998E-4</v>
      </c>
      <c r="H33" t="s">
        <v>383</v>
      </c>
      <c r="I33">
        <v>12</v>
      </c>
      <c r="J33">
        <v>9.7914064574296606</v>
      </c>
    </row>
    <row r="34" spans="1:10" x14ac:dyDescent="0.2">
      <c r="A34" t="s">
        <v>58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12</v>
      </c>
      <c r="J34">
        <v>10.62898797126984</v>
      </c>
    </row>
    <row r="35" spans="1:10" x14ac:dyDescent="0.2">
      <c r="A35" t="s">
        <v>22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383</v>
      </c>
      <c r="I35">
        <v>6</v>
      </c>
      <c r="J35">
        <v>16.95891571245977</v>
      </c>
    </row>
    <row r="36" spans="1:10" x14ac:dyDescent="0.2">
      <c r="A36" t="s">
        <v>132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384</v>
      </c>
      <c r="I36">
        <v>13</v>
      </c>
      <c r="J36">
        <v>4.6851123682196496</v>
      </c>
    </row>
    <row r="37" spans="1:10" x14ac:dyDescent="0.2">
      <c r="A37" t="s">
        <v>56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385</v>
      </c>
      <c r="I37">
        <v>8</v>
      </c>
      <c r="J37">
        <v>11.02555602329811</v>
      </c>
    </row>
    <row r="38" spans="1:10" x14ac:dyDescent="0.2">
      <c r="A38" t="s">
        <v>206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15</v>
      </c>
      <c r="J38">
        <v>0.1935829077834591</v>
      </c>
    </row>
    <row r="39" spans="1:10" x14ac:dyDescent="0.2">
      <c r="A39" t="s">
        <v>29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382</v>
      </c>
      <c r="I39">
        <v>8</v>
      </c>
      <c r="J39">
        <v>14.114224917334671</v>
      </c>
    </row>
    <row r="40" spans="1:10" x14ac:dyDescent="0.2">
      <c r="A40" t="s">
        <v>154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383</v>
      </c>
      <c r="I40">
        <v>13</v>
      </c>
      <c r="J40">
        <v>2.5953665153972891</v>
      </c>
    </row>
    <row r="41" spans="1:10" x14ac:dyDescent="0.2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382</v>
      </c>
      <c r="I41">
        <v>13</v>
      </c>
      <c r="J41">
        <v>2.1356002741910172</v>
      </c>
    </row>
    <row r="42" spans="1:10" x14ac:dyDescent="0.2">
      <c r="A42" t="s">
        <v>293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382</v>
      </c>
      <c r="I42">
        <v>16</v>
      </c>
      <c r="J42">
        <v>-7.2160644315092952</v>
      </c>
    </row>
    <row r="43" spans="1:10" x14ac:dyDescent="0.2">
      <c r="A43" t="s">
        <v>139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385</v>
      </c>
      <c r="I43">
        <v>15</v>
      </c>
      <c r="J43">
        <v>3.928312715113337</v>
      </c>
    </row>
    <row r="44" spans="1:10" x14ac:dyDescent="0.2">
      <c r="A44" t="s">
        <v>92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383</v>
      </c>
      <c r="I44">
        <v>14</v>
      </c>
      <c r="J44">
        <v>6.9567142213273874</v>
      </c>
    </row>
    <row r="45" spans="1:10" x14ac:dyDescent="0.2">
      <c r="A45" t="s">
        <v>275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383</v>
      </c>
      <c r="I45">
        <v>16</v>
      </c>
      <c r="J45">
        <v>-5.3079314642110162</v>
      </c>
    </row>
    <row r="46" spans="1:10" x14ac:dyDescent="0.2">
      <c r="A46" t="s">
        <v>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385</v>
      </c>
      <c r="I46">
        <v>12</v>
      </c>
      <c r="J46">
        <v>7.3382243907443794</v>
      </c>
    </row>
    <row r="47" spans="1:10" x14ac:dyDescent="0.2">
      <c r="A47" t="s">
        <v>78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11</v>
      </c>
      <c r="J47">
        <v>7.7337055835141966</v>
      </c>
    </row>
    <row r="48" spans="1:10" x14ac:dyDescent="0.2">
      <c r="A48" t="s">
        <v>50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10</v>
      </c>
      <c r="J48">
        <v>11.938625469494371</v>
      </c>
    </row>
    <row r="49" spans="1:10" x14ac:dyDescent="0.2">
      <c r="A49" t="s">
        <v>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385</v>
      </c>
      <c r="I49">
        <v>6</v>
      </c>
      <c r="J49">
        <v>13.976487221924669</v>
      </c>
    </row>
    <row r="50" spans="1:10" x14ac:dyDescent="0.2">
      <c r="A50" t="s">
        <v>138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14</v>
      </c>
      <c r="J50">
        <v>3.8559349343715992</v>
      </c>
    </row>
    <row r="51" spans="1:10" x14ac:dyDescent="0.2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12</v>
      </c>
      <c r="J51">
        <v>9.044790611595948</v>
      </c>
    </row>
    <row r="52" spans="1:10" x14ac:dyDescent="0.2">
      <c r="A52" t="s">
        <v>33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384</v>
      </c>
      <c r="I52">
        <v>8</v>
      </c>
      <c r="J52">
        <v>14.72942352472889</v>
      </c>
    </row>
    <row r="53" spans="1:10" x14ac:dyDescent="0.2">
      <c r="A53" t="s">
        <v>221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385</v>
      </c>
      <c r="I53">
        <v>14</v>
      </c>
      <c r="J53">
        <v>-0.34703170207646011</v>
      </c>
    </row>
    <row r="54" spans="1:10" x14ac:dyDescent="0.2">
      <c r="A54" t="s">
        <v>319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16</v>
      </c>
      <c r="J54">
        <v>-11.471425536201769</v>
      </c>
    </row>
    <row r="55" spans="1:10" x14ac:dyDescent="0.2">
      <c r="A55" t="s">
        <v>235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383</v>
      </c>
      <c r="I55">
        <v>15</v>
      </c>
      <c r="J55">
        <v>-2.43869723675573</v>
      </c>
    </row>
    <row r="56" spans="1:10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7</v>
      </c>
      <c r="J56">
        <v>15.01820898903012</v>
      </c>
    </row>
    <row r="57" spans="1:10" x14ac:dyDescent="0.2">
      <c r="A57" t="s">
        <v>27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382</v>
      </c>
      <c r="I57">
        <v>10</v>
      </c>
      <c r="J57">
        <v>15.7373824689671</v>
      </c>
    </row>
    <row r="58" spans="1:10" x14ac:dyDescent="0.2">
      <c r="A58" t="s">
        <v>316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16</v>
      </c>
      <c r="J58">
        <v>-9.4717636747576321</v>
      </c>
    </row>
    <row r="59" spans="1:10" x14ac:dyDescent="0.2">
      <c r="A59" t="s">
        <v>55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384</v>
      </c>
      <c r="I59">
        <v>11</v>
      </c>
      <c r="J59">
        <v>10.62507679613563</v>
      </c>
    </row>
    <row r="60" spans="1:10" x14ac:dyDescent="0.2">
      <c r="A60" t="s">
        <v>186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382</v>
      </c>
      <c r="I60">
        <v>15</v>
      </c>
      <c r="J60">
        <v>1.063936136616795</v>
      </c>
    </row>
    <row r="61" spans="1:10" x14ac:dyDescent="0.2">
      <c r="A61" t="s">
        <v>179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13</v>
      </c>
      <c r="J61">
        <v>1.3139417704256631</v>
      </c>
    </row>
    <row r="62" spans="1:10" x14ac:dyDescent="0.2">
      <c r="A62" t="s">
        <v>43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384</v>
      </c>
      <c r="I62">
        <v>10</v>
      </c>
      <c r="J62">
        <v>12.78042205274066</v>
      </c>
    </row>
    <row r="63" spans="1:10" x14ac:dyDescent="0.2">
      <c r="A63" t="s">
        <v>44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383</v>
      </c>
      <c r="I63">
        <v>8</v>
      </c>
      <c r="J63">
        <v>11.840993072985089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16.148066436541431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3.0807597689023769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2026-03-23T00:51:23Z</dcterms:modified>
</cp:coreProperties>
</file>