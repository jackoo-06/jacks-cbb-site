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270C9030-B497-3C4D-836E-0DB8E5F40488}" xr6:coauthVersionLast="47" xr6:coauthVersionMax="47" xr10:uidLastSave="{00000000-0000-0000-0000-000000000000}"/>
  <bookViews>
    <workbookView xWindow="0" yWindow="780" windowWidth="21500" windowHeight="19960" activeTab="2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5" l="1"/>
  <c r="C2" i="4"/>
  <c r="O28" i="4" l="1"/>
  <c r="L28" i="4"/>
  <c r="F28" i="4"/>
  <c r="B28" i="4"/>
  <c r="O27" i="4"/>
  <c r="L27" i="4"/>
  <c r="F27" i="4"/>
  <c r="G27" i="4" s="1"/>
  <c r="B27" i="4"/>
  <c r="G28" i="4" l="1"/>
  <c r="H28" i="4"/>
  <c r="I28" i="4" s="1"/>
  <c r="H27" i="4"/>
  <c r="I27" i="4" s="1"/>
  <c r="O26" i="4" l="1"/>
  <c r="L26" i="4"/>
  <c r="F26" i="4"/>
  <c r="B26" i="4"/>
  <c r="O25" i="4"/>
  <c r="L25" i="4"/>
  <c r="F25" i="4"/>
  <c r="G25" i="4" s="1"/>
  <c r="B25" i="4"/>
  <c r="G26" i="4" l="1"/>
  <c r="H26" i="4"/>
  <c r="H25" i="4"/>
  <c r="I25" i="4" s="1"/>
  <c r="I26" i="4" l="1"/>
  <c r="O24" i="4" l="1"/>
  <c r="L24" i="4"/>
  <c r="F24" i="4"/>
  <c r="B24" i="4"/>
  <c r="O23" i="4"/>
  <c r="L23" i="4"/>
  <c r="F23" i="4"/>
  <c r="B23" i="4"/>
  <c r="O22" i="4"/>
  <c r="L22" i="4"/>
  <c r="F22" i="4"/>
  <c r="G22" i="4" s="1"/>
  <c r="B22" i="4"/>
  <c r="H23" i="4" l="1"/>
  <c r="H22" i="4"/>
  <c r="I22" i="4" s="1"/>
  <c r="H24" i="4"/>
  <c r="I24" i="4"/>
  <c r="I23" i="4"/>
  <c r="G23" i="4"/>
  <c r="G24" i="4" s="1"/>
  <c r="O21" i="4"/>
  <c r="L21" i="4"/>
  <c r="F21" i="4"/>
  <c r="B21" i="4"/>
  <c r="O20" i="4"/>
  <c r="L20" i="4"/>
  <c r="F20" i="4"/>
  <c r="B20" i="4"/>
  <c r="O19" i="4"/>
  <c r="L19" i="4"/>
  <c r="H19" i="4" s="1"/>
  <c r="F19" i="4"/>
  <c r="B19" i="4"/>
  <c r="O18" i="4"/>
  <c r="L18" i="4"/>
  <c r="F18" i="4"/>
  <c r="B18" i="4"/>
  <c r="H21" i="4" l="1"/>
  <c r="H20" i="4"/>
  <c r="H18" i="4"/>
  <c r="I19" i="4" l="1"/>
  <c r="I20" i="4"/>
  <c r="I21" i="4"/>
  <c r="F2" i="4" l="1"/>
  <c r="E2" i="4"/>
  <c r="O17" i="4"/>
  <c r="L17" i="4"/>
  <c r="F17" i="4"/>
  <c r="G17" i="4" s="1"/>
  <c r="G18" i="4" s="1"/>
  <c r="G19" i="4" s="1"/>
  <c r="G20" i="4" s="1"/>
  <c r="G21" i="4" s="1"/>
  <c r="B17" i="4"/>
  <c r="H17" i="4" l="1"/>
  <c r="K3" i="5"/>
  <c r="K5" i="5"/>
  <c r="K6" i="5"/>
  <c r="K7" i="5"/>
  <c r="K8" i="5"/>
  <c r="K9" i="5"/>
  <c r="K10" i="5"/>
  <c r="K11" i="5"/>
  <c r="K12" i="5"/>
  <c r="F6" i="4"/>
  <c r="I17" i="4" l="1"/>
  <c r="I18" i="4"/>
  <c r="O16" i="4" l="1"/>
  <c r="H16" i="4" s="1"/>
  <c r="O15" i="4"/>
  <c r="O14" i="4"/>
  <c r="L16" i="4"/>
  <c r="L15" i="4"/>
  <c r="L14" i="4"/>
  <c r="H15" i="4"/>
  <c r="F14" i="4"/>
  <c r="F15" i="4"/>
  <c r="F16" i="4"/>
  <c r="B8" i="4"/>
  <c r="B9" i="4" s="1"/>
  <c r="B10" i="4" s="1"/>
  <c r="B11" i="4" s="1"/>
  <c r="B12" i="4" s="1"/>
  <c r="B13" i="4" s="1"/>
  <c r="B14" i="4" s="1"/>
  <c r="B15" i="4" s="1"/>
  <c r="B16" i="4" s="1"/>
  <c r="B7" i="4"/>
  <c r="I14" i="4" l="1"/>
  <c r="H14" i="4"/>
  <c r="I15" i="4" s="1"/>
  <c r="O13" i="4"/>
  <c r="H13" i="4" s="1"/>
  <c r="L13" i="4"/>
  <c r="F13" i="4"/>
  <c r="I11" i="4"/>
  <c r="I12" i="4"/>
  <c r="F12" i="4"/>
  <c r="F11" i="4"/>
  <c r="H12" i="4"/>
  <c r="O12" i="4"/>
  <c r="O11" i="4"/>
  <c r="H11" i="4" s="1"/>
  <c r="L12" i="4"/>
  <c r="L11" i="4"/>
  <c r="I16" i="4" l="1"/>
  <c r="I13" i="4"/>
  <c r="D2" i="4"/>
  <c r="O10" i="4"/>
  <c r="L10" i="4"/>
  <c r="F10" i="4"/>
  <c r="F9" i="4"/>
  <c r="H10" i="4" l="1"/>
  <c r="O9" i="4"/>
  <c r="L9" i="4"/>
  <c r="H9" i="4" l="1"/>
  <c r="O8" i="4" l="1"/>
  <c r="L8" i="4"/>
  <c r="H8" i="4" s="1"/>
  <c r="F8" i="4"/>
  <c r="O7" i="4"/>
  <c r="L7" i="4"/>
  <c r="F7" i="4"/>
  <c r="H7" i="4" l="1"/>
  <c r="B2" i="4" l="1"/>
  <c r="A2" i="4"/>
  <c r="O6" i="4" l="1"/>
  <c r="L6" i="4"/>
  <c r="H6" i="4" l="1"/>
  <c r="I9" i="4"/>
  <c r="I8" i="4"/>
  <c r="I10" i="4"/>
  <c r="F2" i="1"/>
  <c r="I7" i="4" l="1"/>
  <c r="I6" i="4"/>
  <c r="G6" i="4"/>
  <c r="C2" i="1"/>
  <c r="B2" i="1"/>
  <c r="D2" i="1" s="1"/>
  <c r="G7" i="4" l="1"/>
  <c r="G8" i="4" s="1"/>
  <c r="G9" i="4" s="1"/>
  <c r="G10" i="4" s="1"/>
  <c r="G11" i="4" s="1"/>
  <c r="G12" i="4" s="1"/>
  <c r="G13" i="4" s="1"/>
  <c r="G14" i="4" s="1"/>
  <c r="G15" i="4" s="1"/>
  <c r="G16" i="4" s="1"/>
  <c r="B3" i="2" l="1"/>
  <c r="B80" i="2"/>
  <c r="B144" i="2"/>
  <c r="B267" i="2"/>
  <c r="B235" i="2"/>
  <c r="B75" i="2"/>
  <c r="B69" i="2"/>
  <c r="B221" i="2"/>
  <c r="B281" i="2"/>
  <c r="B343" i="2"/>
  <c r="B179" i="2"/>
  <c r="B307" i="2"/>
  <c r="B260" i="2"/>
  <c r="B216" i="2"/>
  <c r="B120" i="2"/>
  <c r="B81" i="2"/>
  <c r="B68" i="2"/>
  <c r="B99" i="2"/>
  <c r="B310" i="2"/>
  <c r="B319" i="2"/>
  <c r="B86" i="2"/>
  <c r="B25" i="2"/>
  <c r="B222" i="2"/>
  <c r="B232" i="2"/>
  <c r="B71" i="2"/>
  <c r="B121" i="2"/>
  <c r="B108" i="2"/>
  <c r="B266" i="2"/>
  <c r="B283" i="2"/>
  <c r="B251" i="2"/>
  <c r="B60" i="2"/>
  <c r="B36" i="2"/>
  <c r="B101" i="2"/>
  <c r="B190" i="2"/>
  <c r="B330" i="2"/>
  <c r="B61" i="2"/>
  <c r="B314" i="2"/>
  <c r="B135" i="2"/>
  <c r="B148" i="2"/>
  <c r="B320" i="2"/>
  <c r="B84" i="2"/>
  <c r="B114" i="2"/>
  <c r="B296" i="2"/>
  <c r="B169" i="2"/>
  <c r="B85" i="2"/>
  <c r="B333" i="2"/>
  <c r="B20" i="2"/>
  <c r="B230" i="2"/>
  <c r="B359" i="2"/>
  <c r="B240" i="2"/>
  <c r="B257" i="2"/>
  <c r="B41" i="2"/>
  <c r="B172" i="2"/>
  <c r="B29" i="2"/>
  <c r="B118" i="2"/>
  <c r="B234" i="2"/>
  <c r="B226" i="2"/>
  <c r="B203" i="2"/>
  <c r="B201" i="2"/>
  <c r="B187" i="2"/>
  <c r="B123" i="2"/>
  <c r="B82" i="2"/>
  <c r="B42" i="2"/>
  <c r="B254" i="2"/>
  <c r="B322" i="2"/>
  <c r="B256" i="2"/>
  <c r="B313" i="2"/>
  <c r="B228" i="2"/>
  <c r="B262" i="2"/>
  <c r="B17" i="2"/>
  <c r="B162" i="2"/>
  <c r="B153" i="2"/>
  <c r="B127" i="2"/>
  <c r="B249" i="2"/>
  <c r="B77" i="2"/>
  <c r="B145" i="2"/>
  <c r="B8" i="2"/>
  <c r="B211" i="2"/>
  <c r="B105" i="2"/>
  <c r="B264" i="2"/>
  <c r="B21" i="2"/>
  <c r="B177" i="2"/>
  <c r="B340" i="2"/>
  <c r="B199" i="2"/>
  <c r="B23" i="2"/>
  <c r="B11" i="2"/>
  <c r="B245" i="2"/>
  <c r="B223" i="2"/>
  <c r="B182" i="2"/>
  <c r="B304" i="2"/>
  <c r="B122" i="2"/>
  <c r="B133" i="2"/>
  <c r="B89" i="2"/>
  <c r="B107" i="2"/>
  <c r="B27" i="2"/>
  <c r="B193" i="2"/>
  <c r="B204" i="2"/>
  <c r="B332" i="2"/>
  <c r="B272" i="2"/>
  <c r="B208" i="2"/>
  <c r="B59" i="2"/>
  <c r="B175" i="2"/>
  <c r="B276" i="2"/>
  <c r="B92" i="2"/>
  <c r="B5" i="2"/>
  <c r="B33" i="2"/>
  <c r="B284" i="2"/>
  <c r="B43" i="2"/>
  <c r="B183" i="2"/>
  <c r="B336" i="2"/>
  <c r="B9" i="2"/>
  <c r="B287" i="2"/>
  <c r="B168" i="2"/>
  <c r="B328" i="2"/>
  <c r="B364" i="2"/>
  <c r="B198" i="2"/>
  <c r="B73" i="2"/>
  <c r="B362" i="2"/>
  <c r="B205" i="2"/>
  <c r="B195" i="2"/>
  <c r="B344" i="2"/>
  <c r="B350" i="2"/>
  <c r="B109" i="2"/>
  <c r="B62" i="2"/>
  <c r="B252" i="2"/>
  <c r="B202" i="2"/>
  <c r="B165" i="2"/>
  <c r="B87" i="2"/>
  <c r="B246" i="2"/>
  <c r="B325" i="2"/>
  <c r="B185" i="2"/>
  <c r="B157" i="2"/>
  <c r="B301" i="2"/>
  <c r="B54" i="2"/>
  <c r="B243" i="2"/>
  <c r="B93" i="2"/>
  <c r="B327" i="2"/>
  <c r="B178" i="2"/>
  <c r="B51" i="2"/>
  <c r="B338" i="2"/>
  <c r="B291" i="2"/>
  <c r="B342" i="2"/>
  <c r="B238" i="2"/>
  <c r="B323" i="2"/>
  <c r="B139" i="2"/>
  <c r="B45" i="2"/>
  <c r="B2" i="2"/>
  <c r="B112" i="2"/>
  <c r="B357" i="2"/>
  <c r="B40" i="2"/>
  <c r="B244" i="2"/>
  <c r="B131" i="2"/>
  <c r="B200" i="2"/>
  <c r="B247" i="2"/>
  <c r="B37" i="2"/>
  <c r="B28" i="2"/>
  <c r="B30" i="2"/>
  <c r="B334" i="2"/>
  <c r="B337" i="2"/>
  <c r="B13" i="2"/>
  <c r="B18" i="2"/>
  <c r="B6" i="2"/>
  <c r="B125" i="2"/>
  <c r="B366" i="2"/>
  <c r="B19" i="2"/>
  <c r="B96" i="2"/>
  <c r="B38" i="2"/>
  <c r="B241" i="2"/>
  <c r="B280" i="2"/>
  <c r="B270" i="2"/>
  <c r="B106" i="2"/>
  <c r="B65" i="2"/>
  <c r="B341" i="2"/>
  <c r="B55" i="2"/>
  <c r="B326" i="2"/>
  <c r="B335" i="2"/>
  <c r="B345" i="2"/>
  <c r="B255" i="2"/>
  <c r="B94" i="2"/>
  <c r="B47" i="2"/>
  <c r="B56" i="2"/>
  <c r="B282" i="2"/>
  <c r="B305" i="2"/>
  <c r="B236" i="2"/>
  <c r="B189" i="2"/>
  <c r="B161" i="2"/>
  <c r="B88" i="2"/>
  <c r="B149" i="2"/>
  <c r="B348" i="2"/>
  <c r="B129" i="2"/>
  <c r="B302" i="2"/>
  <c r="B206" i="2"/>
  <c r="B32" i="2"/>
  <c r="B294" i="2"/>
  <c r="B110" i="2"/>
  <c r="B361" i="2"/>
  <c r="B83" i="2"/>
  <c r="B346" i="2"/>
  <c r="B331" i="2"/>
  <c r="B242" i="2"/>
  <c r="B116" i="2"/>
  <c r="B209" i="2"/>
  <c r="B113" i="2"/>
  <c r="B136" i="2"/>
  <c r="B166" i="2"/>
  <c r="B173" i="2"/>
  <c r="B231" i="2"/>
  <c r="B180" i="2"/>
  <c r="B130" i="2"/>
  <c r="B353" i="2"/>
  <c r="B297" i="2"/>
  <c r="B147" i="2"/>
  <c r="B137" i="2"/>
  <c r="B102" i="2"/>
  <c r="B44" i="2"/>
  <c r="B356" i="2"/>
  <c r="B34" i="2"/>
  <c r="B24" i="2"/>
  <c r="B46" i="2"/>
  <c r="B275" i="2"/>
  <c r="B128" i="2"/>
  <c r="B184" i="2"/>
  <c r="B227" i="2"/>
  <c r="B26" i="2"/>
  <c r="B22" i="2"/>
  <c r="B124" i="2"/>
  <c r="B134" i="2"/>
  <c r="B233" i="2"/>
  <c r="B67" i="2"/>
  <c r="B111" i="2"/>
  <c r="B141" i="2"/>
  <c r="B119" i="2"/>
  <c r="B10" i="2"/>
  <c r="B317" i="2"/>
  <c r="B292" i="2"/>
  <c r="B225" i="2"/>
  <c r="B164" i="2"/>
  <c r="B138" i="2"/>
  <c r="B261" i="2"/>
  <c r="B316" i="2"/>
  <c r="B295" i="2"/>
  <c r="B91" i="2"/>
  <c r="B156" i="2"/>
  <c r="B239" i="2"/>
  <c r="B365" i="2"/>
  <c r="B159" i="2"/>
  <c r="B97" i="2"/>
  <c r="B98" i="2"/>
  <c r="B154" i="2"/>
  <c r="B15" i="2"/>
  <c r="B52" i="2"/>
  <c r="B48" i="2"/>
  <c r="B188" i="2"/>
  <c r="B268" i="2"/>
  <c r="B213" i="2"/>
  <c r="B354" i="2"/>
  <c r="B278" i="2"/>
  <c r="B171" i="2"/>
  <c r="B64" i="2"/>
  <c r="B300" i="2"/>
  <c r="B31" i="2"/>
  <c r="B104" i="2"/>
  <c r="B186" i="2"/>
  <c r="B293" i="2"/>
  <c r="B160" i="2"/>
  <c r="B192" i="2"/>
  <c r="B207" i="2"/>
  <c r="B263" i="2"/>
  <c r="B4" i="2"/>
  <c r="B212" i="2"/>
  <c r="B126" i="2"/>
  <c r="B277" i="2"/>
  <c r="B70" i="2"/>
  <c r="B259" i="2"/>
  <c r="B196" i="2"/>
  <c r="B132" i="2"/>
  <c r="B360" i="2"/>
  <c r="B50" i="2"/>
  <c r="B194" i="2"/>
  <c r="B309" i="2"/>
  <c r="B176" i="2"/>
  <c r="B224" i="2"/>
  <c r="B349" i="2"/>
  <c r="B140" i="2"/>
  <c r="B311" i="2"/>
  <c r="B237" i="2"/>
  <c r="B355" i="2"/>
  <c r="B174" i="2"/>
  <c r="B248" i="2"/>
  <c r="B258" i="2"/>
  <c r="B35" i="2"/>
  <c r="B151" i="2"/>
  <c r="B286" i="2"/>
  <c r="B288" i="2"/>
  <c r="B63" i="2"/>
  <c r="B143" i="2"/>
  <c r="B312" i="2"/>
  <c r="B289" i="2"/>
  <c r="B66" i="2"/>
  <c r="B306" i="2"/>
  <c r="B351" i="2"/>
  <c r="B210" i="2"/>
  <c r="B250" i="2"/>
  <c r="B215" i="2"/>
  <c r="B191" i="2"/>
  <c r="B253" i="2"/>
  <c r="B214" i="2"/>
  <c r="B229" i="2"/>
  <c r="B72" i="2"/>
  <c r="B217" i="2"/>
  <c r="B279" i="2"/>
  <c r="B352" i="2"/>
  <c r="B167" i="2"/>
  <c r="B58" i="2"/>
  <c r="B163" i="2"/>
  <c r="B152" i="2"/>
  <c r="B219" i="2"/>
  <c r="B329" i="2"/>
  <c r="B150" i="2"/>
  <c r="B14" i="2"/>
  <c r="B347" i="2"/>
  <c r="B53" i="2"/>
  <c r="B303" i="2"/>
  <c r="B220" i="2"/>
  <c r="B146" i="2"/>
  <c r="B290" i="2"/>
  <c r="B181" i="2"/>
  <c r="B142" i="2"/>
  <c r="B57" i="2"/>
  <c r="B16" i="2"/>
  <c r="B197" i="2"/>
  <c r="B318" i="2"/>
  <c r="B78" i="2"/>
  <c r="B158" i="2"/>
  <c r="B285" i="2"/>
  <c r="B7" i="2"/>
  <c r="B265" i="2"/>
  <c r="B170" i="2"/>
  <c r="B12" i="2"/>
  <c r="B269" i="2"/>
  <c r="B49" i="2"/>
  <c r="B218" i="2"/>
  <c r="B155" i="2"/>
  <c r="B117" i="2"/>
  <c r="B363" i="2"/>
  <c r="B274" i="2"/>
  <c r="B90" i="2"/>
  <c r="B74" i="2"/>
  <c r="B358" i="2"/>
  <c r="B298" i="2"/>
  <c r="B95" i="2"/>
  <c r="B339" i="2"/>
  <c r="B79" i="2"/>
  <c r="B324" i="2"/>
  <c r="B103" i="2"/>
  <c r="B308" i="2"/>
  <c r="B115" i="2"/>
  <c r="B299" i="2"/>
  <c r="B271" i="2"/>
  <c r="B76" i="2"/>
  <c r="B321" i="2"/>
  <c r="B273" i="2"/>
  <c r="B39" i="2"/>
  <c r="B315" i="2"/>
  <c r="B100" i="2"/>
  <c r="C339" i="2" l="1"/>
  <c r="C146" i="2"/>
  <c r="C143" i="2"/>
  <c r="C174" i="2"/>
  <c r="C309" i="2"/>
  <c r="C277" i="2"/>
  <c r="C293" i="2"/>
  <c r="C354" i="2"/>
  <c r="C98" i="2"/>
  <c r="C316" i="2"/>
  <c r="C119" i="2"/>
  <c r="C26" i="2"/>
  <c r="C356" i="2"/>
  <c r="C180" i="2"/>
  <c r="C242" i="2"/>
  <c r="C206" i="2"/>
  <c r="C236" i="2"/>
  <c r="C335" i="2"/>
  <c r="C241" i="2"/>
  <c r="C13" i="2"/>
  <c r="C131" i="2"/>
  <c r="C323" i="2"/>
  <c r="C93" i="2"/>
  <c r="C87" i="2"/>
  <c r="C195" i="2"/>
  <c r="C287" i="2"/>
  <c r="C92" i="2"/>
  <c r="C193" i="2"/>
  <c r="C223" i="2"/>
  <c r="C264" i="2"/>
  <c r="C153" i="2"/>
  <c r="C254" i="2"/>
  <c r="C234" i="2"/>
  <c r="C230" i="2"/>
  <c r="C320" i="2"/>
  <c r="C36" i="2"/>
  <c r="C232" i="2"/>
  <c r="C81" i="2"/>
  <c r="C221" i="2"/>
  <c r="C14" i="2"/>
  <c r="C355" i="2"/>
  <c r="C194" i="2"/>
  <c r="C126" i="2"/>
  <c r="C186" i="2"/>
  <c r="C213" i="2"/>
  <c r="C97" i="2"/>
  <c r="C261" i="2"/>
  <c r="C141" i="2"/>
  <c r="C227" i="2"/>
  <c r="C44" i="2"/>
  <c r="C231" i="2"/>
  <c r="C331" i="2"/>
  <c r="C302" i="2"/>
  <c r="C305" i="2"/>
  <c r="C326" i="2"/>
  <c r="C38" i="2"/>
  <c r="C337" i="2"/>
  <c r="C244" i="2"/>
  <c r="C238" i="2"/>
  <c r="C243" i="2"/>
  <c r="C165" i="2"/>
  <c r="C205" i="2"/>
  <c r="C9" i="2"/>
  <c r="C276" i="2"/>
  <c r="C27" i="2"/>
  <c r="C245" i="2"/>
  <c r="C105" i="2"/>
  <c r="C162" i="2"/>
  <c r="C42" i="2"/>
  <c r="C118" i="2"/>
  <c r="C20" i="2"/>
  <c r="C148" i="2"/>
  <c r="C60" i="2"/>
  <c r="C222" i="2"/>
  <c r="C120" i="2"/>
  <c r="C69" i="2"/>
  <c r="C250" i="2"/>
  <c r="C63" i="2"/>
  <c r="C299" i="2"/>
  <c r="C298" i="2"/>
  <c r="C218" i="2"/>
  <c r="C158" i="2"/>
  <c r="C290" i="2"/>
  <c r="C329" i="2"/>
  <c r="C217" i="2"/>
  <c r="C210" i="2"/>
  <c r="C288" i="2"/>
  <c r="C237" i="2"/>
  <c r="C50" i="2"/>
  <c r="C212" i="2"/>
  <c r="C104" i="2"/>
  <c r="C268" i="2"/>
  <c r="C159" i="2"/>
  <c r="C138" i="2"/>
  <c r="C111" i="2"/>
  <c r="C184" i="2"/>
  <c r="C102" i="2"/>
  <c r="C173" i="2"/>
  <c r="C346" i="2"/>
  <c r="C129" i="2"/>
  <c r="C282" i="2"/>
  <c r="C55" i="2"/>
  <c r="C96" i="2"/>
  <c r="C334" i="2"/>
  <c r="C40" i="2"/>
  <c r="C342" i="2"/>
  <c r="C54" i="2"/>
  <c r="C202" i="2"/>
  <c r="C362" i="2"/>
  <c r="C336" i="2"/>
  <c r="C175" i="2"/>
  <c r="C107" i="2"/>
  <c r="C11" i="2"/>
  <c r="C211" i="2"/>
  <c r="C17" i="2"/>
  <c r="C82" i="2"/>
  <c r="C29" i="2"/>
  <c r="C333" i="2"/>
  <c r="C135" i="2"/>
  <c r="C251" i="2"/>
  <c r="C25" i="2"/>
  <c r="C216" i="2"/>
  <c r="C75" i="2"/>
  <c r="C324" i="2"/>
  <c r="C16" i="2"/>
  <c r="C58" i="2"/>
  <c r="C253" i="2"/>
  <c r="C76" i="2"/>
  <c r="C117" i="2"/>
  <c r="C7" i="2"/>
  <c r="C142" i="2"/>
  <c r="C215" i="2"/>
  <c r="C95" i="2"/>
  <c r="C150" i="2"/>
  <c r="C279" i="2"/>
  <c r="C115" i="2"/>
  <c r="C219" i="2"/>
  <c r="C72" i="2"/>
  <c r="C351" i="2"/>
  <c r="C286" i="2"/>
  <c r="C311" i="2"/>
  <c r="C360" i="2"/>
  <c r="C4" i="2"/>
  <c r="C31" i="2"/>
  <c r="C188" i="2"/>
  <c r="C365" i="2"/>
  <c r="C164" i="2"/>
  <c r="C67" i="2"/>
  <c r="C128" i="2"/>
  <c r="C137" i="2"/>
  <c r="C166" i="2"/>
  <c r="C83" i="2"/>
  <c r="C348" i="2"/>
  <c r="C56" i="2"/>
  <c r="C341" i="2"/>
  <c r="C19" i="2"/>
  <c r="C30" i="2"/>
  <c r="C357" i="2"/>
  <c r="C291" i="2"/>
  <c r="C301" i="2"/>
  <c r="C252" i="2"/>
  <c r="C73" i="2"/>
  <c r="C183" i="2"/>
  <c r="C59" i="2"/>
  <c r="C89" i="2"/>
  <c r="C23" i="2"/>
  <c r="C8" i="2"/>
  <c r="C262" i="2"/>
  <c r="C123" i="2"/>
  <c r="C172" i="2"/>
  <c r="C85" i="2"/>
  <c r="C314" i="2"/>
  <c r="C283" i="2"/>
  <c r="C86" i="2"/>
  <c r="C260" i="2"/>
  <c r="C235" i="2"/>
  <c r="C315" i="2"/>
  <c r="C308" i="2"/>
  <c r="C74" i="2"/>
  <c r="C269" i="2"/>
  <c r="C318" i="2"/>
  <c r="C220" i="2"/>
  <c r="C152" i="2"/>
  <c r="C229" i="2"/>
  <c r="C306" i="2"/>
  <c r="C151" i="2"/>
  <c r="C140" i="2"/>
  <c r="C132" i="2"/>
  <c r="C263" i="2"/>
  <c r="C300" i="2"/>
  <c r="C48" i="2"/>
  <c r="C239" i="2"/>
  <c r="C225" i="2"/>
  <c r="C233" i="2"/>
  <c r="C275" i="2"/>
  <c r="C147" i="2"/>
  <c r="C136" i="2"/>
  <c r="C361" i="2"/>
  <c r="C149" i="2"/>
  <c r="C47" i="2"/>
  <c r="C65" i="2"/>
  <c r="C366" i="2"/>
  <c r="C28" i="2"/>
  <c r="C112" i="2"/>
  <c r="C338" i="2"/>
  <c r="C157" i="2"/>
  <c r="C62" i="2"/>
  <c r="C198" i="2"/>
  <c r="C43" i="2"/>
  <c r="C208" i="2"/>
  <c r="C133" i="2"/>
  <c r="C199" i="2"/>
  <c r="C145" i="2"/>
  <c r="C228" i="2"/>
  <c r="C187" i="2"/>
  <c r="C41" i="2"/>
  <c r="C169" i="2"/>
  <c r="C61" i="2"/>
  <c r="C266" i="2"/>
  <c r="C319" i="2"/>
  <c r="C307" i="2"/>
  <c r="C267" i="2"/>
  <c r="C273" i="2"/>
  <c r="C170" i="2"/>
  <c r="C352" i="2"/>
  <c r="C271" i="2"/>
  <c r="C155" i="2"/>
  <c r="C285" i="2"/>
  <c r="C181" i="2"/>
  <c r="C100" i="2"/>
  <c r="C358" i="2"/>
  <c r="C49" i="2"/>
  <c r="C78" i="2"/>
  <c r="C39" i="2"/>
  <c r="C103" i="2"/>
  <c r="C90" i="2"/>
  <c r="C12" i="2"/>
  <c r="C197" i="2"/>
  <c r="C303" i="2"/>
  <c r="C163" i="2"/>
  <c r="C214" i="2"/>
  <c r="C66" i="2"/>
  <c r="C35" i="2"/>
  <c r="C349" i="2"/>
  <c r="C196" i="2"/>
  <c r="C207" i="2"/>
  <c r="C64" i="2"/>
  <c r="C52" i="2"/>
  <c r="C156" i="2"/>
  <c r="C292" i="2"/>
  <c r="C134" i="2"/>
  <c r="C46" i="2"/>
  <c r="C297" i="2"/>
  <c r="C113" i="2"/>
  <c r="C110" i="2"/>
  <c r="C88" i="2"/>
  <c r="C94" i="2"/>
  <c r="C106" i="2"/>
  <c r="C125" i="2"/>
  <c r="C37" i="2"/>
  <c r="C2" i="2"/>
  <c r="C51" i="2"/>
  <c r="C185" i="2"/>
  <c r="C109" i="2"/>
  <c r="C364" i="2"/>
  <c r="C284" i="2"/>
  <c r="C272" i="2"/>
  <c r="C122" i="2"/>
  <c r="C340" i="2"/>
  <c r="C77" i="2"/>
  <c r="C313" i="2"/>
  <c r="C201" i="2"/>
  <c r="C257" i="2"/>
  <c r="C296" i="2"/>
  <c r="C330" i="2"/>
  <c r="C108" i="2"/>
  <c r="C310" i="2"/>
  <c r="C179" i="2"/>
  <c r="C144" i="2"/>
  <c r="C274" i="2"/>
  <c r="C53" i="2"/>
  <c r="C289" i="2"/>
  <c r="C91" i="2"/>
  <c r="C24" i="2"/>
  <c r="C294" i="2"/>
  <c r="C161" i="2"/>
  <c r="C255" i="2"/>
  <c r="C270" i="2"/>
  <c r="C6" i="2"/>
  <c r="C247" i="2"/>
  <c r="C178" i="2"/>
  <c r="C332" i="2"/>
  <c r="C256" i="2"/>
  <c r="C203" i="2"/>
  <c r="C240" i="2"/>
  <c r="C114" i="2"/>
  <c r="C190" i="2"/>
  <c r="C121" i="2"/>
  <c r="C99" i="2"/>
  <c r="C343" i="2"/>
  <c r="C80" i="2"/>
  <c r="C258" i="2"/>
  <c r="C224" i="2"/>
  <c r="C259" i="2"/>
  <c r="C192" i="2"/>
  <c r="C171" i="2"/>
  <c r="C15" i="2"/>
  <c r="C317" i="2"/>
  <c r="C124" i="2"/>
  <c r="C353" i="2"/>
  <c r="C209" i="2"/>
  <c r="C45" i="2"/>
  <c r="C325" i="2"/>
  <c r="C350" i="2"/>
  <c r="C328" i="2"/>
  <c r="C33" i="2"/>
  <c r="C304" i="2"/>
  <c r="C177" i="2"/>
  <c r="C249" i="2"/>
  <c r="C321" i="2"/>
  <c r="C79" i="2"/>
  <c r="C363" i="2"/>
  <c r="C265" i="2"/>
  <c r="C57" i="2"/>
  <c r="C347" i="2"/>
  <c r="C167" i="2"/>
  <c r="C191" i="2"/>
  <c r="C312" i="2"/>
  <c r="C248" i="2"/>
  <c r="C176" i="2"/>
  <c r="C70" i="2"/>
  <c r="C160" i="2"/>
  <c r="C278" i="2"/>
  <c r="C154" i="2"/>
  <c r="C295" i="2"/>
  <c r="C10" i="2"/>
  <c r="C22" i="2"/>
  <c r="C34" i="2"/>
  <c r="C130" i="2"/>
  <c r="C116" i="2"/>
  <c r="C32" i="2"/>
  <c r="C189" i="2"/>
  <c r="C345" i="2"/>
  <c r="C280" i="2"/>
  <c r="C18" i="2"/>
  <c r="C200" i="2"/>
  <c r="C139" i="2"/>
  <c r="C327" i="2"/>
  <c r="C246" i="2"/>
  <c r="C344" i="2"/>
  <c r="C168" i="2"/>
  <c r="C5" i="2"/>
  <c r="C204" i="2"/>
  <c r="C182" i="2"/>
  <c r="C21" i="2"/>
  <c r="C127" i="2"/>
  <c r="C322" i="2"/>
  <c r="C226" i="2"/>
  <c r="C359" i="2"/>
  <c r="C84" i="2"/>
  <c r="C101" i="2"/>
  <c r="C71" i="2"/>
  <c r="C68" i="2"/>
  <c r="C281" i="2"/>
  <c r="C3" i="2"/>
  <c r="E2" i="1" l="1"/>
  <c r="H2" i="1" l="1"/>
  <c r="L2" i="1" s="1"/>
  <c r="I2" i="1"/>
  <c r="G2" i="1"/>
</calcChain>
</file>

<file path=xl/sharedStrings.xml><?xml version="1.0" encoding="utf-8"?>
<sst xmlns="http://schemas.openxmlformats.org/spreadsheetml/2006/main" count="732" uniqueCount="473">
  <si>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</si>
  <si>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</si>
  <si>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</si>
  <si>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</si>
  <si>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</si>
  <si>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</si>
  <si>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</si>
  <si>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</si>
  <si>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</si>
  <si>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</si>
  <si>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</si>
  <si>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</si>
  <si>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</si>
  <si>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</si>
  <si>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</si>
  <si>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</si>
  <si>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</si>
  <si>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</si>
  <si>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</si>
  <si>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</si>
  <si>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</si>
  <si>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</si>
  <si>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</si>
  <si>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</si>
  <si>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</si>
  <si>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</si>
  <si>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</si>
  <si>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</si>
  <si>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</si>
  <si>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</si>
  <si>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</si>
  <si>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</si>
  <si>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</si>
  <si>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</si>
  <si>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</si>
  <si>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</si>
  <si>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</si>
  <si>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</si>
  <si>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</si>
  <si>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</si>
  <si>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</si>
  <si>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</si>
  <si>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</si>
  <si>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</si>
  <si>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</si>
  <si>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</si>
  <si>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</si>
  <si>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</si>
  <si>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</si>
  <si>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</si>
  <si>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</si>
  <si>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</si>
  <si>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</si>
  <si>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</si>
  <si>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</si>
  <si>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</si>
  <si>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</si>
  <si>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</si>
  <si>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</si>
  <si>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</si>
  <si>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</si>
  <si>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</si>
  <si>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</si>
  <si>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</si>
  <si>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</si>
  <si>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</si>
  <si>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</si>
  <si>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</si>
  <si>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</si>
  <si>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</si>
  <si>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</si>
  <si>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</si>
  <si>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</si>
  <si>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</si>
  <si>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</si>
  <si>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</si>
  <si>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</si>
  <si>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</si>
  <si>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</si>
  <si>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</si>
  <si>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</si>
  <si>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</si>
  <si>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</si>
  <si>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</si>
  <si>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</si>
  <si>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</si>
  <si>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</si>
  <si>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</si>
  <si>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</si>
  <si>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</si>
  <si>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</si>
  <si>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</si>
  <si>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</si>
  <si>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</si>
  <si>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</si>
  <si>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</si>
  <si>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</si>
  <si>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</si>
  <si>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</si>
  <si>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</si>
  <si>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</si>
  <si>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</si>
  <si>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</si>
  <si>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</si>
  <si>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</si>
  <si>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</si>
  <si>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</si>
  <si>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</si>
  <si>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</si>
  <si>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</si>
  <si>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</si>
  <si>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</si>
  <si>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</si>
  <si>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</si>
  <si>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</si>
  <si>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</si>
  <si>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</si>
  <si>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</si>
  <si>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</si>
  <si>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</si>
  <si>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</si>
  <si>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</si>
  <si>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</si>
  <si>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</si>
  <si>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</si>
  <si>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</si>
  <si>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</si>
  <si>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</si>
  <si>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</si>
  <si>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</si>
  <si>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</si>
  <si>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</si>
  <si>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</si>
  <si>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</si>
  <si>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</si>
  <si>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</si>
  <si>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</si>
  <si>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</si>
  <si>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</si>
  <si>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</si>
  <si>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</si>
  <si>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</si>
  <si>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</si>
  <si>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</si>
  <si>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</si>
  <si>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</si>
  <si>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</si>
  <si>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</si>
  <si>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</si>
  <si>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</si>
  <si>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</si>
  <si>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</si>
  <si>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</si>
  <si>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</si>
  <si>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</si>
  <si>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</si>
  <si>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</si>
  <si>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</si>
  <si>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</si>
  <si>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</si>
  <si>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</si>
  <si>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</si>
  <si>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</si>
  <si>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</si>
  <si>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</si>
  <si>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</si>
  <si>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</si>
  <si>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</si>
  <si>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</si>
  <si>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</si>
  <si>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</si>
  <si>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</si>
  <si>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</si>
  <si>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</si>
  <si>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</si>
  <si>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</si>
  <si>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</si>
  <si>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</si>
  <si>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</si>
  <si>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</si>
  <si>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</si>
  <si>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</si>
  <si>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</si>
  <si>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</si>
  <si>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</si>
  <si>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</si>
  <si>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</si>
  <si>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</si>
  <si>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</si>
  <si>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</si>
  <si>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</si>
  <si>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</si>
  <si>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</si>
  <si>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</si>
  <si>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</si>
  <si>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</si>
  <si>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</si>
  <si>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</si>
  <si>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</si>
  <si>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</si>
  <si>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</si>
  <si>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</si>
  <si>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</si>
  <si>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</si>
  <si>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</si>
  <si>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</si>
  <si>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</si>
  <si>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</si>
  <si>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</si>
  <si>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</si>
  <si>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</si>
  <si>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</si>
  <si>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</si>
  <si>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</si>
  <si>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</si>
  <si>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</si>
  <si>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</si>
  <si>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</si>
  <si>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</si>
  <si>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</si>
  <si>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</si>
  <si>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</si>
  <si>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</si>
  <si>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</si>
  <si>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</si>
  <si>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</si>
  <si>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</si>
  <si>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</si>
  <si>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</si>
  <si>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</si>
  <si>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</si>
  <si>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</si>
  <si>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</si>
  <si>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</si>
  <si>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</si>
  <si>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</si>
  <si>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</si>
  <si>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</si>
  <si>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</si>
  <si>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</si>
  <si>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</si>
  <si>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</si>
  <si>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</si>
  <si>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</si>
  <si>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</si>
  <si>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</si>
  <si>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</si>
  <si>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</si>
  <si>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</si>
  <si>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</si>
  <si>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</si>
  <si>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</si>
  <si>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</si>
  <si>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</si>
  <si>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</si>
  <si>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</si>
  <si>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</si>
  <si>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</si>
  <si>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</si>
  <si>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</si>
  <si>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</si>
  <si>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</si>
  <si>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</si>
  <si>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</si>
  <si>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</si>
  <si>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</si>
  <si>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</si>
  <si>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</si>
  <si>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</si>
  <si>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</si>
  <si>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</si>
  <si>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</si>
  <si>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</si>
  <si>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</si>
  <si>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</si>
  <si>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</si>
  <si>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</si>
  <si>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</si>
  <si>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</si>
  <si>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</si>
  <si>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</si>
  <si>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</si>
  <si>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</si>
  <si>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</si>
  <si>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</si>
  <si>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</si>
  <si>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</si>
  <si>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</si>
  <si>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</si>
  <si>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</si>
  <si>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</si>
  <si>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</si>
  <si>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</si>
  <si>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</si>
  <si>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</si>
  <si>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</si>
  <si>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</si>
  <si>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</si>
  <si>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</si>
  <si>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</si>
  <si>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</si>
  <si>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</si>
  <si>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</si>
  <si>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</si>
  <si>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</si>
  <si>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</si>
  <si>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</si>
  <si>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</si>
  <si>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</si>
  <si>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</si>
  <si>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</si>
  <si>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</si>
  <si>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</si>
  <si>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</si>
  <si>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</si>
  <si>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</si>
  <si>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</si>
  <si>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</si>
  <si>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</si>
  <si>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</si>
  <si>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</si>
  <si>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</si>
  <si>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</si>
  <si>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</si>
  <si>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</si>
  <si>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</si>
  <si>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</si>
  <si>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</si>
  <si>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</si>
  <si>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</si>
  <si>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</si>
  <si>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</si>
  <si>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</si>
  <si>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</si>
  <si>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</si>
  <si>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</si>
  <si>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</si>
  <si>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</si>
  <si>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</si>
  <si>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</si>
  <si>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</si>
  <si>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</si>
  <si>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</si>
  <si>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</si>
  <si>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</si>
  <si>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</si>
  <si>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</si>
  <si>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</si>
  <si>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</si>
  <si>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</si>
  <si>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</si>
  <si>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</si>
  <si>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</si>
  <si>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</si>
  <si>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</si>
  <si>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</si>
  <si>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</si>
  <si>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</si>
  <si>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</si>
  <si>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</si>
  <si>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</si>
  <si>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</si>
  <si>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</si>
  <si>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</si>
  <si>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</si>
  <si>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</si>
  <si>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</si>
  <si>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</si>
  <si>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</si>
  <si>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</si>
  <si>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</si>
  <si>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</si>
  <si>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</si>
  <si>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</si>
  <si>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</si>
  <si>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</si>
  <si>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</si>
  <si>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</si>
  <si>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</si>
  <si>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</si>
  <si>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</si>
  <si>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</si>
  <si>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</si>
  <si>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</si>
  <si>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</si>
  <si>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</si>
  <si>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</si>
  <si>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</si>
  <si>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</si>
  <si>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</si>
  <si>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</si>
  <si>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</si>
  <si>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</si>
  <si>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</si>
  <si>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</si>
  <si>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</si>
  <si>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</si>
  <si>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</si>
  <si>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</si>
  <si>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</si>
  <si>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</si>
  <si>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</si>
  <si>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</si>
  <si>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</si>
  <si>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</si>
  <si>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</si>
  <si>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</si>
  <si>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</si>
  <si>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</si>
  <si>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</si>
  <si>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</si>
  <si>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</si>
  <si>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</si>
  <si>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</si>
  <si>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</si>
  <si>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</si>
  <si>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</si>
  <si>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</si>
  <si>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</si>
  <si>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</si>
  <si>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</si>
  <si>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</si>
  <si>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</si>
  <si>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</si>
  <si>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03/09/2026</t>
  </si>
  <si>
    <t>03/10/2026</t>
  </si>
  <si>
    <t>03/11/2026</t>
  </si>
  <si>
    <t>03/12/2026</t>
  </si>
  <si>
    <t>03/13/2026</t>
  </si>
  <si>
    <t>Matchup</t>
  </si>
  <si>
    <t>MST/LT</t>
  </si>
  <si>
    <t>TENN/VAN</t>
  </si>
  <si>
    <t>DAV/LOY</t>
  </si>
  <si>
    <t>XU/MARQ</t>
  </si>
  <si>
    <t>WAKE/VT</t>
  </si>
  <si>
    <t>WEB/EWASH</t>
  </si>
  <si>
    <t>ILL/MD</t>
  </si>
  <si>
    <t>DAV/STJOE</t>
  </si>
  <si>
    <t>03/14/2026</t>
  </si>
  <si>
    <t>STJOE/VCU</t>
  </si>
  <si>
    <t>MISS/ARK</t>
  </si>
  <si>
    <t>KENN/LT</t>
  </si>
  <si>
    <t>Show</t>
  </si>
  <si>
    <t>No</t>
  </si>
  <si>
    <t>East Region Winner</t>
  </si>
  <si>
    <t>Midwest Region Winner</t>
  </si>
  <si>
    <t>Closed</t>
  </si>
  <si>
    <t>Reach Sweet 16 - Yes</t>
  </si>
  <si>
    <t>Reach Sweet 16 - No</t>
  </si>
  <si>
    <t>03/17/2026</t>
  </si>
  <si>
    <t>HOW/UMBC</t>
  </si>
  <si>
    <t>03/19/2026</t>
  </si>
  <si>
    <t>ARK/HAWAII</t>
  </si>
  <si>
    <t>MSU/NDSU</t>
  </si>
  <si>
    <t>NEB/TROY</t>
  </si>
  <si>
    <t>VAN/MCN</t>
  </si>
  <si>
    <t>03/20/2026</t>
  </si>
  <si>
    <t>ALA/HOFS</t>
  </si>
  <si>
    <t>TEN/MIAOH</t>
  </si>
  <si>
    <t>03/22/2026</t>
  </si>
  <si>
    <t>PUR/MIA</t>
  </si>
  <si>
    <t>TENN/UVA</t>
  </si>
  <si>
    <t>03/27/2026</t>
  </si>
  <si>
    <t>MSU/UCONN</t>
  </si>
  <si>
    <t>TENN/ISU</t>
  </si>
  <si>
    <t>Hedge Tennesse Region Position; lock in 1.47 units</t>
  </si>
  <si>
    <t>Hedged position to lock in 7.5 units</t>
  </si>
  <si>
    <t>2026-27</t>
  </si>
  <si>
    <t>04/11/2026</t>
  </si>
  <si>
    <t>03/15/2026</t>
  </si>
  <si>
    <t>03/16/2026</t>
  </si>
  <si>
    <t>04/15/2026</t>
  </si>
  <si>
    <t>USC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</si>
</sst>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UConn</v>
          </cell>
          <cell r="D2" t="str">
            <v>Michigan</v>
          </cell>
          <cell r="E2">
            <v>-3.9870333483830418</v>
          </cell>
          <cell r="F2" t="b">
            <v>0</v>
          </cell>
          <cell r="G2">
            <v>0.57468333957489515</v>
          </cell>
          <cell r="H2">
            <v>0</v>
          </cell>
          <cell r="I2">
            <v>9.712273918843628E-2</v>
          </cell>
          <cell r="J2">
            <v>5.1676547655618021E-2</v>
          </cell>
          <cell r="K2">
            <v>0</v>
          </cell>
        </row>
        <row r="3">
          <cell r="B3">
            <v>2</v>
          </cell>
          <cell r="C3" t="str">
            <v>Michigan</v>
          </cell>
          <cell r="D3" t="str">
            <v>Uconn</v>
          </cell>
          <cell r="E3">
            <v>9.4138169436454788</v>
          </cell>
          <cell r="F3" t="b">
            <v>0</v>
          </cell>
          <cell r="G3">
            <v>0.55995832643338628</v>
          </cell>
          <cell r="H3">
            <v>0</v>
          </cell>
          <cell r="I3">
            <v>6.901135046373752E-2</v>
          </cell>
          <cell r="J3">
            <v>0.43705408374879218</v>
          </cell>
          <cell r="K3">
            <v>0</v>
          </cell>
        </row>
        <row r="4">
          <cell r="B4">
            <v>3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</row>
        <row r="5">
          <cell r="B5">
            <v>4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</row>
        <row r="6">
          <cell r="B6">
            <v>5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</row>
        <row r="7">
          <cell r="B7">
            <v>6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</row>
        <row r="8">
          <cell r="B8">
            <v>7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</row>
        <row r="9">
          <cell r="B9">
            <v>8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</row>
        <row r="10">
          <cell r="B10">
            <v>9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</row>
        <row r="11">
          <cell r="B11">
            <v>10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</row>
        <row r="12">
          <cell r="B12">
            <v>11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</row>
        <row r="13">
          <cell r="B13">
            <v>12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</row>
        <row r="14">
          <cell r="B14">
            <v>13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</row>
        <row r="15">
          <cell r="B15">
            <v>14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</row>
        <row r="16">
          <cell r="B16">
            <v>15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</row>
        <row r="17">
          <cell r="B17">
            <v>16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</row>
        <row r="18">
          <cell r="B18">
            <v>17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B19">
            <v>18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</row>
        <row r="20">
          <cell r="B20">
            <v>19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</row>
        <row r="21">
          <cell r="B21">
            <v>20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</row>
        <row r="22">
          <cell r="B22">
            <v>21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</row>
        <row r="23">
          <cell r="B23">
            <v>22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</row>
        <row r="24">
          <cell r="B24">
            <v>23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</row>
        <row r="25">
          <cell r="B25">
            <v>24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</row>
        <row r="26">
          <cell r="B26">
            <v>25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</row>
        <row r="27">
          <cell r="B27">
            <v>26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</row>
        <row r="28">
          <cell r="B28">
            <v>27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</row>
        <row r="29">
          <cell r="B29">
            <v>28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</row>
        <row r="30">
          <cell r="B30">
            <v>29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</row>
        <row r="31">
          <cell r="B31">
            <v>30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</row>
        <row r="32">
          <cell r="B32">
            <v>31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</row>
        <row r="33">
          <cell r="B33">
            <v>32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</row>
        <row r="34">
          <cell r="B34">
            <v>33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</row>
        <row r="35">
          <cell r="B35">
            <v>34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</row>
        <row r="36">
          <cell r="B36">
            <v>35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</row>
        <row r="37">
          <cell r="B37">
            <v>36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</row>
        <row r="38">
          <cell r="B38">
            <v>37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</row>
        <row r="39">
          <cell r="B39">
            <v>38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</row>
        <row r="40">
          <cell r="B40">
            <v>39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</row>
        <row r="41">
          <cell r="B41">
            <v>40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</row>
        <row r="42">
          <cell r="B42">
            <v>41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</row>
        <row r="43">
          <cell r="B43">
            <v>42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</row>
        <row r="44">
          <cell r="B44">
            <v>43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</row>
        <row r="45">
          <cell r="B45">
            <v>44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</row>
        <row r="46">
          <cell r="B46">
            <v>45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</row>
        <row r="47">
          <cell r="B47">
            <v>46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</row>
        <row r="48">
          <cell r="B48">
            <v>47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</row>
        <row r="49">
          <cell r="B49">
            <v>48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</row>
        <row r="50">
          <cell r="B50">
            <v>49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</row>
        <row r="51">
          <cell r="B51">
            <v>50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</row>
        <row r="52">
          <cell r="B52">
            <v>51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</row>
        <row r="53">
          <cell r="B53">
            <v>52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</row>
        <row r="54">
          <cell r="B54">
            <v>53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</row>
        <row r="55">
          <cell r="B55">
            <v>54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</row>
        <row r="56">
          <cell r="B56">
            <v>55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</row>
        <row r="57">
          <cell r="B57">
            <v>56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B58">
            <v>57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</row>
        <row r="59">
          <cell r="B59">
            <v>58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B60">
            <v>59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B61">
            <v>60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>
            <v>61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</row>
        <row r="63">
          <cell r="B63">
            <v>62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</row>
        <row r="64">
          <cell r="B64">
            <v>63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B65">
            <v>64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UConn</v>
          </cell>
          <cell r="C2" t="str">
            <v>Michigan</v>
          </cell>
          <cell r="D2">
            <v>18.116591097400342</v>
          </cell>
          <cell r="E2">
            <v>100.0952772073922</v>
          </cell>
          <cell r="F2">
            <v>94.276311107817818</v>
          </cell>
          <cell r="G2">
            <v>0.55882352941176472</v>
          </cell>
          <cell r="H2">
            <v>66.089696969696973</v>
          </cell>
          <cell r="I2">
            <v>58.727272727272727</v>
          </cell>
          <cell r="J2">
            <v>17.696969696969695</v>
          </cell>
          <cell r="K2">
            <v>11.454545454545455</v>
          </cell>
          <cell r="L2">
            <v>11.030303030303031</v>
          </cell>
          <cell r="M2">
            <v>0</v>
          </cell>
          <cell r="N2">
            <v>23.168628302235671</v>
          </cell>
          <cell r="O2">
            <v>98.200984374253366</v>
          </cell>
          <cell r="P2">
            <v>96.398308125131024</v>
          </cell>
          <cell r="Q2">
            <v>0.58467532467532468</v>
          </cell>
          <cell r="R2">
            <v>71.510000000000005</v>
          </cell>
          <cell r="S2">
            <v>60.15625</v>
          </cell>
          <cell r="T2">
            <v>23.53125</v>
          </cell>
          <cell r="U2">
            <v>11.0625</v>
          </cell>
          <cell r="V2">
            <v>12.0625</v>
          </cell>
          <cell r="W2">
            <v>0</v>
          </cell>
          <cell r="X2">
            <v>7</v>
          </cell>
        </row>
        <row r="3">
          <cell r="A3">
            <v>2</v>
          </cell>
          <cell r="B3" t="str">
            <v>Michigan</v>
          </cell>
          <cell r="C3" t="str">
            <v>Uconn</v>
          </cell>
          <cell r="D3">
            <v>23.168628302235671</v>
          </cell>
          <cell r="E3">
            <v>98.200984374253366</v>
          </cell>
          <cell r="F3">
            <v>96.398308125131024</v>
          </cell>
          <cell r="G3">
            <v>0.58467532467532468</v>
          </cell>
          <cell r="H3">
            <v>71.510000000000005</v>
          </cell>
          <cell r="I3">
            <v>60.15625</v>
          </cell>
          <cell r="J3">
            <v>23.53125</v>
          </cell>
          <cell r="K3">
            <v>11.0625</v>
          </cell>
          <cell r="L3">
            <v>12.0625</v>
          </cell>
          <cell r="M3">
            <v>0</v>
          </cell>
          <cell r="N3">
            <v>18.116591097400342</v>
          </cell>
          <cell r="O3">
            <v>100.0952772073922</v>
          </cell>
          <cell r="P3">
            <v>94.276311107817818</v>
          </cell>
          <cell r="Q3">
            <v>0.55882352941176472</v>
          </cell>
          <cell r="R3">
            <v>66.089696969696973</v>
          </cell>
          <cell r="S3">
            <v>58.727272727272727</v>
          </cell>
          <cell r="T3">
            <v>17.696969696969695</v>
          </cell>
          <cell r="U3">
            <v>11.454545454545455</v>
          </cell>
          <cell r="V3">
            <v>11.030303030303031</v>
          </cell>
          <cell r="W3">
            <v>0</v>
          </cell>
          <cell r="X3">
            <v>-7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Arizona</v>
          </cell>
          <cell r="B3">
            <v>23.347924269841325</v>
          </cell>
          <cell r="C3">
            <v>23.707259718954958</v>
          </cell>
          <cell r="D3">
            <v>3</v>
          </cell>
          <cell r="E3">
            <v>23.698276332727119</v>
          </cell>
          <cell r="F3">
            <v>1</v>
          </cell>
          <cell r="G3">
            <v>2.4411326789092134</v>
          </cell>
        </row>
        <row r="4">
          <cell r="A4" t="str">
            <v>Michigan</v>
          </cell>
          <cell r="B4">
            <v>22.170536690416185</v>
          </cell>
          <cell r="C4">
            <v>26.271143471769506</v>
          </cell>
          <cell r="D4">
            <v>1</v>
          </cell>
          <cell r="E4">
            <v>23.168628302235671</v>
          </cell>
          <cell r="F4">
            <v>2</v>
          </cell>
          <cell r="G4">
            <v>2.3843675202568266</v>
          </cell>
        </row>
        <row r="5">
          <cell r="A5" t="str">
            <v>Duke</v>
          </cell>
          <cell r="B5">
            <v>23.806844554428128</v>
          </cell>
          <cell r="C5">
            <v>24.012673758280794</v>
          </cell>
          <cell r="D5">
            <v>2</v>
          </cell>
          <cell r="E5">
            <v>23.057528028184478</v>
          </cell>
          <cell r="F5">
            <v>3</v>
          </cell>
          <cell r="G5">
            <v>2.3724603209097661</v>
          </cell>
        </row>
        <row r="6">
          <cell r="A6" t="str">
            <v>Florida</v>
          </cell>
          <cell r="B6">
            <v>23.898506089170024</v>
          </cell>
          <cell r="C6">
            <v>22.628255762016057</v>
          </cell>
          <cell r="D6">
            <v>4</v>
          </cell>
          <cell r="E6">
            <v>22.660012020194905</v>
          </cell>
          <cell r="F6">
            <v>4</v>
          </cell>
          <cell r="G6">
            <v>2.3298564444458925</v>
          </cell>
        </row>
        <row r="7">
          <cell r="A7" t="str">
            <v>Gonzaga</v>
          </cell>
          <cell r="B7">
            <v>23.269796454268604</v>
          </cell>
          <cell r="C7">
            <v>20.911886948142364</v>
          </cell>
          <cell r="D7">
            <v>5</v>
          </cell>
          <cell r="E7">
            <v>20.97083468579552</v>
          </cell>
          <cell r="F7">
            <v>5</v>
          </cell>
          <cell r="G7">
            <v>2.1488184458900852</v>
          </cell>
        </row>
        <row r="8">
          <cell r="A8" t="str">
            <v>Purdue</v>
          </cell>
          <cell r="B8">
            <v>25.133558227306281</v>
          </cell>
          <cell r="C8">
            <v>20.845132191159372</v>
          </cell>
          <cell r="D8">
            <v>6</v>
          </cell>
          <cell r="E8">
            <v>20.952342842063047</v>
          </cell>
          <cell r="F8">
            <v>6</v>
          </cell>
          <cell r="G8">
            <v>2.1468365779649368</v>
          </cell>
        </row>
        <row r="9">
          <cell r="A9" t="str">
            <v>Houston</v>
          </cell>
          <cell r="B9">
            <v>24.989412990794982</v>
          </cell>
          <cell r="C9">
            <v>20.803867367907134</v>
          </cell>
          <cell r="D9">
            <v>7</v>
          </cell>
          <cell r="E9">
            <v>20.908506008479332</v>
          </cell>
          <cell r="F9">
            <v>7</v>
          </cell>
          <cell r="G9">
            <v>2.1421383544845458</v>
          </cell>
        </row>
        <row r="10">
          <cell r="A10" t="str">
            <v>Iowa State</v>
          </cell>
          <cell r="B10">
            <v>20.841253854011949</v>
          </cell>
          <cell r="C10">
            <v>20.651816719967847</v>
          </cell>
          <cell r="D10">
            <v>8</v>
          </cell>
          <cell r="E10">
            <v>20.65655264831895</v>
          </cell>
          <cell r="F10">
            <v>8</v>
          </cell>
          <cell r="G10">
            <v>2.1151351908000979</v>
          </cell>
        </row>
        <row r="11">
          <cell r="A11" t="str">
            <v>Tennessee</v>
          </cell>
          <cell r="B11">
            <v>21.154185097948655</v>
          </cell>
          <cell r="C11">
            <v>20.588178624867808</v>
          </cell>
          <cell r="D11">
            <v>9</v>
          </cell>
          <cell r="E11">
            <v>20.60232878669483</v>
          </cell>
          <cell r="F11">
            <v>9</v>
          </cell>
          <cell r="G11">
            <v>2.1093237350207152</v>
          </cell>
        </row>
        <row r="12">
          <cell r="A12" t="str">
            <v>Michigan State</v>
          </cell>
          <cell r="B12">
            <v>20.512921474156744</v>
          </cell>
          <cell r="C12">
            <v>19.977828133460619</v>
          </cell>
          <cell r="D12">
            <v>10</v>
          </cell>
          <cell r="E12">
            <v>19.991205466978023</v>
          </cell>
          <cell r="F12">
            <v>10</v>
          </cell>
          <cell r="G12">
            <v>2.0438264420963757</v>
          </cell>
        </row>
        <row r="13">
          <cell r="A13" t="str">
            <v>Arkansas</v>
          </cell>
          <cell r="B13">
            <v>19.897498939026178</v>
          </cell>
          <cell r="C13">
            <v>19.912762463734452</v>
          </cell>
          <cell r="D13">
            <v>11</v>
          </cell>
          <cell r="E13">
            <v>19.912380875616748</v>
          </cell>
          <cell r="F13">
            <v>11</v>
          </cell>
          <cell r="G13">
            <v>2.0353783970235364</v>
          </cell>
        </row>
        <row r="14">
          <cell r="A14" t="str">
            <v>Alabama</v>
          </cell>
          <cell r="B14">
            <v>19.611532443464291</v>
          </cell>
          <cell r="C14">
            <v>19.657313630168652</v>
          </cell>
          <cell r="D14">
            <v>12</v>
          </cell>
          <cell r="E14">
            <v>19.656169100501042</v>
          </cell>
          <cell r="F14">
            <v>12</v>
          </cell>
          <cell r="G14">
            <v>2.0079188366631255</v>
          </cell>
        </row>
        <row r="15">
          <cell r="A15" t="str">
            <v>Vanderbilt</v>
          </cell>
          <cell r="B15">
            <v>19.814939133924728</v>
          </cell>
          <cell r="C15">
            <v>19.337207487320256</v>
          </cell>
          <cell r="D15">
            <v>13</v>
          </cell>
          <cell r="E15">
            <v>19.349150778485367</v>
          </cell>
          <cell r="F15">
            <v>13</v>
          </cell>
          <cell r="G15">
            <v>1.9750140720740106</v>
          </cell>
        </row>
        <row r="16">
          <cell r="A16" t="str">
            <v>Illinois</v>
          </cell>
          <cell r="B16">
            <v>22.357214477641335</v>
          </cell>
          <cell r="C16">
            <v>18.745874213808939</v>
          </cell>
          <cell r="D16">
            <v>15</v>
          </cell>
          <cell r="E16">
            <v>18.836157720404749</v>
          </cell>
          <cell r="F16">
            <v>14</v>
          </cell>
          <cell r="G16">
            <v>1.920033914208608</v>
          </cell>
        </row>
        <row r="17">
          <cell r="A17" t="str">
            <v>UConn</v>
          </cell>
          <cell r="B17">
            <v>23.8885224238179</v>
          </cell>
          <cell r="C17">
            <v>17.968592858261431</v>
          </cell>
          <cell r="D17">
            <v>16</v>
          </cell>
          <cell r="E17">
            <v>18.116591097400342</v>
          </cell>
          <cell r="F17">
            <v>15</v>
          </cell>
          <cell r="G17">
            <v>1.8429141834358775</v>
          </cell>
        </row>
        <row r="18">
          <cell r="A18" t="str">
            <v>Kentucky</v>
          </cell>
          <cell r="B18">
            <v>21.963932506439889</v>
          </cell>
          <cell r="C18">
            <v>17.961647628318783</v>
          </cell>
          <cell r="D18">
            <v>17</v>
          </cell>
          <cell r="E18">
            <v>18.061704750271812</v>
          </cell>
          <cell r="F18">
            <v>16</v>
          </cell>
          <cell r="G18">
            <v>1.8370317256087239</v>
          </cell>
        </row>
        <row r="19">
          <cell r="A19" t="str">
            <v>Texas Tech</v>
          </cell>
          <cell r="B19">
            <v>21.610552058212996</v>
          </cell>
          <cell r="C19">
            <v>19.005113909988179</v>
          </cell>
          <cell r="D19">
            <v>14</v>
          </cell>
          <cell r="E19">
            <v>17.0702498636938</v>
          </cell>
          <cell r="F19">
            <v>17</v>
          </cell>
          <cell r="G19">
            <v>1.7307723029482374</v>
          </cell>
        </row>
        <row r="20">
          <cell r="A20" t="str">
            <v>Auburn</v>
          </cell>
          <cell r="B20">
            <v>20.255824923422399</v>
          </cell>
          <cell r="C20">
            <v>16.978636339393354</v>
          </cell>
          <cell r="D20">
            <v>18</v>
          </cell>
          <cell r="E20">
            <v>17.06056605399408</v>
          </cell>
          <cell r="F20">
            <v>18</v>
          </cell>
          <cell r="G20">
            <v>1.7297344382488178</v>
          </cell>
        </row>
        <row r="21">
          <cell r="A21" t="str">
            <v>BYU</v>
          </cell>
          <cell r="B21">
            <v>22.353677530978857</v>
          </cell>
          <cell r="C21">
            <v>16.830414133597642</v>
          </cell>
          <cell r="D21">
            <v>19</v>
          </cell>
          <cell r="E21">
            <v>16.968495718532175</v>
          </cell>
          <cell r="F21">
            <v>19</v>
          </cell>
          <cell r="G21">
            <v>1.7198667772762584</v>
          </cell>
        </row>
        <row r="22">
          <cell r="A22" t="str">
            <v>Kansas</v>
          </cell>
          <cell r="B22">
            <v>19.619972109714087</v>
          </cell>
          <cell r="C22">
            <v>16.745108832051464</v>
          </cell>
          <cell r="D22">
            <v>20</v>
          </cell>
          <cell r="E22">
            <v>16.816980413993029</v>
          </cell>
          <cell r="F22">
            <v>20</v>
          </cell>
          <cell r="G22">
            <v>1.7036280870418232</v>
          </cell>
        </row>
        <row r="23">
          <cell r="A23" t="str">
            <v>Louisville</v>
          </cell>
          <cell r="B23">
            <v>21.158267596654795</v>
          </cell>
          <cell r="C23">
            <v>16.514756742428194</v>
          </cell>
          <cell r="D23">
            <v>21</v>
          </cell>
          <cell r="E23">
            <v>16.63084451378386</v>
          </cell>
          <cell r="F23">
            <v>21</v>
          </cell>
          <cell r="G23">
            <v>1.6836789259046161</v>
          </cell>
        </row>
        <row r="24">
          <cell r="A24" t="str">
            <v>Utah State</v>
          </cell>
          <cell r="B24">
            <v>17.85964083250806</v>
          </cell>
          <cell r="C24">
            <v>16.262838456383122</v>
          </cell>
          <cell r="D24">
            <v>22</v>
          </cell>
          <cell r="E24">
            <v>16.302758515786245</v>
          </cell>
          <cell r="F24">
            <v>22</v>
          </cell>
          <cell r="G24">
            <v>1.6485162279320009</v>
          </cell>
        </row>
        <row r="25">
          <cell r="A25" t="str">
            <v>Wisconsin</v>
          </cell>
          <cell r="B25">
            <v>20.84233967694907</v>
          </cell>
          <cell r="C25">
            <v>16.045852398551691</v>
          </cell>
          <cell r="D25">
            <v>23</v>
          </cell>
          <cell r="E25">
            <v>16.165764580511627</v>
          </cell>
          <cell r="F25">
            <v>23</v>
          </cell>
          <cell r="G25">
            <v>1.633833869039695</v>
          </cell>
        </row>
        <row r="26">
          <cell r="A26" t="str">
            <v>UCLA</v>
          </cell>
          <cell r="B26">
            <v>22.200725869750766</v>
          </cell>
          <cell r="C26">
            <v>15.794216875165773</v>
          </cell>
          <cell r="D26">
            <v>25</v>
          </cell>
          <cell r="E26">
            <v>15.954379600030398</v>
          </cell>
          <cell r="F26">
            <v>24</v>
          </cell>
          <cell r="G26">
            <v>1.6111786314801126</v>
          </cell>
        </row>
        <row r="27">
          <cell r="A27" t="str">
            <v>Nebraska</v>
          </cell>
          <cell r="B27">
            <v>16.206376355863735</v>
          </cell>
          <cell r="C27">
            <v>15.822534103226905</v>
          </cell>
          <cell r="D27">
            <v>24</v>
          </cell>
          <cell r="E27">
            <v>15.832130159542826</v>
          </cell>
          <cell r="F27">
            <v>25</v>
          </cell>
          <cell r="G27">
            <v>1.5980765174629916</v>
          </cell>
        </row>
        <row r="28">
          <cell r="A28" t="str">
            <v>Santa Clara</v>
          </cell>
          <cell r="B28">
            <v>15.533209820599076</v>
          </cell>
          <cell r="C28">
            <v>15.753645279433588</v>
          </cell>
          <cell r="D28">
            <v>26</v>
          </cell>
          <cell r="E28">
            <v>15.748134392962726</v>
          </cell>
          <cell r="F28">
            <v>26</v>
          </cell>
          <cell r="G28">
            <v>1.5890742504072184</v>
          </cell>
        </row>
        <row r="29">
          <cell r="A29" t="str">
            <v>Iowa</v>
          </cell>
          <cell r="B29">
            <v>20.435850766301293</v>
          </cell>
          <cell r="C29">
            <v>15.40826702671751</v>
          </cell>
          <cell r="D29">
            <v>27</v>
          </cell>
          <cell r="E29">
            <v>15.533956620207105</v>
          </cell>
          <cell r="F29">
            <v>27</v>
          </cell>
          <cell r="G29">
            <v>1.5661196946449574</v>
          </cell>
        </row>
        <row r="30">
          <cell r="A30" t="str">
            <v>St. John's</v>
          </cell>
          <cell r="B30">
            <v>23.036885093583159</v>
          </cell>
          <cell r="C30">
            <v>14.924546361402331</v>
          </cell>
          <cell r="D30">
            <v>29</v>
          </cell>
          <cell r="E30">
            <v>15.127354829706851</v>
          </cell>
          <cell r="F30">
            <v>28</v>
          </cell>
          <cell r="G30">
            <v>1.5225420471935447</v>
          </cell>
        </row>
        <row r="31">
          <cell r="A31" t="str">
            <v>Saint Mary's</v>
          </cell>
          <cell r="B31">
            <v>18.3754884225479</v>
          </cell>
          <cell r="C31">
            <v>14.944050942000015</v>
          </cell>
          <cell r="D31">
            <v>28</v>
          </cell>
          <cell r="E31">
            <v>15.029836879013711</v>
          </cell>
          <cell r="F31">
            <v>29</v>
          </cell>
          <cell r="G31">
            <v>1.5120905367113564</v>
          </cell>
        </row>
        <row r="32">
          <cell r="A32" t="str">
            <v>Ohio State</v>
          </cell>
          <cell r="B32">
            <v>19.539372034863764</v>
          </cell>
          <cell r="C32">
            <v>14.614599216890738</v>
          </cell>
          <cell r="D32">
            <v>30</v>
          </cell>
          <cell r="E32">
            <v>14.737718537340063</v>
          </cell>
          <cell r="F32">
            <v>30</v>
          </cell>
          <cell r="G32">
            <v>1.480782681200234</v>
          </cell>
        </row>
        <row r="33">
          <cell r="A33" t="str">
            <v>Texas</v>
          </cell>
          <cell r="B33">
            <v>16.253714630756026</v>
          </cell>
          <cell r="C33">
            <v>14.496990646982393</v>
          </cell>
          <cell r="D33">
            <v>31</v>
          </cell>
          <cell r="E33">
            <v>14.540908746576733</v>
          </cell>
          <cell r="F33">
            <v>31</v>
          </cell>
          <cell r="G33">
            <v>1.4596895432031811</v>
          </cell>
        </row>
        <row r="34">
          <cell r="A34" t="str">
            <v>San Diego State</v>
          </cell>
          <cell r="B34">
            <v>18.448153521291179</v>
          </cell>
          <cell r="C34">
            <v>14.21221555463014</v>
          </cell>
          <cell r="D34">
            <v>33</v>
          </cell>
          <cell r="E34">
            <v>14.318114003796666</v>
          </cell>
          <cell r="F34">
            <v>32</v>
          </cell>
          <cell r="G34">
            <v>1.4358114615475326</v>
          </cell>
        </row>
        <row r="35">
          <cell r="A35" t="str">
            <v>Georgia</v>
          </cell>
          <cell r="B35">
            <v>17.950699951149623</v>
          </cell>
          <cell r="C35">
            <v>14.040648588928065</v>
          </cell>
          <cell r="D35">
            <v>34</v>
          </cell>
          <cell r="E35">
            <v>14.138399872983603</v>
          </cell>
          <cell r="F35">
            <v>33</v>
          </cell>
          <cell r="G35">
            <v>1.4165505551334869</v>
          </cell>
        </row>
        <row r="36">
          <cell r="A36" t="str">
            <v>North Carolina</v>
          </cell>
          <cell r="B36">
            <v>18.770883806676974</v>
          </cell>
          <cell r="C36">
            <v>13.854620091598377</v>
          </cell>
          <cell r="D36">
            <v>35</v>
          </cell>
          <cell r="E36">
            <v>13.977526684475343</v>
          </cell>
          <cell r="F36">
            <v>34</v>
          </cell>
          <cell r="G36">
            <v>1.399308931370413</v>
          </cell>
        </row>
        <row r="37">
          <cell r="A37" t="str">
            <v>SMU</v>
          </cell>
          <cell r="B37">
            <v>19.201852273032792</v>
          </cell>
          <cell r="C37">
            <v>13.587711242304497</v>
          </cell>
          <cell r="D37">
            <v>36</v>
          </cell>
          <cell r="E37">
            <v>13.728064768072704</v>
          </cell>
          <cell r="F37">
            <v>35</v>
          </cell>
          <cell r="G37">
            <v>1.3725727887868471</v>
          </cell>
        </row>
        <row r="38">
          <cell r="A38" t="str">
            <v>Texas A&amp;M</v>
          </cell>
          <cell r="B38">
            <v>16.014733241007438</v>
          </cell>
          <cell r="C38">
            <v>13.288025213185358</v>
          </cell>
          <cell r="D38">
            <v>37</v>
          </cell>
          <cell r="E38">
            <v>13.356192913880911</v>
          </cell>
          <cell r="F38">
            <v>36</v>
          </cell>
          <cell r="G38">
            <v>1.3327173308481712</v>
          </cell>
        </row>
        <row r="39">
          <cell r="A39" t="str">
            <v>Baylor</v>
          </cell>
          <cell r="B39">
            <v>19.16475956028432</v>
          </cell>
          <cell r="C39">
            <v>13.145921761256872</v>
          </cell>
          <cell r="D39">
            <v>38</v>
          </cell>
          <cell r="E39">
            <v>13.29639270623256</v>
          </cell>
          <cell r="F39">
            <v>37</v>
          </cell>
          <cell r="G39">
            <v>1.3263082288045847</v>
          </cell>
        </row>
        <row r="40">
          <cell r="A40" t="str">
            <v>Oklahoma</v>
          </cell>
          <cell r="B40">
            <v>18.852287045547964</v>
          </cell>
          <cell r="C40">
            <v>13.047047072990443</v>
          </cell>
          <cell r="D40">
            <v>39</v>
          </cell>
          <cell r="E40">
            <v>13.192178072304381</v>
          </cell>
          <cell r="F40">
            <v>38</v>
          </cell>
          <cell r="G40">
            <v>1.3151389996405596</v>
          </cell>
        </row>
        <row r="41">
          <cell r="A41" t="str">
            <v>Virginia</v>
          </cell>
          <cell r="B41">
            <v>17.976536937098711</v>
          </cell>
          <cell r="C41">
            <v>12.768867424328249</v>
          </cell>
          <cell r="D41">
            <v>41</v>
          </cell>
          <cell r="E41">
            <v>12.899059162147511</v>
          </cell>
          <cell r="F41">
            <v>40</v>
          </cell>
          <cell r="G41">
            <v>1.2837239079548026</v>
          </cell>
        </row>
        <row r="42">
          <cell r="A42" t="str">
            <v>Saint Louis</v>
          </cell>
          <cell r="B42">
            <v>13.200856043417884</v>
          </cell>
          <cell r="C42">
            <v>14.434657879827068</v>
          </cell>
          <cell r="D42">
            <v>32</v>
          </cell>
          <cell r="E42">
            <v>12.903812833916838</v>
          </cell>
          <cell r="F42">
            <v>39</v>
          </cell>
          <cell r="G42">
            <v>1.2842333839022859</v>
          </cell>
        </row>
        <row r="43">
          <cell r="A43" t="str">
            <v>UCF</v>
          </cell>
          <cell r="B43">
            <v>12.869455518949275</v>
          </cell>
          <cell r="C43">
            <v>12.787350447464783</v>
          </cell>
          <cell r="D43">
            <v>40</v>
          </cell>
          <cell r="E43">
            <v>12.789403074251897</v>
          </cell>
          <cell r="F43">
            <v>41</v>
          </cell>
          <cell r="G43">
            <v>1.2719714896161205</v>
          </cell>
        </row>
        <row r="44">
          <cell r="A44" t="str">
            <v>TCU</v>
          </cell>
          <cell r="B44">
            <v>15.486595932014291</v>
          </cell>
          <cell r="C44">
            <v>12.617860796998912</v>
          </cell>
          <cell r="D44">
            <v>42</v>
          </cell>
          <cell r="E44">
            <v>12.689579175374295</v>
          </cell>
          <cell r="F44">
            <v>42</v>
          </cell>
          <cell r="G44">
            <v>1.2612728385669907</v>
          </cell>
        </row>
        <row r="45">
          <cell r="A45" t="str">
            <v>Indiana</v>
          </cell>
          <cell r="B45">
            <v>18.769900205372554</v>
          </cell>
          <cell r="C45">
            <v>12.456396060711715</v>
          </cell>
          <cell r="D45">
            <v>44</v>
          </cell>
          <cell r="E45">
            <v>12.614233664328236</v>
          </cell>
          <cell r="F45">
            <v>43</v>
          </cell>
          <cell r="G45">
            <v>1.2531976647873275</v>
          </cell>
        </row>
        <row r="46">
          <cell r="A46" t="str">
            <v>New Mexico</v>
          </cell>
          <cell r="B46">
            <v>12.32632888000543</v>
          </cell>
          <cell r="C46">
            <v>12.520595690389142</v>
          </cell>
          <cell r="D46">
            <v>43</v>
          </cell>
          <cell r="E46">
            <v>12.51573902012955</v>
          </cell>
          <cell r="F46">
            <v>44</v>
          </cell>
          <cell r="G46">
            <v>1.2426414769371414</v>
          </cell>
        </row>
        <row r="47">
          <cell r="A47" t="str">
            <v>Cincinnati</v>
          </cell>
          <cell r="B47">
            <v>17.830958402823203</v>
          </cell>
          <cell r="C47">
            <v>12.263201512842599</v>
          </cell>
          <cell r="D47">
            <v>45</v>
          </cell>
          <cell r="E47">
            <v>12.402395435092114</v>
          </cell>
          <cell r="F47">
            <v>45</v>
          </cell>
          <cell r="G47">
            <v>1.2304938501803491</v>
          </cell>
        </row>
        <row r="48">
          <cell r="A48" t="str">
            <v>Miami</v>
          </cell>
          <cell r="B48">
            <v>15.666562444013055</v>
          </cell>
          <cell r="C48">
            <v>12.153790679263276</v>
          </cell>
          <cell r="D48">
            <v>46</v>
          </cell>
          <cell r="E48">
            <v>12.241609973382021</v>
          </cell>
          <cell r="F48">
            <v>46</v>
          </cell>
          <cell r="G48">
            <v>1.2132616285585638</v>
          </cell>
        </row>
        <row r="49">
          <cell r="A49" t="str">
            <v>NC State</v>
          </cell>
          <cell r="B49">
            <v>18.268501706355732</v>
          </cell>
          <cell r="C49">
            <v>12.046205527881447</v>
          </cell>
          <cell r="D49">
            <v>47</v>
          </cell>
          <cell r="E49">
            <v>12.201762932343305</v>
          </cell>
          <cell r="F49">
            <v>47</v>
          </cell>
          <cell r="G49">
            <v>1.2089910120808776</v>
          </cell>
        </row>
        <row r="50">
          <cell r="A50" t="str">
            <v>Missouri</v>
          </cell>
          <cell r="B50">
            <v>20.470260700429062</v>
          </cell>
          <cell r="C50">
            <v>11.74378899962656</v>
          </cell>
          <cell r="D50">
            <v>49</v>
          </cell>
          <cell r="E50">
            <v>11.961950792146624</v>
          </cell>
          <cell r="F50">
            <v>48</v>
          </cell>
          <cell r="G50">
            <v>1.1832890866486203</v>
          </cell>
        </row>
        <row r="51">
          <cell r="A51" t="str">
            <v>LSU</v>
          </cell>
          <cell r="B51">
            <v>13.241259481143162</v>
          </cell>
          <cell r="C51">
            <v>11.832673353914913</v>
          </cell>
          <cell r="D51">
            <v>48</v>
          </cell>
          <cell r="E51">
            <v>11.867888007095619</v>
          </cell>
          <cell r="F51">
            <v>49</v>
          </cell>
          <cell r="G51">
            <v>1.1732078843986069</v>
          </cell>
        </row>
        <row r="52">
          <cell r="A52" t="str">
            <v>Villanova</v>
          </cell>
          <cell r="B52">
            <v>15.786076207910773</v>
          </cell>
          <cell r="C52">
            <v>11.741992294185934</v>
          </cell>
          <cell r="D52">
            <v>50</v>
          </cell>
          <cell r="E52">
            <v>11.843094392029053</v>
          </cell>
          <cell r="F52">
            <v>50</v>
          </cell>
          <cell r="G52">
            <v>1.1705506225722693</v>
          </cell>
        </row>
        <row r="53">
          <cell r="A53" t="str">
            <v>Washington</v>
          </cell>
          <cell r="B53">
            <v>17.70257354068773</v>
          </cell>
          <cell r="C53">
            <v>11.281333807349759</v>
          </cell>
          <cell r="D53">
            <v>51</v>
          </cell>
          <cell r="E53">
            <v>11.441864800683208</v>
          </cell>
          <cell r="F53">
            <v>51</v>
          </cell>
          <cell r="G53">
            <v>1.1275487418938004</v>
          </cell>
        </row>
        <row r="54">
          <cell r="A54" t="str">
            <v>Clemson</v>
          </cell>
          <cell r="B54">
            <v>19.851444098386473</v>
          </cell>
          <cell r="C54">
            <v>10.803101955878191</v>
          </cell>
          <cell r="D54">
            <v>53</v>
          </cell>
          <cell r="E54">
            <v>11.029310509440897</v>
          </cell>
          <cell r="F54">
            <v>52</v>
          </cell>
          <cell r="G54">
            <v>1.0833331337032761</v>
          </cell>
        </row>
        <row r="55">
          <cell r="A55" t="str">
            <v>Stanford</v>
          </cell>
          <cell r="B55">
            <v>12.773932093692459</v>
          </cell>
          <cell r="C55">
            <v>10.799178968818667</v>
          </cell>
          <cell r="D55">
            <v>54</v>
          </cell>
          <cell r="E55">
            <v>10.848547796940512</v>
          </cell>
          <cell r="F55">
            <v>53</v>
          </cell>
          <cell r="G55">
            <v>1.0639598452875727</v>
          </cell>
        </row>
        <row r="56">
          <cell r="A56" t="str">
            <v>Akron</v>
          </cell>
          <cell r="B56">
            <v>14.017497672961843</v>
          </cell>
          <cell r="C56">
            <v>10.520141476239298</v>
          </cell>
          <cell r="D56">
            <v>58</v>
          </cell>
          <cell r="E56">
            <v>10.607575381157362</v>
          </cell>
          <cell r="F56">
            <v>56</v>
          </cell>
          <cell r="G56">
            <v>1.0381335670323941</v>
          </cell>
        </row>
        <row r="57">
          <cell r="A57" t="str">
            <v>South Florida</v>
          </cell>
          <cell r="B57">
            <v>14.502100434073014</v>
          </cell>
          <cell r="C57">
            <v>10.53112186967196</v>
          </cell>
          <cell r="D57">
            <v>56</v>
          </cell>
          <cell r="E57">
            <v>10.630396333781986</v>
          </cell>
          <cell r="F57">
            <v>54</v>
          </cell>
          <cell r="G57">
            <v>1.0405794082736679</v>
          </cell>
        </row>
        <row r="58">
          <cell r="A58" t="str">
            <v>Arizona State</v>
          </cell>
          <cell r="B58">
            <v>14.405762229379153</v>
          </cell>
          <cell r="C58">
            <v>10.528078330785457</v>
          </cell>
          <cell r="D58">
            <v>57</v>
          </cell>
          <cell r="E58">
            <v>10.625020428250298</v>
          </cell>
          <cell r="F58">
            <v>55</v>
          </cell>
          <cell r="G58">
            <v>1.0400032442688223</v>
          </cell>
        </row>
        <row r="59">
          <cell r="A59" t="str">
            <v>Boise State</v>
          </cell>
          <cell r="B59">
            <v>14.656697145610531</v>
          </cell>
          <cell r="C59">
            <v>10.378470176321029</v>
          </cell>
          <cell r="D59">
            <v>59</v>
          </cell>
          <cell r="E59">
            <v>10.485425850553266</v>
          </cell>
          <cell r="F59">
            <v>57</v>
          </cell>
          <cell r="G59">
            <v>1.0250421608817428</v>
          </cell>
        </row>
        <row r="60">
          <cell r="A60" t="str">
            <v>Oklahoma State</v>
          </cell>
          <cell r="B60">
            <v>14.223680468275028</v>
          </cell>
          <cell r="C60">
            <v>10.351496008736232</v>
          </cell>
          <cell r="D60">
            <v>60</v>
          </cell>
          <cell r="E60">
            <v>10.448300620224702</v>
          </cell>
          <cell r="F60">
            <v>58</v>
          </cell>
          <cell r="G60">
            <v>1.0210632551400336</v>
          </cell>
        </row>
        <row r="61">
          <cell r="A61" t="str">
            <v>Wake Forest</v>
          </cell>
          <cell r="B61">
            <v>13.974759095963076</v>
          </cell>
          <cell r="C61">
            <v>10.272545408612334</v>
          </cell>
          <cell r="D61">
            <v>61</v>
          </cell>
          <cell r="E61">
            <v>10.365100750796103</v>
          </cell>
          <cell r="F61">
            <v>59</v>
          </cell>
          <cell r="G61">
            <v>1.0121462885583019</v>
          </cell>
        </row>
        <row r="62">
          <cell r="A62" t="str">
            <v>Northwestern</v>
          </cell>
          <cell r="B62">
            <v>14.502255506436576</v>
          </cell>
          <cell r="C62">
            <v>10.245605789638649</v>
          </cell>
          <cell r="D62">
            <v>62</v>
          </cell>
          <cell r="E62">
            <v>10.352022032558597</v>
          </cell>
          <cell r="F62">
            <v>60</v>
          </cell>
          <cell r="G62">
            <v>1.0107445736967684</v>
          </cell>
        </row>
        <row r="63">
          <cell r="A63" t="str">
            <v>VCU</v>
          </cell>
          <cell r="B63">
            <v>15.866511896233263</v>
          </cell>
          <cell r="C63">
            <v>10.135704301441418</v>
          </cell>
          <cell r="D63">
            <v>63</v>
          </cell>
          <cell r="E63">
            <v>10.278974491311214</v>
          </cell>
          <cell r="F63">
            <v>61</v>
          </cell>
          <cell r="G63">
            <v>1.0029156853985772</v>
          </cell>
        </row>
        <row r="64">
          <cell r="A64" t="str">
            <v>Ole Miss</v>
          </cell>
          <cell r="B64">
            <v>15.32419956436574</v>
          </cell>
          <cell r="C64">
            <v>9.9383763953817503</v>
          </cell>
          <cell r="D64">
            <v>64</v>
          </cell>
          <cell r="E64">
            <v>10.07302197460635</v>
          </cell>
          <cell r="F64">
            <v>62</v>
          </cell>
          <cell r="G64">
            <v>0.98084267348770082</v>
          </cell>
        </row>
        <row r="65">
          <cell r="A65" t="str">
            <v>High Point</v>
          </cell>
          <cell r="B65">
            <v>13.396471442361008</v>
          </cell>
          <cell r="C65">
            <v>9.7017681946966867</v>
          </cell>
          <cell r="D65">
            <v>66</v>
          </cell>
          <cell r="E65">
            <v>9.7941357758882948</v>
          </cell>
          <cell r="F65">
            <v>63</v>
          </cell>
          <cell r="G65">
            <v>0.95095297617021568</v>
          </cell>
        </row>
        <row r="66">
          <cell r="A66" t="str">
            <v>Southern California</v>
          </cell>
          <cell r="B66">
            <v>19.752289936695011</v>
          </cell>
          <cell r="C66">
            <v>9.4120606744950752</v>
          </cell>
          <cell r="D66">
            <v>68</v>
          </cell>
          <cell r="E66">
            <v>9.6705664060500744</v>
          </cell>
          <cell r="F66">
            <v>64</v>
          </cell>
          <cell r="G66">
            <v>0.93770939839851419</v>
          </cell>
        </row>
        <row r="67">
          <cell r="A67" t="str">
            <v>Seton Hall</v>
          </cell>
          <cell r="B67">
            <v>8.1076286972262395</v>
          </cell>
          <cell r="C67">
            <v>9.6859830437358134</v>
          </cell>
          <cell r="D67">
            <v>67</v>
          </cell>
          <cell r="E67">
            <v>9.6465241850730745</v>
          </cell>
          <cell r="F67">
            <v>65</v>
          </cell>
          <cell r="G67">
            <v>0.93513266741954915</v>
          </cell>
        </row>
        <row r="68">
          <cell r="A68" t="str">
            <v>Colorado</v>
          </cell>
          <cell r="B68">
            <v>10.835928700083171</v>
          </cell>
          <cell r="C68">
            <v>9.3455169607811222</v>
          </cell>
          <cell r="D68">
            <v>69</v>
          </cell>
          <cell r="E68">
            <v>9.382777254263674</v>
          </cell>
          <cell r="F68">
            <v>66</v>
          </cell>
          <cell r="G68">
            <v>0.90686552488418681</v>
          </cell>
        </row>
        <row r="69">
          <cell r="A69" t="str">
            <v>Nevada</v>
          </cell>
          <cell r="B69">
            <v>14.187958711646898</v>
          </cell>
          <cell r="C69">
            <v>9.056116492115148</v>
          </cell>
          <cell r="D69">
            <v>72</v>
          </cell>
          <cell r="E69">
            <v>9.1844125476034417</v>
          </cell>
          <cell r="F69">
            <v>67</v>
          </cell>
          <cell r="G69">
            <v>0.88560573839134515</v>
          </cell>
        </row>
        <row r="70">
          <cell r="A70" t="str">
            <v>California</v>
          </cell>
          <cell r="B70">
            <v>11.900594442090167</v>
          </cell>
          <cell r="C70">
            <v>9.068946252195186</v>
          </cell>
          <cell r="D70">
            <v>71</v>
          </cell>
          <cell r="E70">
            <v>9.1397374569425605</v>
          </cell>
          <cell r="F70">
            <v>68</v>
          </cell>
          <cell r="G70">
            <v>0.8808176745014038</v>
          </cell>
        </row>
        <row r="71">
          <cell r="A71" t="str">
            <v>Florida State</v>
          </cell>
          <cell r="B71">
            <v>14.489621953834808</v>
          </cell>
          <cell r="C71">
            <v>8.9611847675375138</v>
          </cell>
          <cell r="D71">
            <v>75</v>
          </cell>
          <cell r="E71">
            <v>9.0993956971949466</v>
          </cell>
          <cell r="F71">
            <v>69</v>
          </cell>
          <cell r="G71">
            <v>0.87649403642374502</v>
          </cell>
        </row>
        <row r="72">
          <cell r="A72" t="str">
            <v>Northern Iowa</v>
          </cell>
          <cell r="B72">
            <v>13.377766522114587</v>
          </cell>
          <cell r="C72">
            <v>8.9771891561398114</v>
          </cell>
          <cell r="D72">
            <v>74</v>
          </cell>
          <cell r="E72">
            <v>9.0872035902891817</v>
          </cell>
          <cell r="F72">
            <v>70</v>
          </cell>
          <cell r="G72">
            <v>0.87518734435095391</v>
          </cell>
        </row>
        <row r="73">
          <cell r="A73" t="str">
            <v>Grand Canyon</v>
          </cell>
          <cell r="B73">
            <v>10.857794571237998</v>
          </cell>
          <cell r="C73">
            <v>9.013084377249772</v>
          </cell>
          <cell r="D73">
            <v>73</v>
          </cell>
          <cell r="E73">
            <v>9.0592021320994771</v>
          </cell>
          <cell r="F73">
            <v>71</v>
          </cell>
          <cell r="G73">
            <v>0.87218628114457908</v>
          </cell>
        </row>
        <row r="74">
          <cell r="A74" t="str">
            <v>Sam Houston</v>
          </cell>
          <cell r="B74">
            <v>2.8248760712375889</v>
          </cell>
          <cell r="C74">
            <v>9.1687922881387873</v>
          </cell>
          <cell r="D74">
            <v>70</v>
          </cell>
          <cell r="E74">
            <v>9.0101943827162589</v>
          </cell>
          <cell r="F74">
            <v>72</v>
          </cell>
          <cell r="G74">
            <v>0.86693386348458423</v>
          </cell>
        </row>
        <row r="75">
          <cell r="A75" t="str">
            <v>Belmont</v>
          </cell>
          <cell r="B75">
            <v>11.38734507771372</v>
          </cell>
          <cell r="C75">
            <v>8.857900473528252</v>
          </cell>
          <cell r="D75">
            <v>76</v>
          </cell>
          <cell r="E75">
            <v>8.9211365886328888</v>
          </cell>
          <cell r="F75">
            <v>73</v>
          </cell>
          <cell r="G75">
            <v>0.85738907237928474</v>
          </cell>
        </row>
        <row r="76">
          <cell r="A76" t="str">
            <v>West Virginia</v>
          </cell>
          <cell r="B76">
            <v>15.314260744597942</v>
          </cell>
          <cell r="C76">
            <v>8.700751217587273</v>
          </cell>
          <cell r="D76">
            <v>77</v>
          </cell>
          <cell r="E76">
            <v>8.8660889557625389</v>
          </cell>
          <cell r="F76">
            <v>74</v>
          </cell>
          <cell r="G76">
            <v>0.85148932871286476</v>
          </cell>
        </row>
        <row r="77">
          <cell r="A77" t="str">
            <v>Oregon</v>
          </cell>
          <cell r="B77">
            <v>18.28693102974616</v>
          </cell>
          <cell r="C77">
            <v>8.1864296167943582</v>
          </cell>
          <cell r="D77">
            <v>80</v>
          </cell>
          <cell r="E77">
            <v>8.4389421521181536</v>
          </cell>
          <cell r="F77">
            <v>75</v>
          </cell>
          <cell r="G77">
            <v>0.8057097643968506</v>
          </cell>
        </row>
        <row r="78">
          <cell r="A78" t="str">
            <v>Colorado State</v>
          </cell>
          <cell r="B78">
            <v>14.00215292190866</v>
          </cell>
          <cell r="C78">
            <v>8.2798333371258703</v>
          </cell>
          <cell r="D78">
            <v>78</v>
          </cell>
          <cell r="E78">
            <v>8.4228913267454395</v>
          </cell>
          <cell r="F78">
            <v>76</v>
          </cell>
          <cell r="G78">
            <v>0.80398951321808487</v>
          </cell>
        </row>
        <row r="79">
          <cell r="A79" t="str">
            <v>Kansas State</v>
          </cell>
          <cell r="B79">
            <v>15.543271889111036</v>
          </cell>
          <cell r="C79">
            <v>8.165335837068243</v>
          </cell>
          <cell r="D79">
            <v>81</v>
          </cell>
          <cell r="E79">
            <v>8.3497842383693133</v>
          </cell>
          <cell r="F79">
            <v>77</v>
          </cell>
          <cell r="G79">
            <v>0.7961542429416445</v>
          </cell>
        </row>
        <row r="80">
          <cell r="A80" t="str">
            <v>George Washington</v>
          </cell>
          <cell r="B80">
            <v>12.609131256265183</v>
          </cell>
          <cell r="C80">
            <v>8.0680341044705273</v>
          </cell>
          <cell r="D80">
            <v>82</v>
          </cell>
          <cell r="E80">
            <v>8.1815615332653948</v>
          </cell>
          <cell r="F80">
            <v>78</v>
          </cell>
          <cell r="G80">
            <v>0.77812493291986051</v>
          </cell>
        </row>
        <row r="81">
          <cell r="A81" t="str">
            <v>Virginia Tech</v>
          </cell>
          <cell r="B81">
            <v>13.845209155066584</v>
          </cell>
          <cell r="C81">
            <v>7.625536320734474</v>
          </cell>
          <cell r="D81">
            <v>85</v>
          </cell>
          <cell r="E81">
            <v>7.7810281415927767</v>
          </cell>
          <cell r="F81">
            <v>79</v>
          </cell>
          <cell r="G81">
            <v>0.73519766761354333</v>
          </cell>
        </row>
        <row r="82">
          <cell r="A82" t="str">
            <v>Miami (OH)</v>
          </cell>
          <cell r="B82">
            <v>13.525882252433213</v>
          </cell>
          <cell r="C82">
            <v>7.5889216767953371</v>
          </cell>
          <cell r="D82">
            <v>86</v>
          </cell>
          <cell r="E82">
            <v>7.7373456911862846</v>
          </cell>
          <cell r="F82">
            <v>80</v>
          </cell>
          <cell r="G82">
            <v>0.73051599018835067</v>
          </cell>
        </row>
        <row r="83">
          <cell r="A83" t="str">
            <v>Wichita State</v>
          </cell>
          <cell r="B83">
            <v>9.0210071949947395</v>
          </cell>
          <cell r="C83">
            <v>7.6871874950944292</v>
          </cell>
          <cell r="D83">
            <v>83</v>
          </cell>
          <cell r="E83">
            <v>7.7205329875919375</v>
          </cell>
          <cell r="F83">
            <v>82</v>
          </cell>
          <cell r="G83">
            <v>0.72871408452276532</v>
          </cell>
        </row>
        <row r="84">
          <cell r="A84" t="str">
            <v>UNLV</v>
          </cell>
          <cell r="B84">
            <v>11.192165782512511</v>
          </cell>
          <cell r="C84">
            <v>7.6435464741820187</v>
          </cell>
          <cell r="D84">
            <v>84</v>
          </cell>
          <cell r="E84">
            <v>7.7322619568902811</v>
          </cell>
          <cell r="F84">
            <v>81</v>
          </cell>
          <cell r="G84">
            <v>0.72997113970794492</v>
          </cell>
        </row>
        <row r="85">
          <cell r="A85" t="str">
            <v>Yale</v>
          </cell>
          <cell r="B85">
            <v>14.953359680962022</v>
          </cell>
          <cell r="C85">
            <v>7.3593078534045322</v>
          </cell>
          <cell r="D85">
            <v>87</v>
          </cell>
          <cell r="E85">
            <v>7.5491591490934695</v>
          </cell>
          <cell r="F85">
            <v>83</v>
          </cell>
          <cell r="G85">
            <v>0.71034705100013029</v>
          </cell>
        </row>
        <row r="86">
          <cell r="A86" t="str">
            <v>Notre Dame</v>
          </cell>
          <cell r="B86">
            <v>16.090956511961046</v>
          </cell>
          <cell r="C86">
            <v>7.2549989470578682</v>
          </cell>
          <cell r="D86">
            <v>88</v>
          </cell>
          <cell r="E86">
            <v>7.4758978861804479</v>
          </cell>
          <cell r="F86">
            <v>84</v>
          </cell>
          <cell r="G86">
            <v>0.70249525702957005</v>
          </cell>
        </row>
        <row r="87">
          <cell r="A87" t="str">
            <v>Providence</v>
          </cell>
          <cell r="B87">
            <v>15.934601567729755</v>
          </cell>
          <cell r="C87">
            <v>7.1801737399415702</v>
          </cell>
          <cell r="D87">
            <v>89</v>
          </cell>
          <cell r="E87">
            <v>7.3990344356362749</v>
          </cell>
          <cell r="F87">
            <v>85</v>
          </cell>
          <cell r="G87">
            <v>0.69425739770880301</v>
          </cell>
        </row>
        <row r="88">
          <cell r="A88" t="str">
            <v>McNeese</v>
          </cell>
          <cell r="B88">
            <v>12.435400478194667</v>
          </cell>
          <cell r="C88">
            <v>10.81838901761696</v>
          </cell>
          <cell r="D88">
            <v>52</v>
          </cell>
          <cell r="E88">
            <v>7.3588143041314016</v>
          </cell>
          <cell r="F88">
            <v>86</v>
          </cell>
          <cell r="G88">
            <v>0.68994679516813917</v>
          </cell>
        </row>
        <row r="89">
          <cell r="A89" t="str">
            <v>Dayton</v>
          </cell>
          <cell r="B89">
            <v>13.449405350407183</v>
          </cell>
          <cell r="C89">
            <v>7.1240352847988291</v>
          </cell>
          <cell r="D89">
            <v>90</v>
          </cell>
          <cell r="E89">
            <v>7.2821695364390386</v>
          </cell>
          <cell r="F89">
            <v>87</v>
          </cell>
          <cell r="G89">
            <v>0.68173237323609626</v>
          </cell>
        </row>
        <row r="90">
          <cell r="A90" t="str">
            <v>Minnesota</v>
          </cell>
          <cell r="B90">
            <v>15.757484874618889</v>
          </cell>
          <cell r="C90">
            <v>6.8458381573414444</v>
          </cell>
          <cell r="D90">
            <v>92</v>
          </cell>
          <cell r="E90">
            <v>7.0686293252733812</v>
          </cell>
          <cell r="F90">
            <v>88</v>
          </cell>
          <cell r="G90">
            <v>0.65884614829491162</v>
          </cell>
        </row>
        <row r="91">
          <cell r="A91" t="str">
            <v>Kennesaw State</v>
          </cell>
          <cell r="B91">
            <v>5.8133777351374993</v>
          </cell>
          <cell r="C91">
            <v>7.0004240769347961</v>
          </cell>
          <cell r="D91">
            <v>91</v>
          </cell>
          <cell r="E91">
            <v>6.970747918389864</v>
          </cell>
          <cell r="F91">
            <v>89</v>
          </cell>
          <cell r="G91">
            <v>0.64835568430563517</v>
          </cell>
        </row>
        <row r="92">
          <cell r="A92" t="str">
            <v>Middle Tennessee</v>
          </cell>
          <cell r="B92">
            <v>8.0494590269813031</v>
          </cell>
          <cell r="C92">
            <v>6.7986491065573516</v>
          </cell>
          <cell r="D92">
            <v>93</v>
          </cell>
          <cell r="E92">
            <v>6.8299193545679504</v>
          </cell>
          <cell r="F92">
            <v>90</v>
          </cell>
          <cell r="G92">
            <v>0.63326234815045102</v>
          </cell>
        </row>
        <row r="93">
          <cell r="A93" t="str">
            <v>Utah Valley</v>
          </cell>
          <cell r="B93">
            <v>10.000620853136329</v>
          </cell>
          <cell r="C93">
            <v>10.787384271575998</v>
          </cell>
          <cell r="D93">
            <v>55</v>
          </cell>
          <cell r="E93">
            <v>6.7677151861150069</v>
          </cell>
          <cell r="F93">
            <v>91</v>
          </cell>
          <cell r="G93">
            <v>0.62659560101312139</v>
          </cell>
        </row>
        <row r="94">
          <cell r="A94" t="str">
            <v>Butler</v>
          </cell>
          <cell r="B94">
            <v>14.983715750485825</v>
          </cell>
          <cell r="C94">
            <v>6.5378671871624237</v>
          </cell>
          <cell r="D94">
            <v>94</v>
          </cell>
          <cell r="E94">
            <v>6.7490134012455085</v>
          </cell>
          <cell r="F94">
            <v>92</v>
          </cell>
          <cell r="G94">
            <v>0.62459123259469296</v>
          </cell>
        </row>
        <row r="95">
          <cell r="A95" t="str">
            <v>Utah</v>
          </cell>
          <cell r="B95">
            <v>14.027042917165174</v>
          </cell>
          <cell r="C95">
            <v>6.5193238519793537</v>
          </cell>
          <cell r="D95">
            <v>95</v>
          </cell>
          <cell r="E95">
            <v>6.7070168286089995</v>
          </cell>
          <cell r="F95">
            <v>93</v>
          </cell>
          <cell r="G95">
            <v>0.62009023953642373</v>
          </cell>
        </row>
        <row r="96">
          <cell r="A96" t="str">
            <v>Creighton</v>
          </cell>
          <cell r="B96">
            <v>18.850264705579271</v>
          </cell>
          <cell r="C96">
            <v>5.9702778928322413</v>
          </cell>
          <cell r="D96">
            <v>99</v>
          </cell>
          <cell r="E96">
            <v>6.2922775631509174</v>
          </cell>
          <cell r="F96">
            <v>94</v>
          </cell>
          <cell r="G96">
            <v>0.57564045619396964</v>
          </cell>
        </row>
        <row r="97">
          <cell r="A97" t="str">
            <v>South Carolina</v>
          </cell>
          <cell r="B97">
            <v>13.624333765068965</v>
          </cell>
          <cell r="C97">
            <v>6.0377238250609748</v>
          </cell>
          <cell r="D97">
            <v>97</v>
          </cell>
          <cell r="E97">
            <v>6.2273890735611745</v>
          </cell>
          <cell r="F97">
            <v>96</v>
          </cell>
          <cell r="G97">
            <v>0.56868601627495829</v>
          </cell>
        </row>
        <row r="98">
          <cell r="A98" t="str">
            <v>Illinois State</v>
          </cell>
          <cell r="B98">
            <v>13.317375704818167</v>
          </cell>
          <cell r="C98">
            <v>6.0657618405086335</v>
          </cell>
          <cell r="D98">
            <v>96</v>
          </cell>
          <cell r="E98">
            <v>6.2470521871163713</v>
          </cell>
          <cell r="F98">
            <v>95</v>
          </cell>
          <cell r="G98">
            <v>0.57079341533301753</v>
          </cell>
        </row>
        <row r="99">
          <cell r="A99" t="str">
            <v>Liberty</v>
          </cell>
          <cell r="B99">
            <v>12.531227606445631</v>
          </cell>
          <cell r="C99">
            <v>6.025241495744031</v>
          </cell>
          <cell r="D99">
            <v>98</v>
          </cell>
          <cell r="E99">
            <v>6.1878911485115715</v>
          </cell>
          <cell r="F99">
            <v>97</v>
          </cell>
          <cell r="G99">
            <v>0.56445281638974321</v>
          </cell>
        </row>
        <row r="100">
          <cell r="A100" t="str">
            <v>Bradley</v>
          </cell>
          <cell r="B100">
            <v>14.741901139432152</v>
          </cell>
          <cell r="C100">
            <v>5.852308592348054</v>
          </cell>
          <cell r="D100">
            <v>101</v>
          </cell>
          <cell r="E100">
            <v>6.0745484060251567</v>
          </cell>
          <cell r="F100">
            <v>98</v>
          </cell>
          <cell r="G100">
            <v>0.55230527993356471</v>
          </cell>
        </row>
        <row r="101">
          <cell r="A101" t="str">
            <v>Xavier</v>
          </cell>
          <cell r="B101">
            <v>15.270434470611017</v>
          </cell>
          <cell r="C101">
            <v>5.7382787670511473</v>
          </cell>
          <cell r="D101">
            <v>103</v>
          </cell>
          <cell r="E101">
            <v>5.9765826596401448</v>
          </cell>
          <cell r="F101">
            <v>99</v>
          </cell>
          <cell r="G101">
            <v>0.54180577683735809</v>
          </cell>
        </row>
        <row r="102">
          <cell r="A102" t="str">
            <v>Davidson</v>
          </cell>
          <cell r="B102">
            <v>9.0242862806618511</v>
          </cell>
          <cell r="C102">
            <v>5.86476744001087</v>
          </cell>
          <cell r="D102">
            <v>100</v>
          </cell>
          <cell r="E102">
            <v>5.9437554110271451</v>
          </cell>
          <cell r="F102">
            <v>100</v>
          </cell>
          <cell r="G102">
            <v>0.53828750834892591</v>
          </cell>
        </row>
        <row r="103">
          <cell r="A103" t="str">
            <v>Mississippi State</v>
          </cell>
          <cell r="B103">
            <v>18.518577700746054</v>
          </cell>
          <cell r="C103">
            <v>5.5541663234423932</v>
          </cell>
          <cell r="D103">
            <v>110</v>
          </cell>
          <cell r="E103">
            <v>5.8782766078749846</v>
          </cell>
          <cell r="F103">
            <v>102</v>
          </cell>
          <cell r="G103">
            <v>0.53126980142787505</v>
          </cell>
        </row>
        <row r="104">
          <cell r="A104" t="str">
            <v>Murray State</v>
          </cell>
          <cell r="B104">
            <v>10.972565370614436</v>
          </cell>
          <cell r="C104">
            <v>5.7865885938834838</v>
          </cell>
          <cell r="D104">
            <v>102</v>
          </cell>
          <cell r="E104">
            <v>5.9162380133017578</v>
          </cell>
          <cell r="F104">
            <v>101</v>
          </cell>
          <cell r="G104">
            <v>0.53533832444252472</v>
          </cell>
        </row>
        <row r="105">
          <cell r="A105" t="str">
            <v>Syracuse</v>
          </cell>
          <cell r="B105">
            <v>13.526154656844779</v>
          </cell>
          <cell r="C105">
            <v>5.635042398868249</v>
          </cell>
          <cell r="D105">
            <v>106</v>
          </cell>
          <cell r="E105">
            <v>5.8323202053176626</v>
          </cell>
          <cell r="F105">
            <v>103</v>
          </cell>
          <cell r="G105">
            <v>0.52634441261855802</v>
          </cell>
        </row>
        <row r="106">
          <cell r="A106" t="str">
            <v>Duquesne</v>
          </cell>
          <cell r="B106">
            <v>12.10720888603219</v>
          </cell>
          <cell r="C106">
            <v>5.6690019977151342</v>
          </cell>
          <cell r="D106">
            <v>105</v>
          </cell>
          <cell r="E106">
            <v>5.8299571699230608</v>
          </cell>
          <cell r="F106">
            <v>104</v>
          </cell>
          <cell r="G106">
            <v>0.52609115371575177</v>
          </cell>
        </row>
        <row r="107">
          <cell r="A107" t="str">
            <v>Marquette</v>
          </cell>
          <cell r="B107">
            <v>19.034473302508317</v>
          </cell>
          <cell r="C107">
            <v>5.4062680664138689</v>
          </cell>
          <cell r="D107">
            <v>113</v>
          </cell>
          <cell r="E107">
            <v>5.7469731973162306</v>
          </cell>
          <cell r="F107">
            <v>105</v>
          </cell>
          <cell r="G107">
            <v>0.51719732592928536</v>
          </cell>
        </row>
        <row r="108">
          <cell r="A108" t="str">
            <v>Seattle</v>
          </cell>
          <cell r="B108">
            <v>8.0547252401815363</v>
          </cell>
          <cell r="C108">
            <v>5.5831507065002697</v>
          </cell>
          <cell r="D108">
            <v>108</v>
          </cell>
          <cell r="E108">
            <v>5.6449400698423009</v>
          </cell>
          <cell r="F108">
            <v>107</v>
          </cell>
          <cell r="G108">
            <v>0.50626190025899143</v>
          </cell>
        </row>
        <row r="109">
          <cell r="A109" t="str">
            <v>Western Kentucky</v>
          </cell>
          <cell r="B109">
            <v>4.0080511882242069</v>
          </cell>
          <cell r="C109">
            <v>5.6943899614946165</v>
          </cell>
          <cell r="D109">
            <v>104</v>
          </cell>
          <cell r="E109">
            <v>5.6522314921628567</v>
          </cell>
          <cell r="F109">
            <v>106</v>
          </cell>
          <cell r="G109">
            <v>0.50704336024940022</v>
          </cell>
        </row>
        <row r="110">
          <cell r="A110" t="str">
            <v>UIC</v>
          </cell>
          <cell r="B110">
            <v>8.1779835340698366</v>
          </cell>
          <cell r="C110">
            <v>5.5608308048527508</v>
          </cell>
          <cell r="D110">
            <v>109</v>
          </cell>
          <cell r="E110">
            <v>5.6262596230831781</v>
          </cell>
          <cell r="F110">
            <v>108</v>
          </cell>
          <cell r="G110">
            <v>0.50425981875781944</v>
          </cell>
        </row>
        <row r="111">
          <cell r="A111" t="str">
            <v>Washington State</v>
          </cell>
          <cell r="B111">
            <v>13.573021075172218</v>
          </cell>
          <cell r="C111">
            <v>5.2922862044828793</v>
          </cell>
          <cell r="D111">
            <v>114</v>
          </cell>
          <cell r="E111">
            <v>5.4993045762501129</v>
          </cell>
          <cell r="F111">
            <v>110</v>
          </cell>
          <cell r="G111">
            <v>0.49065338021690152</v>
          </cell>
        </row>
        <row r="112">
          <cell r="A112" t="str">
            <v>UT Rio Grande Valley</v>
          </cell>
          <cell r="B112">
            <v>2.1309102215605353</v>
          </cell>
          <cell r="C112">
            <v>5.5880032572282321</v>
          </cell>
          <cell r="D112">
            <v>107</v>
          </cell>
          <cell r="E112">
            <v>5.5015759313365393</v>
          </cell>
          <cell r="F112">
            <v>109</v>
          </cell>
          <cell r="G112">
            <v>0.49089681326000612</v>
          </cell>
        </row>
        <row r="113">
          <cell r="A113" t="str">
            <v>Maryland</v>
          </cell>
          <cell r="B113">
            <v>19.085855817119466</v>
          </cell>
          <cell r="C113">
            <v>5.1391698569141253</v>
          </cell>
          <cell r="D113">
            <v>118</v>
          </cell>
          <cell r="E113">
            <v>5.4878370059192587</v>
          </cell>
          <cell r="F113">
            <v>111</v>
          </cell>
          <cell r="G113">
            <v>0.48942434053070777</v>
          </cell>
        </row>
        <row r="114">
          <cell r="A114" t="str">
            <v>Georgetown</v>
          </cell>
          <cell r="B114">
            <v>13.480335110241374</v>
          </cell>
          <cell r="C114">
            <v>5.2518188936963002</v>
          </cell>
          <cell r="D114">
            <v>117</v>
          </cell>
          <cell r="E114">
            <v>5.457531799109927</v>
          </cell>
          <cell r="F114">
            <v>112</v>
          </cell>
          <cell r="G114">
            <v>0.48617637249629647</v>
          </cell>
        </row>
        <row r="115">
          <cell r="A115" t="str">
            <v>Bowling Green</v>
          </cell>
          <cell r="B115">
            <v>5.4136655374198615</v>
          </cell>
          <cell r="C115">
            <v>5.424957948581099</v>
          </cell>
          <cell r="D115">
            <v>111</v>
          </cell>
          <cell r="E115">
            <v>5.4246756383020687</v>
          </cell>
          <cell r="F115">
            <v>113</v>
          </cell>
          <cell r="G115">
            <v>0.48265500533623013</v>
          </cell>
        </row>
        <row r="116">
          <cell r="A116" t="str">
            <v>New Mexico State</v>
          </cell>
          <cell r="B116">
            <v>5.4820861231191262</v>
          </cell>
          <cell r="C116">
            <v>5.4168038954524551</v>
          </cell>
          <cell r="D116">
            <v>112</v>
          </cell>
          <cell r="E116">
            <v>5.4184359511441222</v>
          </cell>
          <cell r="F116">
            <v>114</v>
          </cell>
          <cell r="G116">
            <v>0.48198626532197303</v>
          </cell>
        </row>
        <row r="117">
          <cell r="A117" t="str">
            <v>UC Irvine</v>
          </cell>
          <cell r="B117">
            <v>9.7110414694150613</v>
          </cell>
          <cell r="C117">
            <v>5.2865068710626755</v>
          </cell>
          <cell r="D117">
            <v>116</v>
          </cell>
          <cell r="E117">
            <v>5.3971202360214852</v>
          </cell>
          <cell r="F117">
            <v>115</v>
          </cell>
          <cell r="G117">
            <v>0.47970174828222711</v>
          </cell>
        </row>
        <row r="118">
          <cell r="A118" t="str">
            <v>Montana State</v>
          </cell>
          <cell r="B118">
            <v>5.7522786722706289</v>
          </cell>
          <cell r="C118">
            <v>5.2897301447236806</v>
          </cell>
          <cell r="D118">
            <v>115</v>
          </cell>
          <cell r="E118">
            <v>5.3012938579123547</v>
          </cell>
          <cell r="F118">
            <v>116</v>
          </cell>
          <cell r="G118">
            <v>0.46943153251006403</v>
          </cell>
        </row>
        <row r="119">
          <cell r="A119" t="str">
            <v>San Francisco</v>
          </cell>
          <cell r="B119">
            <v>15.972807869851753</v>
          </cell>
          <cell r="C119">
            <v>4.9656663097109401</v>
          </cell>
          <cell r="D119">
            <v>121</v>
          </cell>
          <cell r="E119">
            <v>5.2408448487144605</v>
          </cell>
          <cell r="F119">
            <v>117</v>
          </cell>
          <cell r="G119">
            <v>0.46295289499995351</v>
          </cell>
        </row>
        <row r="120">
          <cell r="A120" t="str">
            <v>Tulsa</v>
          </cell>
          <cell r="B120">
            <v>6.910260899305193</v>
          </cell>
          <cell r="C120">
            <v>9.7173556775784764</v>
          </cell>
          <cell r="D120">
            <v>65</v>
          </cell>
          <cell r="E120">
            <v>5.147178308121644</v>
          </cell>
          <cell r="F120">
            <v>118</v>
          </cell>
          <cell r="G120">
            <v>0.4529141603477394</v>
          </cell>
        </row>
        <row r="121">
          <cell r="A121" t="str">
            <v>Kent State</v>
          </cell>
          <cell r="B121">
            <v>8.6774133528160959</v>
          </cell>
          <cell r="C121">
            <v>5.043414512964973</v>
          </cell>
          <cell r="D121">
            <v>119</v>
          </cell>
          <cell r="E121">
            <v>5.1342644839612515</v>
          </cell>
          <cell r="F121">
            <v>119</v>
          </cell>
          <cell r="G121">
            <v>0.45153011804969945</v>
          </cell>
        </row>
        <row r="122">
          <cell r="A122" t="str">
            <v>Winthrop</v>
          </cell>
          <cell r="B122">
            <v>9.6122619299645855</v>
          </cell>
          <cell r="C122">
            <v>4.9913973230600206</v>
          </cell>
          <cell r="D122">
            <v>120</v>
          </cell>
          <cell r="E122">
            <v>5.106918938232635</v>
          </cell>
          <cell r="F122">
            <v>120</v>
          </cell>
          <cell r="G122">
            <v>0.44859935242355203</v>
          </cell>
        </row>
        <row r="123">
          <cell r="A123" t="str">
            <v>Pittsburgh</v>
          </cell>
          <cell r="B123">
            <v>15.627088080075735</v>
          </cell>
          <cell r="C123">
            <v>4.7486600311425988</v>
          </cell>
          <cell r="D123">
            <v>124</v>
          </cell>
          <cell r="E123">
            <v>5.0206207323659271</v>
          </cell>
          <cell r="F123">
            <v>122</v>
          </cell>
          <cell r="G123">
            <v>0.43935032086783271</v>
          </cell>
        </row>
        <row r="124">
          <cell r="A124" t="str">
            <v>George Mason</v>
          </cell>
          <cell r="B124">
            <v>12.882788610671113</v>
          </cell>
          <cell r="C124">
            <v>4.8249529888227229</v>
          </cell>
          <cell r="D124">
            <v>123</v>
          </cell>
          <cell r="E124">
            <v>5.0263988793689327</v>
          </cell>
          <cell r="F124">
            <v>121</v>
          </cell>
          <cell r="G124">
            <v>0.43996959520184292</v>
          </cell>
        </row>
        <row r="125">
          <cell r="A125" t="str">
            <v>Southern Illinois</v>
          </cell>
          <cell r="B125">
            <v>4.9268342073308489</v>
          </cell>
          <cell r="C125">
            <v>4.9524726416537677</v>
          </cell>
          <cell r="D125">
            <v>122</v>
          </cell>
          <cell r="E125">
            <v>4.9518316807956948</v>
          </cell>
          <cell r="F125">
            <v>123</v>
          </cell>
          <cell r="G125">
            <v>0.43197783725393485</v>
          </cell>
        </row>
        <row r="126">
          <cell r="A126" t="str">
            <v>Toledo</v>
          </cell>
          <cell r="B126">
            <v>7.0650703430890545</v>
          </cell>
          <cell r="C126">
            <v>4.6909658220258779</v>
          </cell>
          <cell r="D126">
            <v>125</v>
          </cell>
          <cell r="E126">
            <v>4.7503184350524572</v>
          </cell>
          <cell r="F126">
            <v>124</v>
          </cell>
          <cell r="G126">
            <v>0.41038060530622356</v>
          </cell>
        </row>
        <row r="127">
          <cell r="A127" t="str">
            <v>Memphis</v>
          </cell>
          <cell r="B127">
            <v>15.968957252141987</v>
          </cell>
          <cell r="C127">
            <v>4.4298104547287505</v>
          </cell>
          <cell r="D127">
            <v>128</v>
          </cell>
          <cell r="E127">
            <v>4.7182891246640812</v>
          </cell>
          <cell r="F127">
            <v>125</v>
          </cell>
          <cell r="G127">
            <v>0.40694785604434924</v>
          </cell>
        </row>
        <row r="128">
          <cell r="A128" t="str">
            <v>California Baptist</v>
          </cell>
          <cell r="B128">
            <v>8.4002017292656532</v>
          </cell>
          <cell r="C128">
            <v>4.6096560004363081</v>
          </cell>
          <cell r="D128">
            <v>127</v>
          </cell>
          <cell r="E128">
            <v>4.7044196436570411</v>
          </cell>
          <cell r="F128">
            <v>126</v>
          </cell>
          <cell r="G128">
            <v>0.40546139098743139</v>
          </cell>
        </row>
        <row r="129">
          <cell r="A129" t="str">
            <v>Stephen F. Austin</v>
          </cell>
          <cell r="B129">
            <v>4.4708840344629214E-2</v>
          </cell>
          <cell r="C129">
            <v>4.6208165641140422</v>
          </cell>
          <cell r="D129">
            <v>126</v>
          </cell>
          <cell r="E129">
            <v>4.5064138710198067</v>
          </cell>
          <cell r="F129">
            <v>127</v>
          </cell>
          <cell r="G129">
            <v>0.38424007333727062</v>
          </cell>
        </row>
        <row r="130">
          <cell r="A130" t="str">
            <v>Florida Atlantic</v>
          </cell>
          <cell r="B130">
            <v>9.6848517837220296</v>
          </cell>
          <cell r="C130">
            <v>4.3478819167004916</v>
          </cell>
          <cell r="D130">
            <v>131</v>
          </cell>
          <cell r="E130">
            <v>4.4813061633760309</v>
          </cell>
          <cell r="F130">
            <v>128</v>
          </cell>
          <cell r="G130">
            <v>0.38154914856129396</v>
          </cell>
        </row>
        <row r="131">
          <cell r="A131" t="str">
            <v>Jacksonville State</v>
          </cell>
          <cell r="B131">
            <v>5.2401185217502464</v>
          </cell>
          <cell r="C131">
            <v>4.4097038071354255</v>
          </cell>
          <cell r="D131">
            <v>129</v>
          </cell>
          <cell r="E131">
            <v>4.4304641750007958</v>
          </cell>
          <cell r="F131">
            <v>129</v>
          </cell>
          <cell r="G131">
            <v>0.37610014588371365</v>
          </cell>
        </row>
        <row r="132">
          <cell r="A132" t="str">
            <v>Pacific</v>
          </cell>
          <cell r="B132">
            <v>3.5350309061542493</v>
          </cell>
          <cell r="C132">
            <v>4.4051302168377635</v>
          </cell>
          <cell r="D132">
            <v>130</v>
          </cell>
          <cell r="E132">
            <v>4.3833777340706757</v>
          </cell>
          <cell r="F132">
            <v>130</v>
          </cell>
          <cell r="G132">
            <v>0.37105364493232823</v>
          </cell>
        </row>
        <row r="133">
          <cell r="A133" t="str">
            <v>DePaul</v>
          </cell>
          <cell r="B133">
            <v>13.592775810899269</v>
          </cell>
          <cell r="C133">
            <v>4.1050705863578072</v>
          </cell>
          <cell r="D133">
            <v>132</v>
          </cell>
          <cell r="E133">
            <v>4.342263216971344</v>
          </cell>
          <cell r="F133">
            <v>131</v>
          </cell>
          <cell r="G133">
            <v>0.36664718639439264</v>
          </cell>
        </row>
        <row r="134">
          <cell r="A134" t="str">
            <v>North Texas</v>
          </cell>
          <cell r="B134">
            <v>11.526309182378027</v>
          </cell>
          <cell r="C134">
            <v>3.8865443727597233</v>
          </cell>
          <cell r="D134">
            <v>134</v>
          </cell>
          <cell r="E134">
            <v>4.0775384930001808</v>
          </cell>
          <cell r="F134">
            <v>132</v>
          </cell>
          <cell r="G134">
            <v>0.3382752486351055</v>
          </cell>
        </row>
        <row r="135">
          <cell r="A135" t="str">
            <v>St. Bonaventure</v>
          </cell>
          <cell r="B135">
            <v>10.149747374958512</v>
          </cell>
          <cell r="C135">
            <v>3.8550442556485285</v>
          </cell>
          <cell r="D135">
            <v>136</v>
          </cell>
          <cell r="E135">
            <v>4.012411833631278</v>
          </cell>
          <cell r="F135">
            <v>133</v>
          </cell>
          <cell r="G135">
            <v>0.33129528281111209</v>
          </cell>
        </row>
        <row r="136">
          <cell r="A136" t="str">
            <v>Florida International</v>
          </cell>
          <cell r="B136">
            <v>2.7413022335596025</v>
          </cell>
          <cell r="C136">
            <v>4.0313712474545058</v>
          </cell>
          <cell r="D136">
            <v>133</v>
          </cell>
          <cell r="E136">
            <v>3.9991195221071334</v>
          </cell>
          <cell r="F136">
            <v>134</v>
          </cell>
          <cell r="G136">
            <v>0.3298706760362603</v>
          </cell>
        </row>
        <row r="137">
          <cell r="A137" t="str">
            <v>Cornell</v>
          </cell>
          <cell r="B137">
            <v>12.240510571584281</v>
          </cell>
          <cell r="C137">
            <v>3.719011289453924</v>
          </cell>
          <cell r="D137">
            <v>138</v>
          </cell>
          <cell r="E137">
            <v>3.932048771507183</v>
          </cell>
          <cell r="F137">
            <v>136</v>
          </cell>
          <cell r="G137">
            <v>0.32268235175379639</v>
          </cell>
        </row>
        <row r="138">
          <cell r="A138" t="str">
            <v>Idaho</v>
          </cell>
          <cell r="B138">
            <v>6.7522602313339091</v>
          </cell>
          <cell r="C138">
            <v>3.8706530216942512</v>
          </cell>
          <cell r="D138">
            <v>135</v>
          </cell>
          <cell r="E138">
            <v>3.942693201935243</v>
          </cell>
          <cell r="F138">
            <v>135</v>
          </cell>
          <cell r="G138">
            <v>0.32382317121734178</v>
          </cell>
        </row>
        <row r="139">
          <cell r="A139" t="str">
            <v>Rutgers</v>
          </cell>
          <cell r="B139">
            <v>12.398819364854372</v>
          </cell>
          <cell r="C139">
            <v>3.6935559791046679</v>
          </cell>
          <cell r="D139">
            <v>141</v>
          </cell>
          <cell r="E139">
            <v>3.911187563748411</v>
          </cell>
          <cell r="F139">
            <v>137</v>
          </cell>
          <cell r="G139">
            <v>0.32044654665317457</v>
          </cell>
        </row>
        <row r="140">
          <cell r="A140" t="str">
            <v>North Dakota State</v>
          </cell>
          <cell r="B140">
            <v>6.6499404773091211</v>
          </cell>
          <cell r="C140">
            <v>3.8088482504217374</v>
          </cell>
          <cell r="D140">
            <v>137</v>
          </cell>
          <cell r="E140">
            <v>3.8798755560939222</v>
          </cell>
          <cell r="F140">
            <v>138</v>
          </cell>
          <cell r="G140">
            <v>0.31709067448919698</v>
          </cell>
        </row>
        <row r="141">
          <cell r="A141" t="str">
            <v>St. Thomas - Minnesota</v>
          </cell>
          <cell r="B141">
            <v>9.9550098974439436</v>
          </cell>
          <cell r="C141">
            <v>3.6942289843946625</v>
          </cell>
          <cell r="D141">
            <v>140</v>
          </cell>
          <cell r="E141">
            <v>3.8507485072208945</v>
          </cell>
          <cell r="F141">
            <v>139</v>
          </cell>
          <cell r="G141">
            <v>0.31396897582297312</v>
          </cell>
        </row>
        <row r="142">
          <cell r="A142" t="str">
            <v>Missouri State</v>
          </cell>
          <cell r="B142">
            <v>5.8362417833099247</v>
          </cell>
          <cell r="C142">
            <v>3.6920838025068399</v>
          </cell>
          <cell r="D142">
            <v>142</v>
          </cell>
          <cell r="E142">
            <v>3.745687752026917</v>
          </cell>
          <cell r="F142">
            <v>140</v>
          </cell>
          <cell r="G142">
            <v>0.30270906340303633</v>
          </cell>
        </row>
        <row r="143">
          <cell r="A143" t="str">
            <v>Portland State</v>
          </cell>
          <cell r="B143">
            <v>4.0411677395733916</v>
          </cell>
          <cell r="C143">
            <v>3.7093753267504552</v>
          </cell>
          <cell r="D143">
            <v>139</v>
          </cell>
          <cell r="E143">
            <v>3.7176701370710288</v>
          </cell>
          <cell r="F143">
            <v>141</v>
          </cell>
          <cell r="G143">
            <v>0.29970626859125021</v>
          </cell>
        </row>
        <row r="144">
          <cell r="A144" t="str">
            <v>Fresno State</v>
          </cell>
          <cell r="B144">
            <v>4.3610610087658825</v>
          </cell>
          <cell r="C144">
            <v>3.619822822609077</v>
          </cell>
          <cell r="D144">
            <v>143</v>
          </cell>
          <cell r="E144">
            <v>3.6383537772629975</v>
          </cell>
          <cell r="F144">
            <v>142</v>
          </cell>
          <cell r="G144">
            <v>0.29120551811351308</v>
          </cell>
        </row>
        <row r="145">
          <cell r="A145" t="str">
            <v>UT Arlington</v>
          </cell>
          <cell r="B145">
            <v>6.1401425942335406</v>
          </cell>
          <cell r="C145">
            <v>3.3904598947485729</v>
          </cell>
          <cell r="D145">
            <v>145</v>
          </cell>
          <cell r="E145">
            <v>3.4592019622356971</v>
          </cell>
          <cell r="F145">
            <v>143</v>
          </cell>
          <cell r="G145">
            <v>0.27200487803286999</v>
          </cell>
        </row>
        <row r="146">
          <cell r="A146" t="str">
            <v>Northern Colorado</v>
          </cell>
          <cell r="B146">
            <v>5.2861079713044568</v>
          </cell>
          <cell r="C146">
            <v>3.4065162340163821</v>
          </cell>
          <cell r="D146">
            <v>144</v>
          </cell>
          <cell r="E146">
            <v>3.4535060274485838</v>
          </cell>
          <cell r="F146">
            <v>144</v>
          </cell>
          <cell r="G146">
            <v>0.27139441481342952</v>
          </cell>
        </row>
        <row r="147">
          <cell r="A147" t="str">
            <v>Wyoming</v>
          </cell>
          <cell r="B147">
            <v>9.2936311138903847</v>
          </cell>
          <cell r="C147">
            <v>8.2552750784444822</v>
          </cell>
          <cell r="D147">
            <v>79</v>
          </cell>
          <cell r="E147">
            <v>3.2812339793306293</v>
          </cell>
          <cell r="F147">
            <v>145</v>
          </cell>
          <cell r="G147">
            <v>0.25293111545269453</v>
          </cell>
        </row>
        <row r="148">
          <cell r="A148" t="str">
            <v>Louisiana Tech</v>
          </cell>
          <cell r="B148">
            <v>5.8923615444656878</v>
          </cell>
          <cell r="C148">
            <v>3.1313610341295908</v>
          </cell>
          <cell r="D148">
            <v>146</v>
          </cell>
          <cell r="E148">
            <v>3.200386046887993</v>
          </cell>
          <cell r="F148">
            <v>146</v>
          </cell>
          <cell r="G148">
            <v>0.24426621829907844</v>
          </cell>
        </row>
        <row r="149">
          <cell r="A149" t="str">
            <v>Loyola Marymount</v>
          </cell>
          <cell r="B149">
            <v>7.9556497051635517</v>
          </cell>
          <cell r="C149">
            <v>3.0683512573474685</v>
          </cell>
          <cell r="D149">
            <v>147</v>
          </cell>
          <cell r="E149">
            <v>3.1905337185428708</v>
          </cell>
          <cell r="F149">
            <v>147</v>
          </cell>
          <cell r="G149">
            <v>0.24321029257216253</v>
          </cell>
        </row>
        <row r="150">
          <cell r="A150" t="str">
            <v>Penn State</v>
          </cell>
          <cell r="B150">
            <v>13.199945506304053</v>
          </cell>
          <cell r="C150">
            <v>2.9215281346628372</v>
          </cell>
          <cell r="D150">
            <v>151</v>
          </cell>
          <cell r="E150">
            <v>3.1784885689538678</v>
          </cell>
          <cell r="F150">
            <v>148</v>
          </cell>
          <cell r="G150">
            <v>0.2419193506861386</v>
          </cell>
        </row>
        <row r="151">
          <cell r="A151" t="str">
            <v>UNC Wilmington</v>
          </cell>
          <cell r="B151">
            <v>11.452044273918382</v>
          </cell>
          <cell r="C151">
            <v>2.9137421472222003</v>
          </cell>
          <cell r="D151">
            <v>152</v>
          </cell>
          <cell r="E151">
            <v>3.127199700389605</v>
          </cell>
          <cell r="F151">
            <v>149</v>
          </cell>
          <cell r="G151">
            <v>0.23642245351378369</v>
          </cell>
        </row>
        <row r="152">
          <cell r="A152" t="str">
            <v>Wright State</v>
          </cell>
          <cell r="B152">
            <v>8.2226290065142429</v>
          </cell>
          <cell r="C152">
            <v>2.9620008697987288</v>
          </cell>
          <cell r="D152">
            <v>150</v>
          </cell>
          <cell r="E152">
            <v>3.093516573216617</v>
          </cell>
          <cell r="F152">
            <v>150</v>
          </cell>
          <cell r="G152">
            <v>0.23281245602902184</v>
          </cell>
        </row>
        <row r="153">
          <cell r="A153" t="str">
            <v>Richmond</v>
          </cell>
          <cell r="B153">
            <v>4.7143576609582825</v>
          </cell>
          <cell r="C153">
            <v>2.9797207975084938</v>
          </cell>
          <cell r="D153">
            <v>149</v>
          </cell>
          <cell r="E153">
            <v>3.0230867190947386</v>
          </cell>
          <cell r="F153">
            <v>151</v>
          </cell>
          <cell r="G153">
            <v>0.22526411899587312</v>
          </cell>
        </row>
        <row r="154">
          <cell r="A154" t="str">
            <v>Tarleton</v>
          </cell>
          <cell r="B154">
            <v>1.756369952207554</v>
          </cell>
          <cell r="C154">
            <v>3.0204471317114749</v>
          </cell>
          <cell r="D154">
            <v>148</v>
          </cell>
          <cell r="E154">
            <v>2.9888452022238772</v>
          </cell>
          <cell r="F154">
            <v>152</v>
          </cell>
          <cell r="G154">
            <v>0.22159427595714928</v>
          </cell>
        </row>
        <row r="155">
          <cell r="A155" t="str">
            <v>Rhode Island</v>
          </cell>
          <cell r="B155">
            <v>10.26520529831047</v>
          </cell>
          <cell r="C155">
            <v>2.439131600007248</v>
          </cell>
          <cell r="D155">
            <v>157</v>
          </cell>
          <cell r="E155">
            <v>2.6347834424648289</v>
          </cell>
          <cell r="F155">
            <v>154</v>
          </cell>
          <cell r="G155">
            <v>0.18364761929382359</v>
          </cell>
        </row>
        <row r="156">
          <cell r="A156" t="str">
            <v>UC Santa Barbara</v>
          </cell>
          <cell r="B156">
            <v>10.200974139185588</v>
          </cell>
          <cell r="C156">
            <v>2.4616468609607036</v>
          </cell>
          <cell r="D156">
            <v>156</v>
          </cell>
          <cell r="E156">
            <v>2.6551300429163258</v>
          </cell>
          <cell r="F156">
            <v>153</v>
          </cell>
          <cell r="G156">
            <v>0.1858282712290234</v>
          </cell>
        </row>
        <row r="157">
          <cell r="A157" t="str">
            <v>Hawaii</v>
          </cell>
          <cell r="B157">
            <v>6.6079361622356876</v>
          </cell>
          <cell r="C157">
            <v>2.5057604649745473</v>
          </cell>
          <cell r="D157">
            <v>153</v>
          </cell>
          <cell r="E157">
            <v>2.6083148574060759</v>
          </cell>
          <cell r="F157">
            <v>155</v>
          </cell>
          <cell r="G157">
            <v>0.18081084214434534</v>
          </cell>
        </row>
        <row r="158">
          <cell r="A158" t="str">
            <v>Texas A&amp;M-CC</v>
          </cell>
          <cell r="B158">
            <v>5.2676380276133958</v>
          </cell>
          <cell r="C158">
            <v>2.4875788696936061</v>
          </cell>
          <cell r="D158">
            <v>155</v>
          </cell>
          <cell r="E158">
            <v>2.5570803486416009</v>
          </cell>
          <cell r="F158">
            <v>156</v>
          </cell>
          <cell r="G158">
            <v>0.1753197709969761</v>
          </cell>
        </row>
        <row r="159">
          <cell r="A159" t="str">
            <v>Oregon State</v>
          </cell>
          <cell r="B159">
            <v>14.211715497060888</v>
          </cell>
          <cell r="C159">
            <v>2.2438449784588244</v>
          </cell>
          <cell r="D159">
            <v>160</v>
          </cell>
          <cell r="E159">
            <v>2.5430417414238762</v>
          </cell>
          <cell r="F159">
            <v>157</v>
          </cell>
          <cell r="G159">
            <v>0.17381517979660241</v>
          </cell>
        </row>
        <row r="160">
          <cell r="A160" t="str">
            <v>UMass</v>
          </cell>
          <cell r="B160">
            <v>3.4899893142971776</v>
          </cell>
          <cell r="C160">
            <v>2.4938317836158417</v>
          </cell>
          <cell r="D160">
            <v>154</v>
          </cell>
          <cell r="E160">
            <v>2.5187357218828748</v>
          </cell>
          <cell r="F160">
            <v>158</v>
          </cell>
          <cell r="G160">
            <v>0.17121017614130188</v>
          </cell>
        </row>
        <row r="161">
          <cell r="A161" t="str">
            <v>East Tennessee State</v>
          </cell>
          <cell r="B161">
            <v>10.948431749931771</v>
          </cell>
          <cell r="C161">
            <v>2.2899539554659611</v>
          </cell>
          <cell r="D161">
            <v>158</v>
          </cell>
          <cell r="E161">
            <v>2.5064159003276067</v>
          </cell>
          <cell r="F161">
            <v>159</v>
          </cell>
          <cell r="G161">
            <v>0.16988979621936581</v>
          </cell>
        </row>
        <row r="162">
          <cell r="A162" t="str">
            <v>William &amp; Mary</v>
          </cell>
          <cell r="B162">
            <v>8.8460788154082941</v>
          </cell>
          <cell r="C162">
            <v>2.215679990331815</v>
          </cell>
          <cell r="D162">
            <v>161</v>
          </cell>
          <cell r="E162">
            <v>2.3814399609587271</v>
          </cell>
          <cell r="F162">
            <v>160</v>
          </cell>
          <cell r="G162">
            <v>0.15649546901036457</v>
          </cell>
        </row>
        <row r="163">
          <cell r="A163" t="str">
            <v>Weber State</v>
          </cell>
          <cell r="B163">
            <v>1.9611137486645602</v>
          </cell>
          <cell r="C163">
            <v>2.287394244194664</v>
          </cell>
          <cell r="D163">
            <v>159</v>
          </cell>
          <cell r="E163">
            <v>2.2792372318064116</v>
          </cell>
          <cell r="F163">
            <v>161</v>
          </cell>
          <cell r="G163">
            <v>0.14554186623824628</v>
          </cell>
        </row>
        <row r="164">
          <cell r="A164" t="str">
            <v>Abilene Christian</v>
          </cell>
          <cell r="B164">
            <v>4.6587729498792365</v>
          </cell>
          <cell r="C164">
            <v>2.1706466551659203</v>
          </cell>
          <cell r="D164">
            <v>162</v>
          </cell>
          <cell r="E164">
            <v>2.2328498125337535</v>
          </cell>
          <cell r="F164">
            <v>163</v>
          </cell>
          <cell r="G164">
            <v>0.14057028310587072</v>
          </cell>
        </row>
        <row r="165">
          <cell r="A165" t="str">
            <v>Montana</v>
          </cell>
          <cell r="B165">
            <v>7.2388141003298552</v>
          </cell>
          <cell r="C165">
            <v>2.1093406902836316</v>
          </cell>
          <cell r="D165">
            <v>163</v>
          </cell>
          <cell r="E165">
            <v>2.2375775255347872</v>
          </cell>
          <cell r="F165">
            <v>162</v>
          </cell>
          <cell r="G165">
            <v>0.14107697691594231</v>
          </cell>
        </row>
        <row r="166">
          <cell r="A166" t="str">
            <v>Hofstra</v>
          </cell>
          <cell r="B166">
            <v>4.9840939446210539</v>
          </cell>
          <cell r="C166">
            <v>2.0579065609465963</v>
          </cell>
          <cell r="D166">
            <v>164</v>
          </cell>
          <cell r="E166">
            <v>2.1310612455384579</v>
          </cell>
          <cell r="F166">
            <v>164</v>
          </cell>
          <cell r="G166">
            <v>0.12966106826535531</v>
          </cell>
        </row>
        <row r="167">
          <cell r="A167" t="str">
            <v>UC San Diego</v>
          </cell>
          <cell r="B167">
            <v>13.658747039986601</v>
          </cell>
          <cell r="C167">
            <v>1.7878777780261246</v>
          </cell>
          <cell r="D167">
            <v>167</v>
          </cell>
          <cell r="E167">
            <v>2.0846495095751369</v>
          </cell>
          <cell r="F167">
            <v>165</v>
          </cell>
          <cell r="G167">
            <v>0.12468687898564433</v>
          </cell>
        </row>
        <row r="168">
          <cell r="A168" t="str">
            <v>Drake</v>
          </cell>
          <cell r="B168">
            <v>11.638031355552167</v>
          </cell>
          <cell r="C168">
            <v>1.7890991864047769</v>
          </cell>
          <cell r="D168">
            <v>166</v>
          </cell>
          <cell r="E168">
            <v>2.0353224906334622</v>
          </cell>
          <cell r="F168">
            <v>166</v>
          </cell>
          <cell r="G168">
            <v>0.11940024353176498</v>
          </cell>
        </row>
        <row r="169">
          <cell r="A169" t="str">
            <v>San Diego</v>
          </cell>
          <cell r="B169">
            <v>3.3518950872348374</v>
          </cell>
          <cell r="C169">
            <v>1.7996064230054192</v>
          </cell>
          <cell r="D169">
            <v>165</v>
          </cell>
          <cell r="E169">
            <v>1.8384136396111548</v>
          </cell>
          <cell r="F169">
            <v>167</v>
          </cell>
          <cell r="G169">
            <v>9.8296488726957967E-2</v>
          </cell>
        </row>
        <row r="170">
          <cell r="A170" t="str">
            <v>San Jose State</v>
          </cell>
          <cell r="B170">
            <v>6.9683420651099723</v>
          </cell>
          <cell r="C170">
            <v>1.5978283532316326</v>
          </cell>
          <cell r="D170">
            <v>170</v>
          </cell>
          <cell r="E170">
            <v>1.7320911960285912</v>
          </cell>
          <cell r="F170">
            <v>168</v>
          </cell>
          <cell r="G170">
            <v>8.6901354541952983E-2</v>
          </cell>
        </row>
        <row r="171">
          <cell r="A171" t="str">
            <v>Columbia</v>
          </cell>
          <cell r="B171">
            <v>6.0613304816433882</v>
          </cell>
          <cell r="C171">
            <v>1.5455321490945233</v>
          </cell>
          <cell r="D171">
            <v>172</v>
          </cell>
          <cell r="E171">
            <v>1.6584271074082448</v>
          </cell>
          <cell r="F171">
            <v>170</v>
          </cell>
          <cell r="G171">
            <v>7.900638762658943E-2</v>
          </cell>
        </row>
        <row r="172">
          <cell r="A172" t="str">
            <v>Utah Tech</v>
          </cell>
          <cell r="B172">
            <v>2.6815136307772209</v>
          </cell>
          <cell r="C172">
            <v>1.6558761620757962</v>
          </cell>
          <cell r="D172">
            <v>169</v>
          </cell>
          <cell r="E172">
            <v>1.6815170987933319</v>
          </cell>
          <cell r="F172">
            <v>169</v>
          </cell>
          <cell r="G172">
            <v>8.1481063163550346E-2</v>
          </cell>
        </row>
        <row r="173">
          <cell r="A173" t="str">
            <v>Eastern Washington</v>
          </cell>
          <cell r="B173">
            <v>4.5611014700271113</v>
          </cell>
          <cell r="C173">
            <v>1.5616930874930539</v>
          </cell>
          <cell r="D173">
            <v>171</v>
          </cell>
          <cell r="E173">
            <v>1.6366782970564053</v>
          </cell>
          <cell r="F173">
            <v>171</v>
          </cell>
          <cell r="G173">
            <v>7.667545349854725E-2</v>
          </cell>
        </row>
        <row r="174">
          <cell r="A174" t="str">
            <v>Temple</v>
          </cell>
          <cell r="B174">
            <v>7.8504390694144872</v>
          </cell>
          <cell r="C174">
            <v>1.4190000334839408</v>
          </cell>
          <cell r="D174">
            <v>174</v>
          </cell>
          <cell r="E174">
            <v>1.5797860093822047</v>
          </cell>
          <cell r="F174">
            <v>172</v>
          </cell>
          <cell r="G174">
            <v>7.0578008497332673E-2</v>
          </cell>
        </row>
        <row r="175">
          <cell r="A175" t="str">
            <v>CSU Fullerton</v>
          </cell>
          <cell r="B175">
            <v>-7.2289295991476736</v>
          </cell>
          <cell r="C175">
            <v>1.7339564861712184</v>
          </cell>
          <cell r="D175">
            <v>168</v>
          </cell>
          <cell r="E175">
            <v>1.509884334038246</v>
          </cell>
          <cell r="F175">
            <v>173</v>
          </cell>
          <cell r="G175">
            <v>6.3086279155328592E-2</v>
          </cell>
        </row>
        <row r="176">
          <cell r="A176" t="str">
            <v>Mercer</v>
          </cell>
          <cell r="B176">
            <v>4.2261109018042715</v>
          </cell>
          <cell r="C176">
            <v>1.4098193116829314</v>
          </cell>
          <cell r="D176">
            <v>175</v>
          </cell>
          <cell r="E176">
            <v>1.4802266014359649</v>
          </cell>
          <cell r="F176">
            <v>174</v>
          </cell>
          <cell r="G176">
            <v>5.990770432918141E-2</v>
          </cell>
        </row>
        <row r="177">
          <cell r="A177" t="str">
            <v>UTEP</v>
          </cell>
          <cell r="B177">
            <v>3.2977056297508884</v>
          </cell>
          <cell r="C177">
            <v>1.3827047844970597</v>
          </cell>
          <cell r="D177">
            <v>176</v>
          </cell>
          <cell r="E177">
            <v>1.4305798056284056</v>
          </cell>
          <cell r="F177">
            <v>175</v>
          </cell>
          <cell r="G177">
            <v>5.4586796710618564E-2</v>
          </cell>
        </row>
        <row r="178">
          <cell r="A178" t="str">
            <v>Northern Kentucky</v>
          </cell>
          <cell r="B178">
            <v>1.5128202582854133</v>
          </cell>
          <cell r="C178">
            <v>1.4262473931624204</v>
          </cell>
          <cell r="D178">
            <v>173</v>
          </cell>
          <cell r="E178">
            <v>1.4284117147904951</v>
          </cell>
          <cell r="F178">
            <v>176</v>
          </cell>
          <cell r="G178">
            <v>5.4354431038886375E-2</v>
          </cell>
        </row>
        <row r="179">
          <cell r="A179" t="str">
            <v>Troy</v>
          </cell>
          <cell r="B179">
            <v>8.6787585448606048</v>
          </cell>
          <cell r="C179">
            <v>1.1390707803410229</v>
          </cell>
          <cell r="D179">
            <v>178</v>
          </cell>
          <cell r="E179">
            <v>1.3275629744540127</v>
          </cell>
          <cell r="F179">
            <v>177</v>
          </cell>
          <cell r="G179">
            <v>4.3545942352952866E-2</v>
          </cell>
        </row>
        <row r="180">
          <cell r="A180" t="str">
            <v>UAB</v>
          </cell>
          <cell r="B180">
            <v>11.893851724735462</v>
          </cell>
          <cell r="C180">
            <v>0.92540884001914436</v>
          </cell>
          <cell r="D180">
            <v>179</v>
          </cell>
          <cell r="E180">
            <v>1.1996199121370525</v>
          </cell>
          <cell r="F180">
            <v>179</v>
          </cell>
          <cell r="G180">
            <v>2.9833613008207527E-2</v>
          </cell>
        </row>
        <row r="181">
          <cell r="A181" t="str">
            <v>Tennessee State</v>
          </cell>
          <cell r="B181">
            <v>4.6695105181924941</v>
          </cell>
          <cell r="C181">
            <v>1.1811098963152777</v>
          </cell>
          <cell r="D181">
            <v>177</v>
          </cell>
          <cell r="E181">
            <v>1.2683199118622084</v>
          </cell>
          <cell r="F181">
            <v>178</v>
          </cell>
          <cell r="G181">
            <v>3.7196552468586337E-2</v>
          </cell>
        </row>
        <row r="182">
          <cell r="A182" t="str">
            <v>St. Joseph's</v>
          </cell>
          <cell r="B182">
            <v>13.717931283626486</v>
          </cell>
          <cell r="C182">
            <v>0.69388438790165263</v>
          </cell>
          <cell r="D182">
            <v>186</v>
          </cell>
          <cell r="E182">
            <v>1.0194855602947737</v>
          </cell>
          <cell r="F182">
            <v>180</v>
          </cell>
          <cell r="G182">
            <v>1.0527669301433128E-2</v>
          </cell>
        </row>
        <row r="183">
          <cell r="A183" t="str">
            <v>Fordham</v>
          </cell>
          <cell r="B183">
            <v>6.7577083276114465</v>
          </cell>
          <cell r="C183">
            <v>0.80753050911373614</v>
          </cell>
          <cell r="D183">
            <v>182</v>
          </cell>
          <cell r="E183">
            <v>0.95628495457617901</v>
          </cell>
          <cell r="F183">
            <v>182</v>
          </cell>
          <cell r="G183">
            <v>3.7541287537336942E-3</v>
          </cell>
        </row>
        <row r="184">
          <cell r="A184" t="str">
            <v>Ohio</v>
          </cell>
          <cell r="B184">
            <v>10.971514953340339</v>
          </cell>
          <cell r="C184">
            <v>0.70036332094971154</v>
          </cell>
          <cell r="D184">
            <v>185</v>
          </cell>
          <cell r="E184">
            <v>0.9571421117594775</v>
          </cell>
          <cell r="F184">
            <v>181</v>
          </cell>
          <cell r="G184">
            <v>3.8459947868327393E-3</v>
          </cell>
        </row>
        <row r="185">
          <cell r="A185" t="str">
            <v>Oakland</v>
          </cell>
          <cell r="B185">
            <v>6.4695957108994113</v>
          </cell>
          <cell r="C185">
            <v>0.78900853267279292</v>
          </cell>
          <cell r="D185">
            <v>183</v>
          </cell>
          <cell r="E185">
            <v>0.93102321212845851</v>
          </cell>
          <cell r="F185">
            <v>183</v>
          </cell>
          <cell r="G185">
            <v>1.0466952595507258E-3</v>
          </cell>
        </row>
        <row r="186">
          <cell r="A186" t="str">
            <v>Portland</v>
          </cell>
          <cell r="B186">
            <v>3.6753800784627519</v>
          </cell>
          <cell r="C186">
            <v>0.84441339547836058</v>
          </cell>
          <cell r="D186">
            <v>180</v>
          </cell>
          <cell r="E186">
            <v>0.9151875625529704</v>
          </cell>
          <cell r="F186">
            <v>185</v>
          </cell>
          <cell r="G186">
            <v>-6.5049439993333531E-4</v>
          </cell>
        </row>
        <row r="187">
          <cell r="A187" t="str">
            <v>Valparaiso</v>
          </cell>
          <cell r="B187">
            <v>4.1024395871147687</v>
          </cell>
          <cell r="C187">
            <v>0.83757317142175514</v>
          </cell>
          <cell r="D187">
            <v>181</v>
          </cell>
          <cell r="E187">
            <v>0.91919483181408057</v>
          </cell>
          <cell r="F187">
            <v>184</v>
          </cell>
          <cell r="G187">
            <v>-2.2101432585718993E-4</v>
          </cell>
        </row>
        <row r="188">
          <cell r="A188" t="str">
            <v>Campbell</v>
          </cell>
          <cell r="B188">
            <v>7.7316653144052143</v>
          </cell>
          <cell r="C188">
            <v>0.66019360587244091</v>
          </cell>
          <cell r="D188">
            <v>187</v>
          </cell>
          <cell r="E188">
            <v>0.83698039858576034</v>
          </cell>
          <cell r="F188">
            <v>187</v>
          </cell>
          <cell r="G188">
            <v>-9.0323665391210395E-3</v>
          </cell>
        </row>
        <row r="189">
          <cell r="A189" t="str">
            <v>Idaho State</v>
          </cell>
          <cell r="B189">
            <v>5.3521542826006785</v>
          </cell>
          <cell r="C189">
            <v>0.72661870916698557</v>
          </cell>
          <cell r="D189">
            <v>184</v>
          </cell>
          <cell r="E189">
            <v>0.84225709850282804</v>
          </cell>
          <cell r="F189">
            <v>186</v>
          </cell>
          <cell r="G189">
            <v>-8.4668349205564326E-3</v>
          </cell>
        </row>
        <row r="190">
          <cell r="A190" t="str">
            <v>Robert Morris</v>
          </cell>
          <cell r="B190">
            <v>9.3468193830940063</v>
          </cell>
          <cell r="C190">
            <v>0.60080124981583582</v>
          </cell>
          <cell r="D190">
            <v>188</v>
          </cell>
          <cell r="E190">
            <v>0.81945170314779037</v>
          </cell>
          <cell r="F190">
            <v>188</v>
          </cell>
          <cell r="G190">
            <v>-1.0911008807614852E-2</v>
          </cell>
        </row>
        <row r="191">
          <cell r="A191" t="str">
            <v>Arkansas State</v>
          </cell>
          <cell r="B191">
            <v>10.32698899515729</v>
          </cell>
          <cell r="C191">
            <v>0.26765096284355649</v>
          </cell>
          <cell r="D191">
            <v>191</v>
          </cell>
          <cell r="E191">
            <v>0.51913441365140001</v>
          </cell>
          <cell r="F191">
            <v>189</v>
          </cell>
          <cell r="G191">
            <v>-4.3097588579278208E-2</v>
          </cell>
        </row>
        <row r="192">
          <cell r="A192" t="str">
            <v>Western Carolina</v>
          </cell>
          <cell r="B192">
            <v>-2.0856588670615377</v>
          </cell>
          <cell r="C192">
            <v>0.55730981040273642</v>
          </cell>
          <cell r="D192">
            <v>189</v>
          </cell>
          <cell r="E192">
            <v>0.49123559346612955</v>
          </cell>
          <cell r="F192">
            <v>190</v>
          </cell>
          <cell r="G192">
            <v>-4.6087651532144898E-2</v>
          </cell>
        </row>
        <row r="193">
          <cell r="A193" t="str">
            <v>Boston College</v>
          </cell>
          <cell r="B193">
            <v>10.806740653842446</v>
          </cell>
          <cell r="C193">
            <v>0.18701789700384239</v>
          </cell>
          <cell r="D193">
            <v>195</v>
          </cell>
          <cell r="E193">
            <v>0.45251096592480777</v>
          </cell>
          <cell r="F193">
            <v>191</v>
          </cell>
          <cell r="G193">
            <v>-5.0237973065669815E-2</v>
          </cell>
        </row>
        <row r="194">
          <cell r="A194" t="str">
            <v>South Dakota State</v>
          </cell>
          <cell r="B194">
            <v>7.2431333970691121</v>
          </cell>
          <cell r="C194">
            <v>0.20359169827465964</v>
          </cell>
          <cell r="D194">
            <v>193</v>
          </cell>
          <cell r="E194">
            <v>0.37958024074452112</v>
          </cell>
          <cell r="F194">
            <v>192</v>
          </cell>
          <cell r="G194">
            <v>-5.8054341572980707E-2</v>
          </cell>
        </row>
        <row r="195">
          <cell r="A195" t="str">
            <v>Austin Peay</v>
          </cell>
          <cell r="B195">
            <v>4.0889739876354199</v>
          </cell>
          <cell r="C195">
            <v>0.2810888478805425</v>
          </cell>
          <cell r="D195">
            <v>190</v>
          </cell>
          <cell r="E195">
            <v>0.37628597637441452</v>
          </cell>
          <cell r="F195">
            <v>193</v>
          </cell>
          <cell r="G195">
            <v>-5.840740517153406E-2</v>
          </cell>
        </row>
        <row r="196">
          <cell r="A196" t="str">
            <v>CSU Northridge</v>
          </cell>
          <cell r="B196">
            <v>6.6453279658500097</v>
          </cell>
          <cell r="C196">
            <v>0.20565964803961734</v>
          </cell>
          <cell r="D196">
            <v>192</v>
          </cell>
          <cell r="E196">
            <v>0.3666513559848773</v>
          </cell>
          <cell r="F196">
            <v>194</v>
          </cell>
          <cell r="G196">
            <v>-5.9439997994469952E-2</v>
          </cell>
        </row>
        <row r="197">
          <cell r="A197" t="str">
            <v>UC Davis</v>
          </cell>
          <cell r="B197">
            <v>1.6068695599259029</v>
          </cell>
          <cell r="C197">
            <v>0.20148298567167791</v>
          </cell>
          <cell r="D197">
            <v>194</v>
          </cell>
          <cell r="E197">
            <v>0.23661765002803356</v>
          </cell>
          <cell r="F197">
            <v>195</v>
          </cell>
          <cell r="G197">
            <v>-7.3376392588345885E-2</v>
          </cell>
        </row>
        <row r="198">
          <cell r="A198" t="str">
            <v>Furman</v>
          </cell>
          <cell r="B198">
            <v>9.7417903789513538</v>
          </cell>
          <cell r="C198">
            <v>-3.1200725777666527E-2</v>
          </cell>
          <cell r="D198">
            <v>196</v>
          </cell>
          <cell r="E198">
            <v>0.21312405184055921</v>
          </cell>
          <cell r="F198">
            <v>196</v>
          </cell>
          <cell r="G198">
            <v>-7.5894324784166523E-2</v>
          </cell>
        </row>
        <row r="199">
          <cell r="A199" t="str">
            <v>Southern Utah</v>
          </cell>
          <cell r="B199">
            <v>-0.85868020363852504</v>
          </cell>
          <cell r="C199">
            <v>-5.5841858799838121E-2</v>
          </cell>
          <cell r="D199">
            <v>197</v>
          </cell>
          <cell r="E199">
            <v>-7.5912817420805301E-2</v>
          </cell>
          <cell r="F199">
            <v>197</v>
          </cell>
          <cell r="G199">
            <v>-0.10687192272743964</v>
          </cell>
        </row>
        <row r="200">
          <cell r="A200" t="str">
            <v>Youngstown State</v>
          </cell>
          <cell r="B200">
            <v>7.074926011375049</v>
          </cell>
          <cell r="C200">
            <v>-0.30137819988892867</v>
          </cell>
          <cell r="D200">
            <v>200</v>
          </cell>
          <cell r="E200">
            <v>-0.11697059460732906</v>
          </cell>
          <cell r="F200">
            <v>198</v>
          </cell>
          <cell r="G200">
            <v>-0.11127230015118804</v>
          </cell>
        </row>
        <row r="201">
          <cell r="A201" t="str">
            <v>Radford</v>
          </cell>
          <cell r="B201">
            <v>11.500175544773906</v>
          </cell>
          <cell r="C201">
            <v>-0.55133660342020208</v>
          </cell>
          <cell r="D201">
            <v>204</v>
          </cell>
          <cell r="E201">
            <v>-0.2500487997153491</v>
          </cell>
          <cell r="F201">
            <v>199</v>
          </cell>
          <cell r="G201">
            <v>-0.12553498969451035</v>
          </cell>
        </row>
        <row r="202">
          <cell r="A202" t="str">
            <v>Lamar</v>
          </cell>
          <cell r="B202">
            <v>3.7898435317739021</v>
          </cell>
          <cell r="C202">
            <v>-0.40715739737596668</v>
          </cell>
          <cell r="D202">
            <v>201</v>
          </cell>
          <cell r="E202">
            <v>-0.30223237414721982</v>
          </cell>
          <cell r="F202">
            <v>200</v>
          </cell>
          <cell r="G202">
            <v>-0.13112777718949115</v>
          </cell>
        </row>
        <row r="203">
          <cell r="A203" t="str">
            <v>Buffalo</v>
          </cell>
          <cell r="B203">
            <v>-1.3203775832630009</v>
          </cell>
          <cell r="C203">
            <v>-0.30115827581118337</v>
          </cell>
          <cell r="D203">
            <v>199</v>
          </cell>
          <cell r="E203">
            <v>-0.32663875849747881</v>
          </cell>
          <cell r="F203">
            <v>201</v>
          </cell>
          <cell r="G203">
            <v>-0.13374353746804454</v>
          </cell>
        </row>
        <row r="204">
          <cell r="A204" t="str">
            <v>Pennsylvania</v>
          </cell>
          <cell r="B204">
            <v>5.1621152313096248</v>
          </cell>
          <cell r="C204">
            <v>-0.50467692456121316</v>
          </cell>
          <cell r="D204">
            <v>202</v>
          </cell>
          <cell r="E204">
            <v>-0.36300712066444207</v>
          </cell>
          <cell r="F204">
            <v>203</v>
          </cell>
          <cell r="G204">
            <v>-0.13764132567735704</v>
          </cell>
        </row>
        <row r="205">
          <cell r="A205" t="str">
            <v>Central Arkansas</v>
          </cell>
          <cell r="B205">
            <v>-2.8044829720709332</v>
          </cell>
          <cell r="C205">
            <v>-0.27604497406174183</v>
          </cell>
          <cell r="D205">
            <v>198</v>
          </cell>
          <cell r="E205">
            <v>-0.33925592401197169</v>
          </cell>
          <cell r="F205">
            <v>202</v>
          </cell>
          <cell r="G205">
            <v>-0.13509578530234509</v>
          </cell>
        </row>
        <row r="206">
          <cell r="A206" t="str">
            <v>Incarnate Word</v>
          </cell>
          <cell r="B206">
            <v>3.4851643994280979</v>
          </cell>
          <cell r="C206">
            <v>-0.53915466295019576</v>
          </cell>
          <cell r="D206">
            <v>203</v>
          </cell>
          <cell r="E206">
            <v>-0.43854668639073835</v>
          </cell>
          <cell r="F206">
            <v>204</v>
          </cell>
          <cell r="G206">
            <v>-0.14573729731536511</v>
          </cell>
        </row>
        <row r="207">
          <cell r="A207" t="str">
            <v>Charlotte</v>
          </cell>
          <cell r="B207">
            <v>5.1348821179057866</v>
          </cell>
          <cell r="C207">
            <v>-0.77409797151145165</v>
          </cell>
          <cell r="D207">
            <v>206</v>
          </cell>
          <cell r="E207">
            <v>-0.62637346927602056</v>
          </cell>
          <cell r="F207">
            <v>206</v>
          </cell>
          <cell r="G207">
            <v>-0.16586767922154799</v>
          </cell>
        </row>
        <row r="208">
          <cell r="A208" t="str">
            <v>Southeast Missouri State</v>
          </cell>
          <cell r="B208">
            <v>5.4277423396745084</v>
          </cell>
          <cell r="C208">
            <v>-0.60483610813717115</v>
          </cell>
          <cell r="D208">
            <v>205</v>
          </cell>
          <cell r="E208">
            <v>-0.45402164694187908</v>
          </cell>
          <cell r="F208">
            <v>205</v>
          </cell>
          <cell r="G208">
            <v>-0.14739583003946463</v>
          </cell>
        </row>
        <row r="209">
          <cell r="A209" t="str">
            <v>Sacramento State</v>
          </cell>
          <cell r="B209">
            <v>3.894048967658652</v>
          </cell>
          <cell r="C209">
            <v>-0.8020815170682859</v>
          </cell>
          <cell r="D209">
            <v>207</v>
          </cell>
          <cell r="E209">
            <v>-0.68467825495011236</v>
          </cell>
          <cell r="F209">
            <v>207</v>
          </cell>
          <cell r="G209">
            <v>-0.17211650904521839</v>
          </cell>
        </row>
        <row r="210">
          <cell r="A210" t="str">
            <v>Detroit</v>
          </cell>
          <cell r="B210">
            <v>3.0738830602115068</v>
          </cell>
          <cell r="C210">
            <v>-0.81614918579222784</v>
          </cell>
          <cell r="D210">
            <v>208</v>
          </cell>
          <cell r="E210">
            <v>-0.71889837964213432</v>
          </cell>
          <cell r="F210">
            <v>208</v>
          </cell>
          <cell r="G210">
            <v>-0.17578405937188471</v>
          </cell>
        </row>
        <row r="211">
          <cell r="A211" t="str">
            <v>UNC Asheville</v>
          </cell>
          <cell r="B211">
            <v>4.2597310343300681</v>
          </cell>
          <cell r="C211">
            <v>-0.87503924155971835</v>
          </cell>
          <cell r="D211">
            <v>209</v>
          </cell>
          <cell r="E211">
            <v>-0.74666998466247358</v>
          </cell>
          <cell r="F211">
            <v>210</v>
          </cell>
          <cell r="G211">
            <v>-0.17876048800798899</v>
          </cell>
        </row>
        <row r="212">
          <cell r="A212" t="str">
            <v>Indiana State</v>
          </cell>
          <cell r="B212">
            <v>8.8774779405919997</v>
          </cell>
          <cell r="C212">
            <v>-0.98289877442602425</v>
          </cell>
          <cell r="D212">
            <v>210</v>
          </cell>
          <cell r="E212">
            <v>-0.73638935655057347</v>
          </cell>
          <cell r="F212">
            <v>209</v>
          </cell>
          <cell r="G212">
            <v>-0.17765865914764808</v>
          </cell>
        </row>
        <row r="213">
          <cell r="A213" t="str">
            <v>Charleston</v>
          </cell>
          <cell r="B213">
            <v>10.158178405440189</v>
          </cell>
          <cell r="C213">
            <v>-1.3017712197453721</v>
          </cell>
          <cell r="D213">
            <v>214</v>
          </cell>
          <cell r="E213">
            <v>-1.0152724791157328</v>
          </cell>
          <cell r="F213">
            <v>211</v>
          </cell>
          <cell r="G213">
            <v>-0.20754802677768577</v>
          </cell>
        </row>
        <row r="214">
          <cell r="A214" t="str">
            <v>Marshall</v>
          </cell>
          <cell r="B214">
            <v>2.7500123349197647</v>
          </cell>
          <cell r="C214">
            <v>-1.1339736002379057</v>
          </cell>
          <cell r="D214">
            <v>211</v>
          </cell>
          <cell r="E214">
            <v>-1.036873951858964</v>
          </cell>
          <cell r="F214">
            <v>212</v>
          </cell>
          <cell r="G214">
            <v>-0.20986316996108809</v>
          </cell>
        </row>
        <row r="215">
          <cell r="A215" t="str">
            <v>Rice</v>
          </cell>
          <cell r="B215">
            <v>5.2635459972994534</v>
          </cell>
          <cell r="C215">
            <v>-1.2003926894418675</v>
          </cell>
          <cell r="D215">
            <v>212</v>
          </cell>
          <cell r="E215">
            <v>-1.0387942222733342</v>
          </cell>
          <cell r="F215">
            <v>213</v>
          </cell>
          <cell r="G215">
            <v>-0.21006897541764016</v>
          </cell>
        </row>
        <row r="216">
          <cell r="A216" t="str">
            <v>Samford</v>
          </cell>
          <cell r="B216">
            <v>11.451234349297978</v>
          </cell>
          <cell r="C216">
            <v>-1.4567007840949915</v>
          </cell>
          <cell r="D216">
            <v>216</v>
          </cell>
          <cell r="E216">
            <v>-1.134002405760167</v>
          </cell>
          <cell r="F216">
            <v>214</v>
          </cell>
          <cell r="G216">
            <v>-0.22027293602827608</v>
          </cell>
        </row>
        <row r="217">
          <cell r="A217" t="str">
            <v>Nicholls</v>
          </cell>
          <cell r="B217">
            <v>1.0226165627622905</v>
          </cell>
          <cell r="C217">
            <v>-1.2455505994438387</v>
          </cell>
          <cell r="D217">
            <v>213</v>
          </cell>
          <cell r="E217">
            <v>-1.1888464203886855</v>
          </cell>
          <cell r="F217">
            <v>215</v>
          </cell>
          <cell r="G217">
            <v>-0.22615085685927205</v>
          </cell>
        </row>
        <row r="218">
          <cell r="A218" t="str">
            <v>Purdue Fort Wayne</v>
          </cell>
          <cell r="B218">
            <v>7.7812777392935741</v>
          </cell>
          <cell r="C218">
            <v>-1.5211768628906399</v>
          </cell>
          <cell r="D218">
            <v>218</v>
          </cell>
          <cell r="E218">
            <v>-1.2886154978360342</v>
          </cell>
          <cell r="F218">
            <v>216</v>
          </cell>
          <cell r="G218">
            <v>-0.23684363240805692</v>
          </cell>
        </row>
        <row r="219">
          <cell r="A219" t="str">
            <v>Cal Poly</v>
          </cell>
          <cell r="B219">
            <v>7.8024418664198771</v>
          </cell>
          <cell r="C219">
            <v>-1.5768734346881612</v>
          </cell>
          <cell r="D219">
            <v>220</v>
          </cell>
          <cell r="E219">
            <v>-1.34239055216046</v>
          </cell>
          <cell r="F219">
            <v>217</v>
          </cell>
          <cell r="G219">
            <v>-0.24260698715410281</v>
          </cell>
        </row>
        <row r="220">
          <cell r="A220" t="str">
            <v>New Orleans</v>
          </cell>
          <cell r="B220">
            <v>1.348849061961795</v>
          </cell>
          <cell r="C220">
            <v>-1.4256565335857154</v>
          </cell>
          <cell r="D220">
            <v>215</v>
          </cell>
          <cell r="E220">
            <v>-1.3562938936970275</v>
          </cell>
          <cell r="F220">
            <v>218</v>
          </cell>
          <cell r="G220">
            <v>-0.24409708122164661</v>
          </cell>
        </row>
        <row r="221">
          <cell r="A221" t="str">
            <v>Pepperdine</v>
          </cell>
          <cell r="B221">
            <v>4.5307464261683457</v>
          </cell>
          <cell r="C221">
            <v>-1.550845434163477</v>
          </cell>
          <cell r="D221">
            <v>219</v>
          </cell>
          <cell r="E221">
            <v>-1.3988056376551812</v>
          </cell>
          <cell r="F221">
            <v>221</v>
          </cell>
          <cell r="G221">
            <v>-0.2486532878937173</v>
          </cell>
        </row>
        <row r="222">
          <cell r="A222" t="str">
            <v>Lipscomb</v>
          </cell>
          <cell r="B222">
            <v>9.3932974825499684</v>
          </cell>
          <cell r="C222">
            <v>-1.6640614327000833</v>
          </cell>
          <cell r="D222">
            <v>221</v>
          </cell>
          <cell r="E222">
            <v>-1.3876274598188318</v>
          </cell>
          <cell r="F222">
            <v>219</v>
          </cell>
          <cell r="G222">
            <v>-0.24745526391969025</v>
          </cell>
        </row>
        <row r="223">
          <cell r="A223" t="str">
            <v>Georgia Tech</v>
          </cell>
          <cell r="B223">
            <v>14.526399974517997</v>
          </cell>
          <cell r="C223">
            <v>-1.9138321126411149</v>
          </cell>
          <cell r="D223">
            <v>229</v>
          </cell>
          <cell r="E223">
            <v>-1.5028263104621367</v>
          </cell>
          <cell r="F223">
            <v>222</v>
          </cell>
          <cell r="G223">
            <v>-0.25980172922660771</v>
          </cell>
        </row>
        <row r="224">
          <cell r="A224" t="str">
            <v>Towson</v>
          </cell>
          <cell r="B224">
            <v>9.9522452346244599</v>
          </cell>
          <cell r="C224">
            <v>-1.8663899655470402</v>
          </cell>
          <cell r="D224">
            <v>228</v>
          </cell>
          <cell r="E224">
            <v>-1.5709240855427524</v>
          </cell>
          <cell r="F224">
            <v>225</v>
          </cell>
          <cell r="G224">
            <v>-0.26710012511177489</v>
          </cell>
        </row>
        <row r="225">
          <cell r="A225" t="str">
            <v>Northern Arizona</v>
          </cell>
          <cell r="B225">
            <v>4.0594954007386894</v>
          </cell>
          <cell r="C225">
            <v>-1.697388026356468</v>
          </cell>
          <cell r="D225">
            <v>223</v>
          </cell>
          <cell r="E225">
            <v>-1.5534659406790889</v>
          </cell>
          <cell r="F225">
            <v>223</v>
          </cell>
          <cell r="G225">
            <v>-0.26522904411852988</v>
          </cell>
        </row>
        <row r="226">
          <cell r="A226" t="str">
            <v>Elon</v>
          </cell>
          <cell r="B226">
            <v>6.6277636094692962</v>
          </cell>
          <cell r="C226">
            <v>-1.7871060394323066</v>
          </cell>
          <cell r="D226">
            <v>226</v>
          </cell>
          <cell r="E226">
            <v>-1.5767342982097663</v>
          </cell>
          <cell r="F226">
            <v>226</v>
          </cell>
          <cell r="G226">
            <v>-0.26772283609125525</v>
          </cell>
        </row>
        <row r="227">
          <cell r="A227" t="str">
            <v>North Dakota</v>
          </cell>
          <cell r="B227">
            <v>3.4690131796803656</v>
          </cell>
          <cell r="C227">
            <v>-1.6876889147934544</v>
          </cell>
          <cell r="D227">
            <v>222</v>
          </cell>
          <cell r="E227">
            <v>-1.5587713624316089</v>
          </cell>
          <cell r="F227">
            <v>224</v>
          </cell>
          <cell r="G227">
            <v>-0.26579765400691213</v>
          </cell>
        </row>
        <row r="228">
          <cell r="A228" t="str">
            <v>UT Martin</v>
          </cell>
          <cell r="B228">
            <v>1.4009433721796851</v>
          </cell>
          <cell r="C228">
            <v>-1.4671755091487677</v>
          </cell>
          <cell r="D228">
            <v>217</v>
          </cell>
          <cell r="E228">
            <v>-1.3954725371155563</v>
          </cell>
          <cell r="F228">
            <v>220</v>
          </cell>
          <cell r="G228">
            <v>-0.24829606201909149</v>
          </cell>
        </row>
        <row r="229">
          <cell r="A229" t="str">
            <v>Eastern Michigan</v>
          </cell>
          <cell r="B229">
            <v>3.6803978199142771</v>
          </cell>
          <cell r="C229">
            <v>-1.765575243359671</v>
          </cell>
          <cell r="D229">
            <v>225</v>
          </cell>
          <cell r="E229">
            <v>-1.6294259167778222</v>
          </cell>
          <cell r="F229">
            <v>227</v>
          </cell>
          <cell r="G229">
            <v>-0.27337007334217339</v>
          </cell>
        </row>
        <row r="230">
          <cell r="A230" t="str">
            <v>Denver</v>
          </cell>
          <cell r="B230">
            <v>0.36918564567312445</v>
          </cell>
          <cell r="C230">
            <v>-1.7342901958076109</v>
          </cell>
          <cell r="D230">
            <v>224</v>
          </cell>
          <cell r="E230">
            <v>-1.6817032997705923</v>
          </cell>
          <cell r="F230">
            <v>228</v>
          </cell>
          <cell r="G230">
            <v>-0.27897291479286784</v>
          </cell>
        </row>
        <row r="231">
          <cell r="A231" t="str">
            <v>Long Beach State</v>
          </cell>
          <cell r="B231">
            <v>1.2208684660189704</v>
          </cell>
          <cell r="C231">
            <v>-1.7976631945310806</v>
          </cell>
          <cell r="D231">
            <v>227</v>
          </cell>
          <cell r="E231">
            <v>-1.7221999030173292</v>
          </cell>
          <cell r="F231">
            <v>229</v>
          </cell>
          <cell r="G231">
            <v>-0.28331314826083864</v>
          </cell>
        </row>
        <row r="232">
          <cell r="A232" t="str">
            <v>La Salle</v>
          </cell>
          <cell r="B232">
            <v>4.492068858636137</v>
          </cell>
          <cell r="C232">
            <v>-2.1598870775851831</v>
          </cell>
          <cell r="D232">
            <v>230</v>
          </cell>
          <cell r="E232">
            <v>-1.9935881791796501</v>
          </cell>
          <cell r="F232">
            <v>230</v>
          </cell>
          <cell r="G232">
            <v>-0.31239925387414114</v>
          </cell>
        </row>
        <row r="233">
          <cell r="A233" t="str">
            <v>Monmouth</v>
          </cell>
          <cell r="B233">
            <v>6.6832992405279015</v>
          </cell>
          <cell r="C233">
            <v>-2.3526343768916917</v>
          </cell>
          <cell r="D233">
            <v>231</v>
          </cell>
          <cell r="E233">
            <v>-2.1267360364562014</v>
          </cell>
          <cell r="F233">
            <v>231</v>
          </cell>
          <cell r="G233">
            <v>-0.32666940840585107</v>
          </cell>
        </row>
        <row r="234">
          <cell r="A234" t="str">
            <v>Queens University</v>
          </cell>
          <cell r="B234">
            <v>6.4572474756565583</v>
          </cell>
          <cell r="C234">
            <v>-2.6508411684646385</v>
          </cell>
          <cell r="D234">
            <v>233</v>
          </cell>
          <cell r="E234">
            <v>-2.423138952361608</v>
          </cell>
          <cell r="F234">
            <v>232</v>
          </cell>
          <cell r="G234">
            <v>-0.35843646421985764</v>
          </cell>
        </row>
        <row r="235">
          <cell r="A235" t="str">
            <v>Evansville</v>
          </cell>
          <cell r="B235">
            <v>4.3691824347942907</v>
          </cell>
          <cell r="C235">
            <v>-2.6009868999616059</v>
          </cell>
          <cell r="D235">
            <v>232</v>
          </cell>
          <cell r="E235">
            <v>-2.4267326665927085</v>
          </cell>
          <cell r="F235">
            <v>233</v>
          </cell>
          <cell r="G235">
            <v>-0.35882162143131835</v>
          </cell>
        </row>
        <row r="236">
          <cell r="A236" t="str">
            <v>Wofford</v>
          </cell>
          <cell r="B236">
            <v>8.0631803230915775</v>
          </cell>
          <cell r="C236">
            <v>-2.7977987850139758</v>
          </cell>
          <cell r="D236">
            <v>236</v>
          </cell>
          <cell r="E236">
            <v>-2.5262743073113367</v>
          </cell>
          <cell r="F236">
            <v>234</v>
          </cell>
          <cell r="G236">
            <v>-0.36949002139245646</v>
          </cell>
        </row>
        <row r="237">
          <cell r="A237" t="str">
            <v>Green Bay</v>
          </cell>
          <cell r="B237">
            <v>2.6830598195711364</v>
          </cell>
          <cell r="C237">
            <v>-2.7230191140289883</v>
          </cell>
          <cell r="D237">
            <v>234</v>
          </cell>
          <cell r="E237">
            <v>-2.587867140688985</v>
          </cell>
          <cell r="F237">
            <v>235</v>
          </cell>
          <cell r="G237">
            <v>-0.37609124854190523</v>
          </cell>
        </row>
        <row r="238">
          <cell r="A238" t="str">
            <v>Brown</v>
          </cell>
          <cell r="B238">
            <v>9.5482789765623082</v>
          </cell>
          <cell r="C238">
            <v>-2.9904063657057804</v>
          </cell>
          <cell r="D238">
            <v>238</v>
          </cell>
          <cell r="E238">
            <v>-2.6769392321490777</v>
          </cell>
          <cell r="F238">
            <v>236</v>
          </cell>
          <cell r="G238">
            <v>-0.38563757197209064</v>
          </cell>
        </row>
        <row r="239">
          <cell r="A239" t="str">
            <v>Harvard</v>
          </cell>
          <cell r="B239">
            <v>5.4378845535956453</v>
          </cell>
          <cell r="C239">
            <v>-2.9058226688946172</v>
          </cell>
          <cell r="D239">
            <v>237</v>
          </cell>
          <cell r="E239">
            <v>-2.6972299883323605</v>
          </cell>
          <cell r="F239">
            <v>238</v>
          </cell>
          <cell r="G239">
            <v>-0.38781223878403409</v>
          </cell>
        </row>
        <row r="240">
          <cell r="A240" t="str">
            <v>Omaha</v>
          </cell>
          <cell r="B240">
            <v>9.0740641308806893</v>
          </cell>
          <cell r="C240">
            <v>-2.9906002605495856</v>
          </cell>
          <cell r="D240">
            <v>239</v>
          </cell>
          <cell r="E240">
            <v>-2.6889836507638285</v>
          </cell>
          <cell r="F240">
            <v>237</v>
          </cell>
          <cell r="G240">
            <v>-0.38692843551576833</v>
          </cell>
        </row>
        <row r="241">
          <cell r="A241" t="str">
            <v>Milwaukee</v>
          </cell>
          <cell r="B241">
            <v>6.5120857155422751</v>
          </cell>
          <cell r="C241">
            <v>-3.0741002974846063</v>
          </cell>
          <cell r="D241">
            <v>240</v>
          </cell>
          <cell r="E241">
            <v>-2.8344456471589341</v>
          </cell>
          <cell r="F241">
            <v>240</v>
          </cell>
          <cell r="G241">
            <v>-0.40251836095285426</v>
          </cell>
        </row>
        <row r="242">
          <cell r="A242" t="str">
            <v>Tulane</v>
          </cell>
          <cell r="B242">
            <v>9.7375892223179346</v>
          </cell>
          <cell r="C242">
            <v>-3.1951591031074047</v>
          </cell>
          <cell r="D242">
            <v>241</v>
          </cell>
          <cell r="E242">
            <v>-2.8718403949717706</v>
          </cell>
          <cell r="F242">
            <v>241</v>
          </cell>
          <cell r="G242">
            <v>-0.4065261522975932</v>
          </cell>
        </row>
        <row r="243">
          <cell r="A243" t="str">
            <v>Lindenwood</v>
          </cell>
          <cell r="B243">
            <v>-1.2050091767509699</v>
          </cell>
          <cell r="C243">
            <v>-2.7400856285607862</v>
          </cell>
          <cell r="D243">
            <v>235</v>
          </cell>
          <cell r="E243">
            <v>-2.7017087172655407</v>
          </cell>
          <cell r="F243">
            <v>239</v>
          </cell>
          <cell r="G243">
            <v>-0.38829224766505854</v>
          </cell>
        </row>
        <row r="244">
          <cell r="A244" t="str">
            <v>Presbyterian</v>
          </cell>
          <cell r="B244">
            <v>6.7546360380526451</v>
          </cell>
          <cell r="C244">
            <v>-3.2424377787888212</v>
          </cell>
          <cell r="D244">
            <v>242</v>
          </cell>
          <cell r="E244">
            <v>-2.9925109333677842</v>
          </cell>
          <cell r="F244">
            <v>242</v>
          </cell>
          <cell r="G244">
            <v>-0.41945904709258147</v>
          </cell>
        </row>
        <row r="245">
          <cell r="A245" t="str">
            <v>Dartmouth</v>
          </cell>
          <cell r="B245">
            <v>8.6555887772307827</v>
          </cell>
          <cell r="C245">
            <v>-3.3808541918034494</v>
          </cell>
          <cell r="D245">
            <v>243</v>
          </cell>
          <cell r="E245">
            <v>-3.0799431175775935</v>
          </cell>
          <cell r="F245">
            <v>243</v>
          </cell>
          <cell r="G245">
            <v>-0.42882961305766093</v>
          </cell>
        </row>
        <row r="246">
          <cell r="A246" t="str">
            <v>Chattanooga</v>
          </cell>
          <cell r="B246">
            <v>11.016449731589821</v>
          </cell>
          <cell r="C246">
            <v>-3.4615301993266931</v>
          </cell>
          <cell r="D246">
            <v>244</v>
          </cell>
          <cell r="E246">
            <v>-3.0995807010537799</v>
          </cell>
          <cell r="F246">
            <v>244</v>
          </cell>
          <cell r="G246">
            <v>-0.43093427592318861</v>
          </cell>
        </row>
        <row r="247">
          <cell r="A247" t="str">
            <v>Georgia Southern</v>
          </cell>
          <cell r="B247">
            <v>6.2416733937474866</v>
          </cell>
          <cell r="C247">
            <v>-3.4799260321687071</v>
          </cell>
          <cell r="D247">
            <v>245</v>
          </cell>
          <cell r="E247">
            <v>-3.236886046520802</v>
          </cell>
          <cell r="F247">
            <v>245</v>
          </cell>
          <cell r="G247">
            <v>-0.44565001027987872</v>
          </cell>
        </row>
        <row r="248">
          <cell r="A248" t="str">
            <v>Western Michigan</v>
          </cell>
          <cell r="B248">
            <v>2.3269731455630396</v>
          </cell>
          <cell r="C248">
            <v>-3.545331239379609</v>
          </cell>
          <cell r="D248">
            <v>246</v>
          </cell>
          <cell r="E248">
            <v>-3.3985236297560424</v>
          </cell>
          <cell r="F248">
            <v>246</v>
          </cell>
          <cell r="G248">
            <v>-0.46297355823685532</v>
          </cell>
        </row>
        <row r="249">
          <cell r="A249" t="str">
            <v>Central Michigan</v>
          </cell>
          <cell r="B249">
            <v>2.7315809547352998</v>
          </cell>
          <cell r="C249">
            <v>-3.6095656487495837</v>
          </cell>
          <cell r="D249">
            <v>247</v>
          </cell>
          <cell r="E249">
            <v>-3.4510369836624615</v>
          </cell>
          <cell r="F249">
            <v>247</v>
          </cell>
          <cell r="G249">
            <v>-0.46860168992857687</v>
          </cell>
        </row>
        <row r="250">
          <cell r="A250" t="str">
            <v>UC Riverside</v>
          </cell>
          <cell r="B250">
            <v>4.4307067015422144</v>
          </cell>
          <cell r="C250">
            <v>-3.6629389753073185</v>
          </cell>
          <cell r="D250">
            <v>248</v>
          </cell>
          <cell r="E250">
            <v>-3.4605978333860796</v>
          </cell>
          <cell r="F250">
            <v>248</v>
          </cell>
          <cell r="G250">
            <v>-0.46962637636214905</v>
          </cell>
        </row>
        <row r="251">
          <cell r="A251" t="str">
            <v>Stony Brook</v>
          </cell>
          <cell r="B251">
            <v>2.9610672296415865</v>
          </cell>
          <cell r="C251">
            <v>-3.6665530767117502</v>
          </cell>
          <cell r="D251">
            <v>249</v>
          </cell>
          <cell r="E251">
            <v>-3.5008625690529165</v>
          </cell>
          <cell r="F251">
            <v>249</v>
          </cell>
          <cell r="G251">
            <v>-0.47394175936490213</v>
          </cell>
        </row>
        <row r="252">
          <cell r="A252" t="str">
            <v>South Alabama</v>
          </cell>
          <cell r="B252">
            <v>6.7567986142480976</v>
          </cell>
          <cell r="C252">
            <v>-3.7725923290891954</v>
          </cell>
          <cell r="D252">
            <v>251</v>
          </cell>
          <cell r="E252">
            <v>-3.5093575555057628</v>
          </cell>
          <cell r="F252">
            <v>250</v>
          </cell>
          <cell r="G252">
            <v>-0.47485221163883629</v>
          </cell>
        </row>
        <row r="253">
          <cell r="A253" t="str">
            <v>South Carolina Upstate</v>
          </cell>
          <cell r="B253">
            <v>0.78178503883038497</v>
          </cell>
          <cell r="C253">
            <v>-3.6843868108552242</v>
          </cell>
          <cell r="D253">
            <v>250</v>
          </cell>
          <cell r="E253">
            <v>-3.5727325146130839</v>
          </cell>
          <cell r="F253">
            <v>251</v>
          </cell>
          <cell r="G253">
            <v>-0.48164443855409089</v>
          </cell>
        </row>
        <row r="254">
          <cell r="A254" t="str">
            <v>Appalachian State</v>
          </cell>
          <cell r="B254">
            <v>4.5618817241180807</v>
          </cell>
          <cell r="C254">
            <v>-3.8047539115519435</v>
          </cell>
          <cell r="D254">
            <v>252</v>
          </cell>
          <cell r="E254">
            <v>-3.5955880206601929</v>
          </cell>
          <cell r="F254">
            <v>253</v>
          </cell>
          <cell r="G254">
            <v>-0.48409398306696466</v>
          </cell>
        </row>
        <row r="255">
          <cell r="A255" t="str">
            <v>Florida Gulf Coast</v>
          </cell>
          <cell r="B255">
            <v>9.6741628903046966</v>
          </cell>
          <cell r="C255">
            <v>-3.9341829992797779</v>
          </cell>
          <cell r="D255">
            <v>255</v>
          </cell>
          <cell r="E255">
            <v>-3.5939743520401657</v>
          </cell>
          <cell r="F255">
            <v>252</v>
          </cell>
          <cell r="G255">
            <v>-0.48392103773354533</v>
          </cell>
        </row>
        <row r="256">
          <cell r="A256" t="str">
            <v>Charleston Southern</v>
          </cell>
          <cell r="B256">
            <v>4.1236566887513826</v>
          </cell>
          <cell r="C256">
            <v>-3.8741578050405323</v>
          </cell>
          <cell r="D256">
            <v>253</v>
          </cell>
          <cell r="E256">
            <v>-3.6742124426957345</v>
          </cell>
          <cell r="F256">
            <v>254</v>
          </cell>
          <cell r="G256">
            <v>-0.4925205749428157</v>
          </cell>
        </row>
        <row r="257">
          <cell r="A257" t="str">
            <v>Longwood</v>
          </cell>
          <cell r="B257">
            <v>5.3803672043579747</v>
          </cell>
          <cell r="C257">
            <v>-4.0118182375754419</v>
          </cell>
          <cell r="D257">
            <v>257</v>
          </cell>
          <cell r="E257">
            <v>-3.7770136015271061</v>
          </cell>
          <cell r="F257">
            <v>255</v>
          </cell>
          <cell r="G257">
            <v>-0.50353831456378129</v>
          </cell>
        </row>
        <row r="258">
          <cell r="A258" t="str">
            <v>Loyola Chicago</v>
          </cell>
          <cell r="B258">
            <v>15.024806730033681</v>
          </cell>
          <cell r="C258">
            <v>-4.3410641056977513</v>
          </cell>
          <cell r="D258">
            <v>261</v>
          </cell>
          <cell r="E258">
            <v>-3.8569173348044652</v>
          </cell>
          <cell r="F258">
            <v>257</v>
          </cell>
          <cell r="G258">
            <v>-0.51210201693835389</v>
          </cell>
        </row>
        <row r="259">
          <cell r="A259" t="str">
            <v>Oral Roberts</v>
          </cell>
          <cell r="B259">
            <v>-2.1033887741303108</v>
          </cell>
          <cell r="C259">
            <v>-3.8840969449117111</v>
          </cell>
          <cell r="D259">
            <v>254</v>
          </cell>
          <cell r="E259">
            <v>-3.839579240642176</v>
          </cell>
          <cell r="F259">
            <v>256</v>
          </cell>
          <cell r="G259">
            <v>-0.51024380240871769</v>
          </cell>
        </row>
        <row r="260">
          <cell r="A260" t="str">
            <v>UNC Greensboro</v>
          </cell>
          <cell r="B260">
            <v>4.4980816898088696</v>
          </cell>
          <cell r="C260">
            <v>-4.265586269243018</v>
          </cell>
          <cell r="D260">
            <v>260</v>
          </cell>
          <cell r="E260">
            <v>-4.046494570266721</v>
          </cell>
          <cell r="F260">
            <v>260</v>
          </cell>
          <cell r="G260">
            <v>-0.53242000403236911</v>
          </cell>
        </row>
        <row r="261">
          <cell r="A261" t="str">
            <v>Southern Miss</v>
          </cell>
          <cell r="B261">
            <v>-4.4342206108279685</v>
          </cell>
          <cell r="C261">
            <v>-4.0706436854943391</v>
          </cell>
          <cell r="D261">
            <v>258</v>
          </cell>
          <cell r="E261">
            <v>-4.0797331086276793</v>
          </cell>
          <cell r="F261">
            <v>261</v>
          </cell>
          <cell r="G261">
            <v>-0.53598235260125271</v>
          </cell>
        </row>
        <row r="262">
          <cell r="A262" t="str">
            <v>Morehead State</v>
          </cell>
          <cell r="B262">
            <v>-3.065989073727394</v>
          </cell>
          <cell r="C262">
            <v>-3.9689607745129249</v>
          </cell>
          <cell r="D262">
            <v>256</v>
          </cell>
          <cell r="E262">
            <v>-3.9463864819932866</v>
          </cell>
          <cell r="F262">
            <v>258</v>
          </cell>
          <cell r="G262">
            <v>-0.52169089491445952</v>
          </cell>
        </row>
        <row r="263">
          <cell r="A263" t="str">
            <v>SIU Edwardsville</v>
          </cell>
          <cell r="B263">
            <v>4.7016091695836062</v>
          </cell>
          <cell r="C263">
            <v>-4.1749164939257764</v>
          </cell>
          <cell r="D263">
            <v>259</v>
          </cell>
          <cell r="E263">
            <v>-3.9530033523380417</v>
          </cell>
          <cell r="F263">
            <v>259</v>
          </cell>
          <cell r="G263">
            <v>-0.52240005963004199</v>
          </cell>
        </row>
        <row r="264">
          <cell r="A264" t="str">
            <v>Ball State</v>
          </cell>
          <cell r="B264">
            <v>3.6347613551576479</v>
          </cell>
          <cell r="C264">
            <v>-4.5339365529706104</v>
          </cell>
          <cell r="D264">
            <v>262</v>
          </cell>
          <cell r="E264">
            <v>-4.3297191052674036</v>
          </cell>
          <cell r="F264">
            <v>262</v>
          </cell>
          <cell r="G264">
            <v>-0.56277466361383588</v>
          </cell>
        </row>
        <row r="265">
          <cell r="A265" t="str">
            <v>Princeton</v>
          </cell>
          <cell r="B265">
            <v>8.2694461687289547</v>
          </cell>
          <cell r="C265">
            <v>-4.7077427195186887</v>
          </cell>
          <cell r="D265">
            <v>263</v>
          </cell>
          <cell r="E265">
            <v>-4.3833129973124976</v>
          </cell>
          <cell r="F265">
            <v>263</v>
          </cell>
          <cell r="G265">
            <v>-0.56851860224779205</v>
          </cell>
        </row>
        <row r="266">
          <cell r="A266" t="str">
            <v>James Madison</v>
          </cell>
          <cell r="B266">
            <v>8.8451157148218069</v>
          </cell>
          <cell r="C266">
            <v>-4.7988774901316926</v>
          </cell>
          <cell r="D266">
            <v>265</v>
          </cell>
          <cell r="E266">
            <v>-4.4577776600078547</v>
          </cell>
          <cell r="F266">
            <v>264</v>
          </cell>
          <cell r="G266">
            <v>-0.5764993708876307</v>
          </cell>
        </row>
        <row r="267">
          <cell r="A267" t="str">
            <v>East Texas A&amp;M</v>
          </cell>
          <cell r="B267">
            <v>4.8856332906904045</v>
          </cell>
          <cell r="C267">
            <v>-4.7925053041898611</v>
          </cell>
          <cell r="D267">
            <v>264</v>
          </cell>
          <cell r="E267">
            <v>-4.5505518393178539</v>
          </cell>
          <cell r="F267">
            <v>265</v>
          </cell>
          <cell r="G267">
            <v>-0.58644246649867371</v>
          </cell>
        </row>
        <row r="268">
          <cell r="A268" t="str">
            <v>Eastern Kentucky</v>
          </cell>
          <cell r="B268">
            <v>6.5461546417398955</v>
          </cell>
          <cell r="C268">
            <v>-4.9301011394514065</v>
          </cell>
          <cell r="D268">
            <v>267</v>
          </cell>
          <cell r="E268">
            <v>-4.6431947449216242</v>
          </cell>
          <cell r="F268">
            <v>266</v>
          </cell>
          <cell r="G268">
            <v>-0.59637149281778701</v>
          </cell>
        </row>
        <row r="269">
          <cell r="A269" t="str">
            <v>East Carolina</v>
          </cell>
          <cell r="B269">
            <v>6.4240099894635714</v>
          </cell>
          <cell r="C269">
            <v>-4.9885979079332641</v>
          </cell>
          <cell r="D269">
            <v>269</v>
          </cell>
          <cell r="E269">
            <v>-4.7032827104983435</v>
          </cell>
          <cell r="F269">
            <v>267</v>
          </cell>
          <cell r="G269">
            <v>-0.60281143538851023</v>
          </cell>
        </row>
        <row r="270">
          <cell r="A270" t="str">
            <v>Hampton</v>
          </cell>
          <cell r="B270">
            <v>5.2323842532796263</v>
          </cell>
          <cell r="C270">
            <v>-4.9882786609049461</v>
          </cell>
          <cell r="D270">
            <v>268</v>
          </cell>
          <cell r="E270">
            <v>-4.7327620880503316</v>
          </cell>
          <cell r="F270">
            <v>268</v>
          </cell>
          <cell r="G270">
            <v>-0.60597089496803425</v>
          </cell>
        </row>
        <row r="271">
          <cell r="A271" t="str">
            <v>IU Indianapolis</v>
          </cell>
          <cell r="B271">
            <v>-0.74560873374708347</v>
          </cell>
          <cell r="C271">
            <v>-4.8611942413968992</v>
          </cell>
          <cell r="D271">
            <v>266</v>
          </cell>
          <cell r="E271">
            <v>-4.7583046037056533</v>
          </cell>
          <cell r="F271">
            <v>269</v>
          </cell>
          <cell r="G271">
            <v>-0.60870842040017847</v>
          </cell>
        </row>
        <row r="272">
          <cell r="A272" t="str">
            <v>Drexel</v>
          </cell>
          <cell r="B272">
            <v>8.5961475241484617</v>
          </cell>
          <cell r="C272">
            <v>-5.2326177190369672</v>
          </cell>
          <cell r="D272">
            <v>271</v>
          </cell>
          <cell r="E272">
            <v>-4.8868985879573312</v>
          </cell>
          <cell r="F272">
            <v>270</v>
          </cell>
          <cell r="G272">
            <v>-0.62249051246425324</v>
          </cell>
        </row>
        <row r="273">
          <cell r="A273" t="str">
            <v>Northwestern State</v>
          </cell>
          <cell r="B273">
            <v>-0.82523048766766471</v>
          </cell>
          <cell r="C273">
            <v>-5.0154656269263427</v>
          </cell>
          <cell r="D273">
            <v>270</v>
          </cell>
          <cell r="E273">
            <v>-4.9107097484448756</v>
          </cell>
          <cell r="F273">
            <v>271</v>
          </cell>
          <cell r="G273">
            <v>-0.62504247947811853</v>
          </cell>
        </row>
        <row r="274">
          <cell r="A274" t="str">
            <v>South Dakota</v>
          </cell>
          <cell r="B274">
            <v>4.4454792532084602</v>
          </cell>
          <cell r="C274">
            <v>-5.2464138878192665</v>
          </cell>
          <cell r="D274">
            <v>272</v>
          </cell>
          <cell r="E274">
            <v>-5.004116559293573</v>
          </cell>
          <cell r="F274">
            <v>272</v>
          </cell>
          <cell r="G274">
            <v>-0.63505337753077429</v>
          </cell>
        </row>
        <row r="275">
          <cell r="A275" t="str">
            <v>Bellarmine</v>
          </cell>
          <cell r="B275">
            <v>3.9185400106471415</v>
          </cell>
          <cell r="C275">
            <v>-5.2572597985411633</v>
          </cell>
          <cell r="D275">
            <v>273</v>
          </cell>
          <cell r="E275">
            <v>-5.0278648033114557</v>
          </cell>
          <cell r="F275">
            <v>273</v>
          </cell>
          <cell r="G275">
            <v>-0.63759860145644409</v>
          </cell>
        </row>
        <row r="276">
          <cell r="A276" t="str">
            <v>Texas State</v>
          </cell>
          <cell r="B276">
            <v>5.4098942948285957</v>
          </cell>
          <cell r="C276">
            <v>-5.3199878371366021</v>
          </cell>
          <cell r="D276">
            <v>274</v>
          </cell>
          <cell r="E276">
            <v>-5.0517407838374719</v>
          </cell>
          <cell r="F276">
            <v>274</v>
          </cell>
          <cell r="G276">
            <v>-0.64015751557396283</v>
          </cell>
        </row>
        <row r="277">
          <cell r="A277" t="str">
            <v>Old Dominion</v>
          </cell>
          <cell r="B277">
            <v>1.8325836044662163</v>
          </cell>
          <cell r="C277">
            <v>-5.3665269773693165</v>
          </cell>
          <cell r="D277">
            <v>276</v>
          </cell>
          <cell r="E277">
            <v>-5.1865492128234276</v>
          </cell>
          <cell r="F277">
            <v>275</v>
          </cell>
          <cell r="G277">
            <v>-0.65460564228929552</v>
          </cell>
        </row>
        <row r="278">
          <cell r="A278" t="str">
            <v>Long Island University</v>
          </cell>
          <cell r="B278">
            <v>3.698218370419375</v>
          </cell>
          <cell r="C278">
            <v>-5.5445914822515316</v>
          </cell>
          <cell r="D278">
            <v>277</v>
          </cell>
          <cell r="E278">
            <v>-5.3135212359347594</v>
          </cell>
          <cell r="F278">
            <v>277</v>
          </cell>
          <cell r="G278">
            <v>-0.66821390026703498</v>
          </cell>
        </row>
        <row r="279">
          <cell r="A279" t="str">
            <v>Eastern Illinois</v>
          </cell>
          <cell r="B279">
            <v>-2.2167706150566584</v>
          </cell>
          <cell r="C279">
            <v>-5.3443906838194</v>
          </cell>
          <cell r="D279">
            <v>275</v>
          </cell>
          <cell r="E279">
            <v>-5.2662001821003317</v>
          </cell>
          <cell r="F279">
            <v>276</v>
          </cell>
          <cell r="G279">
            <v>-0.66314225461960952</v>
          </cell>
        </row>
        <row r="280">
          <cell r="A280" t="str">
            <v>Navy</v>
          </cell>
          <cell r="B280">
            <v>7.3002255705591983</v>
          </cell>
          <cell r="C280">
            <v>-6.0328896359163826</v>
          </cell>
          <cell r="D280">
            <v>279</v>
          </cell>
          <cell r="E280">
            <v>-5.6995617557544929</v>
          </cell>
          <cell r="F280">
            <v>278</v>
          </cell>
          <cell r="G280">
            <v>-0.7095878884483634</v>
          </cell>
        </row>
        <row r="281">
          <cell r="A281" t="str">
            <v>Colgate</v>
          </cell>
          <cell r="B281">
            <v>8.5784130605395497</v>
          </cell>
          <cell r="C281">
            <v>-6.1550209534279157</v>
          </cell>
          <cell r="D281">
            <v>284</v>
          </cell>
          <cell r="E281">
            <v>-5.786685103078729</v>
          </cell>
          <cell r="F281">
            <v>279</v>
          </cell>
          <cell r="G281">
            <v>-0.71892535474385477</v>
          </cell>
        </row>
        <row r="282">
          <cell r="A282" t="str">
            <v>American University</v>
          </cell>
          <cell r="B282">
            <v>4.8701876704307425</v>
          </cell>
          <cell r="C282">
            <v>-6.0670786820976605</v>
          </cell>
          <cell r="D282">
            <v>280</v>
          </cell>
          <cell r="E282">
            <v>-5.7936470232844499</v>
          </cell>
          <cell r="F282">
            <v>280</v>
          </cell>
          <cell r="G282">
            <v>-0.7196715002636187</v>
          </cell>
        </row>
        <row r="283">
          <cell r="A283" t="str">
            <v>Northern Illinois</v>
          </cell>
          <cell r="B283">
            <v>-3.0895367418586686</v>
          </cell>
          <cell r="C283">
            <v>-5.8729151070976231</v>
          </cell>
          <cell r="D283">
            <v>278</v>
          </cell>
          <cell r="E283">
            <v>-5.80333064796665</v>
          </cell>
          <cell r="F283">
            <v>281</v>
          </cell>
          <cell r="G283">
            <v>-0.72070934513373974</v>
          </cell>
        </row>
        <row r="284">
          <cell r="A284" t="str">
            <v>Houston Christian</v>
          </cell>
          <cell r="B284">
            <v>1.8325836044662163</v>
          </cell>
          <cell r="C284">
            <v>-6.0714204482562497</v>
          </cell>
          <cell r="D284">
            <v>281</v>
          </cell>
          <cell r="E284">
            <v>-5.8738203469381878</v>
          </cell>
          <cell r="F284">
            <v>282</v>
          </cell>
          <cell r="G284">
            <v>-0.72826409605345066</v>
          </cell>
        </row>
        <row r="285">
          <cell r="A285" t="str">
            <v>Coastal Carolina</v>
          </cell>
          <cell r="B285">
            <v>0.85877308709267797</v>
          </cell>
          <cell r="C285">
            <v>-6.145499654587284</v>
          </cell>
          <cell r="D285">
            <v>283</v>
          </cell>
          <cell r="E285">
            <v>-5.9703928360452849</v>
          </cell>
          <cell r="F285">
            <v>285</v>
          </cell>
          <cell r="G285">
            <v>-0.73861427645633759</v>
          </cell>
        </row>
        <row r="286">
          <cell r="A286" t="str">
            <v>Delaware</v>
          </cell>
          <cell r="B286">
            <v>5.7926239410891469</v>
          </cell>
          <cell r="C286">
            <v>-6.2913287687095423</v>
          </cell>
          <cell r="D286">
            <v>287</v>
          </cell>
          <cell r="E286">
            <v>-5.9892299509645746</v>
          </cell>
          <cell r="F286">
            <v>286</v>
          </cell>
          <cell r="G286">
            <v>-0.74063314890632026</v>
          </cell>
        </row>
        <row r="287">
          <cell r="A287" t="str">
            <v>North Carolina A&amp;T</v>
          </cell>
          <cell r="B287">
            <v>0.91757829662251011</v>
          </cell>
          <cell r="C287">
            <v>-6.1814614580090197</v>
          </cell>
          <cell r="D287">
            <v>286</v>
          </cell>
          <cell r="E287">
            <v>-6.0039854641432315</v>
          </cell>
          <cell r="F287">
            <v>287</v>
          </cell>
          <cell r="G287">
            <v>-0.74221457468035101</v>
          </cell>
        </row>
        <row r="288">
          <cell r="A288" t="str">
            <v>Little Rock</v>
          </cell>
          <cell r="B288">
            <v>3.6928467732351073</v>
          </cell>
          <cell r="C288">
            <v>-6.1812118718269478</v>
          </cell>
          <cell r="D288">
            <v>285</v>
          </cell>
          <cell r="E288">
            <v>-5.9343604057003967</v>
          </cell>
          <cell r="F288">
            <v>283</v>
          </cell>
          <cell r="G288">
            <v>-0.73475249182313362</v>
          </cell>
        </row>
        <row r="289">
          <cell r="A289" t="str">
            <v>Tennessee Tech</v>
          </cell>
          <cell r="B289">
            <v>0.86894268247047002</v>
          </cell>
          <cell r="C289">
            <v>-6.1327076114705932</v>
          </cell>
          <cell r="D289">
            <v>282</v>
          </cell>
          <cell r="E289">
            <v>-5.9576663541220665</v>
          </cell>
          <cell r="F289">
            <v>284</v>
          </cell>
          <cell r="G289">
            <v>-0.73725031260889751</v>
          </cell>
        </row>
        <row r="290">
          <cell r="A290" t="str">
            <v>Jacksonville</v>
          </cell>
          <cell r="B290">
            <v>5.9439659336500501</v>
          </cell>
          <cell r="C290">
            <v>-6.4515760961557591</v>
          </cell>
          <cell r="D290">
            <v>289</v>
          </cell>
          <cell r="E290">
            <v>-6.1416875454106137</v>
          </cell>
          <cell r="F290">
            <v>288</v>
          </cell>
          <cell r="G290">
            <v>-0.75697282929455945</v>
          </cell>
        </row>
        <row r="291">
          <cell r="A291" t="str">
            <v>Cleveland State</v>
          </cell>
          <cell r="B291">
            <v>3.552663213005014</v>
          </cell>
          <cell r="C291">
            <v>-6.4502164275106697</v>
          </cell>
          <cell r="D291">
            <v>288</v>
          </cell>
          <cell r="E291">
            <v>-6.2001444364977774</v>
          </cell>
          <cell r="F291">
            <v>289</v>
          </cell>
          <cell r="G291">
            <v>-0.76323796105349218</v>
          </cell>
        </row>
        <row r="292">
          <cell r="A292" t="str">
            <v>Northeastern</v>
          </cell>
          <cell r="B292">
            <v>6.431044722121281</v>
          </cell>
          <cell r="C292">
            <v>-6.7584878028575543</v>
          </cell>
          <cell r="D292">
            <v>290</v>
          </cell>
          <cell r="E292">
            <v>-6.4287494897330832</v>
          </cell>
          <cell r="F292">
            <v>290</v>
          </cell>
          <cell r="G292">
            <v>-0.78773876416909827</v>
          </cell>
        </row>
        <row r="293">
          <cell r="A293" t="str">
            <v>SE Louisiana</v>
          </cell>
          <cell r="B293">
            <v>4.51471306531253</v>
          </cell>
          <cell r="C293">
            <v>-7.0453347156713448</v>
          </cell>
          <cell r="D293">
            <v>291</v>
          </cell>
          <cell r="E293">
            <v>-6.7563335211467477</v>
          </cell>
          <cell r="F293">
            <v>291</v>
          </cell>
          <cell r="G293">
            <v>-0.82284766374893981</v>
          </cell>
        </row>
        <row r="294">
          <cell r="A294" t="str">
            <v>Howard</v>
          </cell>
          <cell r="B294">
            <v>1.29155653018701</v>
          </cell>
          <cell r="C294">
            <v>-7.4367672145212511</v>
          </cell>
          <cell r="D294">
            <v>292</v>
          </cell>
          <cell r="E294">
            <v>-7.2185591209035449</v>
          </cell>
          <cell r="F294">
            <v>292</v>
          </cell>
          <cell r="G294">
            <v>-0.87238680671345403</v>
          </cell>
        </row>
        <row r="295">
          <cell r="A295" t="str">
            <v>Southern</v>
          </cell>
          <cell r="B295">
            <v>6.1234177691279479</v>
          </cell>
          <cell r="C295">
            <v>-7.5851107930322197</v>
          </cell>
          <cell r="D295">
            <v>294</v>
          </cell>
          <cell r="E295">
            <v>-7.2423975789782151</v>
          </cell>
          <cell r="F295">
            <v>293</v>
          </cell>
          <cell r="G295">
            <v>-0.87494169935297028</v>
          </cell>
        </row>
        <row r="296">
          <cell r="A296" t="str">
            <v>CSU Bakersfield</v>
          </cell>
          <cell r="B296">
            <v>2.5410484218929725</v>
          </cell>
          <cell r="C296">
            <v>-7.5429001360539827</v>
          </cell>
          <cell r="D296">
            <v>293</v>
          </cell>
          <cell r="E296">
            <v>-7.290801422105309</v>
          </cell>
          <cell r="F296">
            <v>294</v>
          </cell>
          <cell r="G296">
            <v>-0.88012939321061623</v>
          </cell>
        </row>
        <row r="297">
          <cell r="A297" t="str">
            <v>The Citadel</v>
          </cell>
          <cell r="B297">
            <v>-4.3037084260011351</v>
          </cell>
          <cell r="C297">
            <v>-7.5904162899654608</v>
          </cell>
          <cell r="D297">
            <v>295</v>
          </cell>
          <cell r="E297">
            <v>-7.5082485933663525</v>
          </cell>
          <cell r="F297">
            <v>295</v>
          </cell>
          <cell r="G297">
            <v>-0.90343434756623364</v>
          </cell>
        </row>
        <row r="298">
          <cell r="A298" t="str">
            <v>UMBC</v>
          </cell>
          <cell r="B298">
            <v>3.041554422080345</v>
          </cell>
          <cell r="C298">
            <v>-9.1021122280984663</v>
          </cell>
          <cell r="D298">
            <v>300</v>
          </cell>
          <cell r="E298">
            <v>-7.7985205618439952</v>
          </cell>
          <cell r="F298">
            <v>296</v>
          </cell>
          <cell r="G298">
            <v>-0.93454431757345724</v>
          </cell>
        </row>
        <row r="299">
          <cell r="A299" t="str">
            <v>Vermont</v>
          </cell>
          <cell r="B299">
            <v>6.6626892702945142</v>
          </cell>
          <cell r="C299">
            <v>-8.7843041545597043</v>
          </cell>
          <cell r="D299">
            <v>298</v>
          </cell>
          <cell r="E299">
            <v>-8.3981293189383486</v>
          </cell>
          <cell r="F299">
            <v>299</v>
          </cell>
          <cell r="G299">
            <v>-0.99880753440112935</v>
          </cell>
        </row>
        <row r="300">
          <cell r="A300" t="str">
            <v>Air Force</v>
          </cell>
          <cell r="B300">
            <v>4.2467002733750787</v>
          </cell>
          <cell r="C300">
            <v>-8.6245538207760415</v>
          </cell>
          <cell r="D300">
            <v>297</v>
          </cell>
          <cell r="E300">
            <v>-8.3027724684222637</v>
          </cell>
          <cell r="F300">
            <v>297</v>
          </cell>
          <cell r="G300">
            <v>-0.98858764036486735</v>
          </cell>
        </row>
        <row r="301">
          <cell r="A301" t="str">
            <v>Le Moyne</v>
          </cell>
          <cell r="B301">
            <v>2.9215894335795198</v>
          </cell>
          <cell r="C301">
            <v>-9.3382945089097564</v>
          </cell>
          <cell r="D301">
            <v>306</v>
          </cell>
          <cell r="E301">
            <v>-9.031797410347524</v>
          </cell>
          <cell r="F301">
            <v>306</v>
          </cell>
          <cell r="G301">
            <v>-1.0667210688070272</v>
          </cell>
        </row>
        <row r="302">
          <cell r="A302" t="str">
            <v>West Georgia</v>
          </cell>
          <cell r="B302">
            <v>1.3899251097547758</v>
          </cell>
          <cell r="C302">
            <v>-8.5676345326346315</v>
          </cell>
          <cell r="D302">
            <v>296</v>
          </cell>
          <cell r="E302">
            <v>-8.3186955415748969</v>
          </cell>
          <cell r="F302">
            <v>298</v>
          </cell>
          <cell r="G302">
            <v>-0.99029419966785215</v>
          </cell>
        </row>
        <row r="303">
          <cell r="A303" t="str">
            <v>Albany</v>
          </cell>
          <cell r="B303">
            <v>4.3879801597093353</v>
          </cell>
          <cell r="C303">
            <v>-9.029918842315908</v>
          </cell>
          <cell r="D303">
            <v>299</v>
          </cell>
          <cell r="E303">
            <v>-8.6944713672652778</v>
          </cell>
          <cell r="F303">
            <v>300</v>
          </cell>
          <cell r="G303">
            <v>-1.0305680667173598</v>
          </cell>
        </row>
        <row r="304">
          <cell r="A304" t="str">
            <v>Marist</v>
          </cell>
          <cell r="B304">
            <v>8.0528738547149157</v>
          </cell>
          <cell r="C304">
            <v>-9.1368855003001279</v>
          </cell>
          <cell r="D304">
            <v>302</v>
          </cell>
          <cell r="E304">
            <v>-8.7071415164247501</v>
          </cell>
          <cell r="F304">
            <v>301</v>
          </cell>
          <cell r="G304">
            <v>-1.031925993086914</v>
          </cell>
        </row>
        <row r="305">
          <cell r="A305" t="str">
            <v>UTSA</v>
          </cell>
          <cell r="B305">
            <v>7.437046694316864</v>
          </cell>
          <cell r="C305">
            <v>-9.1782509129946064</v>
          </cell>
          <cell r="D305">
            <v>304</v>
          </cell>
          <cell r="E305">
            <v>-8.7628684728118191</v>
          </cell>
          <cell r="F305">
            <v>302</v>
          </cell>
          <cell r="G305">
            <v>-1.0378985434192385</v>
          </cell>
        </row>
        <row r="306">
          <cell r="A306" t="str">
            <v>Louisiana</v>
          </cell>
          <cell r="B306">
            <v>1.3462760774168561</v>
          </cell>
          <cell r="C306">
            <v>-9.1109947031434242</v>
          </cell>
          <cell r="D306">
            <v>301</v>
          </cell>
          <cell r="E306">
            <v>-8.8495629336294179</v>
          </cell>
          <cell r="F306">
            <v>303</v>
          </cell>
          <cell r="G306">
            <v>-1.0471900436973152</v>
          </cell>
        </row>
        <row r="307">
          <cell r="A307" t="str">
            <v>Mercyhurst</v>
          </cell>
          <cell r="B307">
            <v>0.12893557395795002</v>
          </cell>
          <cell r="C307">
            <v>-9.1689075254375112</v>
          </cell>
          <cell r="D307">
            <v>303</v>
          </cell>
          <cell r="E307">
            <v>-8.9364614479526256</v>
          </cell>
          <cell r="F307">
            <v>304</v>
          </cell>
          <cell r="G307">
            <v>-1.0565034134603191</v>
          </cell>
        </row>
        <row r="308">
          <cell r="A308" t="str">
            <v>Georgia State</v>
          </cell>
          <cell r="B308">
            <v>4.2236427966317782</v>
          </cell>
          <cell r="C308">
            <v>-9.3008811814792587</v>
          </cell>
          <cell r="D308">
            <v>305</v>
          </cell>
          <cell r="E308">
            <v>-8.9627680820264821</v>
          </cell>
          <cell r="F308">
            <v>305</v>
          </cell>
          <cell r="G308">
            <v>-1.0593228334729399</v>
          </cell>
        </row>
        <row r="309">
          <cell r="A309" t="str">
            <v>Norfolk State</v>
          </cell>
          <cell r="B309">
            <v>5.436743031004343</v>
          </cell>
          <cell r="C309">
            <v>-9.7427959353500224</v>
          </cell>
          <cell r="D309">
            <v>307</v>
          </cell>
          <cell r="E309">
            <v>-9.3633074611911624</v>
          </cell>
          <cell r="F309">
            <v>307</v>
          </cell>
          <cell r="G309">
            <v>-1.1022507404901996</v>
          </cell>
        </row>
        <row r="310">
          <cell r="A310" t="str">
            <v>Siena</v>
          </cell>
          <cell r="B310">
            <v>9.4070441913861114</v>
          </cell>
          <cell r="C310">
            <v>-9.9948001493027423</v>
          </cell>
          <cell r="D310">
            <v>310</v>
          </cell>
          <cell r="E310">
            <v>-9.5097540407855199</v>
          </cell>
          <cell r="F310">
            <v>308</v>
          </cell>
          <cell r="G310">
            <v>-1.1179461888751572</v>
          </cell>
        </row>
        <row r="311">
          <cell r="A311" t="str">
            <v>Saint Peter's</v>
          </cell>
          <cell r="B311">
            <v>4.0669347086210985</v>
          </cell>
          <cell r="C311">
            <v>-9.9441962942344251</v>
          </cell>
          <cell r="D311">
            <v>308</v>
          </cell>
          <cell r="E311">
            <v>-9.5939180191630378</v>
          </cell>
          <cell r="F311">
            <v>309</v>
          </cell>
          <cell r="G311">
            <v>-1.126966484071918</v>
          </cell>
        </row>
        <row r="312">
          <cell r="A312" t="str">
            <v>Quinnipiac</v>
          </cell>
          <cell r="B312">
            <v>5.6548105336735999</v>
          </cell>
          <cell r="C312">
            <v>-9.9932062373076107</v>
          </cell>
          <cell r="D312">
            <v>309</v>
          </cell>
          <cell r="E312">
            <v>-9.6020058180330796</v>
          </cell>
          <cell r="F312">
            <v>310</v>
          </cell>
          <cell r="G312">
            <v>-1.1278332959159658</v>
          </cell>
        </row>
        <row r="313">
          <cell r="A313" t="str">
            <v>Merrimack</v>
          </cell>
          <cell r="B313">
            <v>7.051953563983175</v>
          </cell>
          <cell r="C313">
            <v>-10.148742543316946</v>
          </cell>
          <cell r="D313">
            <v>312</v>
          </cell>
          <cell r="E313">
            <v>-9.7187251406344419</v>
          </cell>
          <cell r="F313">
            <v>311</v>
          </cell>
          <cell r="G313">
            <v>-1.140342718181008</v>
          </cell>
        </row>
        <row r="314">
          <cell r="A314" t="str">
            <v>Boston University</v>
          </cell>
          <cell r="B314">
            <v>7.3510399785875897</v>
          </cell>
          <cell r="C314">
            <v>-10.222144623355106</v>
          </cell>
          <cell r="D314">
            <v>314</v>
          </cell>
          <cell r="E314">
            <v>-9.7828150083065388</v>
          </cell>
          <cell r="F314">
            <v>313</v>
          </cell>
          <cell r="G314">
            <v>-1.1472115655984927</v>
          </cell>
        </row>
        <row r="315">
          <cell r="A315" t="str">
            <v>North Florida</v>
          </cell>
          <cell r="B315">
            <v>2.865313312896669</v>
          </cell>
          <cell r="C315">
            <v>-10.095259159487846</v>
          </cell>
          <cell r="D315">
            <v>311</v>
          </cell>
          <cell r="E315">
            <v>-9.7712448476782328</v>
          </cell>
          <cell r="F315">
            <v>312</v>
          </cell>
          <cell r="G315">
            <v>-1.1459715307717986</v>
          </cell>
        </row>
        <row r="316">
          <cell r="A316" t="str">
            <v>Lehigh Mountain</v>
          </cell>
          <cell r="B316">
            <v>3.6949409526490777</v>
          </cell>
          <cell r="C316">
            <v>-10.288730952834207</v>
          </cell>
          <cell r="D316">
            <v>316</v>
          </cell>
          <cell r="E316">
            <v>-9.9391391551971253</v>
          </cell>
          <cell r="F316">
            <v>315</v>
          </cell>
          <cell r="G316">
            <v>-1.163965644701193</v>
          </cell>
        </row>
        <row r="317">
          <cell r="A317" t="str">
            <v>VMI</v>
          </cell>
          <cell r="B317">
            <v>2.3097739189960778</v>
          </cell>
          <cell r="C317">
            <v>-10.311910478363277</v>
          </cell>
          <cell r="D317">
            <v>317</v>
          </cell>
          <cell r="E317">
            <v>-9.9963683684292928</v>
          </cell>
          <cell r="F317">
            <v>316</v>
          </cell>
          <cell r="G317">
            <v>-1.170099199782406</v>
          </cell>
        </row>
        <row r="318">
          <cell r="A318" t="str">
            <v>Stetson</v>
          </cell>
          <cell r="B318">
            <v>-0.67774691316149105</v>
          </cell>
          <cell r="C318">
            <v>-10.272357076923697</v>
          </cell>
          <cell r="D318">
            <v>315</v>
          </cell>
          <cell r="E318">
            <v>-10.032491822829641</v>
          </cell>
          <cell r="F318">
            <v>317</v>
          </cell>
          <cell r="G318">
            <v>-1.1739707399412647</v>
          </cell>
        </row>
        <row r="319">
          <cell r="A319" t="str">
            <v>Southern Indiana</v>
          </cell>
          <cell r="B319">
            <v>3.1110757061181658</v>
          </cell>
          <cell r="C319">
            <v>-10.203054788529339</v>
          </cell>
          <cell r="D319">
            <v>313</v>
          </cell>
          <cell r="E319">
            <v>-9.8702015261631519</v>
          </cell>
          <cell r="F319">
            <v>314</v>
          </cell>
          <cell r="G319">
            <v>-1.1565772372608749</v>
          </cell>
        </row>
        <row r="320">
          <cell r="A320" t="str">
            <v>Fairfield</v>
          </cell>
          <cell r="B320">
            <v>2.7841993056044969</v>
          </cell>
          <cell r="C320">
            <v>-10.696580304632079</v>
          </cell>
          <cell r="D320">
            <v>319</v>
          </cell>
          <cell r="E320">
            <v>-10.359560814376163</v>
          </cell>
          <cell r="F320">
            <v>318</v>
          </cell>
          <cell r="G320">
            <v>-1.2090244399959735</v>
          </cell>
        </row>
        <row r="321">
          <cell r="A321" t="str">
            <v>Kansas City</v>
          </cell>
          <cell r="B321">
            <v>0.25734278902593138</v>
          </cell>
          <cell r="C321">
            <v>-10.663494556517945</v>
          </cell>
          <cell r="D321">
            <v>318</v>
          </cell>
          <cell r="E321">
            <v>-10.390473622879348</v>
          </cell>
          <cell r="F321">
            <v>319</v>
          </cell>
          <cell r="G321">
            <v>-1.2123375278921862</v>
          </cell>
        </row>
        <row r="322">
          <cell r="A322" t="str">
            <v>Central Connecticut</v>
          </cell>
          <cell r="B322">
            <v>6.4606220782581207</v>
          </cell>
          <cell r="C322">
            <v>-11.087356527904486</v>
          </cell>
          <cell r="D322">
            <v>320</v>
          </cell>
          <cell r="E322">
            <v>-10.64865706275042</v>
          </cell>
          <cell r="F322">
            <v>320</v>
          </cell>
          <cell r="G322">
            <v>-1.2400084019103557</v>
          </cell>
        </row>
        <row r="323">
          <cell r="A323" t="str">
            <v>UMass Lowell</v>
          </cell>
          <cell r="B323">
            <v>2.5368504732789625</v>
          </cell>
          <cell r="C323">
            <v>-11.170796668444806</v>
          </cell>
          <cell r="D323">
            <v>321</v>
          </cell>
          <cell r="E323">
            <v>-10.828105489901711</v>
          </cell>
          <cell r="F323">
            <v>322</v>
          </cell>
          <cell r="G323">
            <v>-1.2592408314687409</v>
          </cell>
        </row>
        <row r="324">
          <cell r="A324" t="str">
            <v>Iona</v>
          </cell>
          <cell r="B324">
            <v>6.0918722633607372</v>
          </cell>
          <cell r="C324">
            <v>-11.189959684648308</v>
          </cell>
          <cell r="D324">
            <v>322</v>
          </cell>
          <cell r="E324">
            <v>-10.757913885948081</v>
          </cell>
          <cell r="F324">
            <v>321</v>
          </cell>
          <cell r="G324">
            <v>-1.2517180289562946</v>
          </cell>
        </row>
        <row r="325">
          <cell r="A325" t="str">
            <v>Wagner</v>
          </cell>
          <cell r="B325">
            <v>-3.2143612197228788</v>
          </cell>
          <cell r="C325">
            <v>-11.208992388506598</v>
          </cell>
          <cell r="D325">
            <v>323</v>
          </cell>
          <cell r="E325">
            <v>-11.009126609287005</v>
          </cell>
          <cell r="F325">
            <v>323</v>
          </cell>
          <cell r="G325">
            <v>-1.2786418147062397</v>
          </cell>
        </row>
        <row r="326">
          <cell r="A326" t="str">
            <v>Loyola (MD)</v>
          </cell>
          <cell r="B326">
            <v>4.7301769467469432</v>
          </cell>
          <cell r="C326">
            <v>-11.568660862869631</v>
          </cell>
          <cell r="D326">
            <v>324</v>
          </cell>
          <cell r="E326">
            <v>-11.161189917629217</v>
          </cell>
          <cell r="F326">
            <v>324</v>
          </cell>
          <cell r="G326">
            <v>-1.2949392373837925</v>
          </cell>
        </row>
        <row r="327">
          <cell r="A327" t="str">
            <v>Prairie View A&amp;M</v>
          </cell>
          <cell r="B327">
            <v>0.35459686654895983</v>
          </cell>
          <cell r="C327">
            <v>-11.750782716176598</v>
          </cell>
          <cell r="D327">
            <v>325</v>
          </cell>
          <cell r="E327">
            <v>-11.44814822660846</v>
          </cell>
          <cell r="F327">
            <v>325</v>
          </cell>
          <cell r="G327">
            <v>-1.3256940651147915</v>
          </cell>
        </row>
        <row r="328">
          <cell r="A328" t="str">
            <v>North Alabama</v>
          </cell>
          <cell r="B328">
            <v>7.6133101191911416</v>
          </cell>
          <cell r="C328">
            <v>-12.069962353430274</v>
          </cell>
          <cell r="D328">
            <v>326</v>
          </cell>
          <cell r="E328">
            <v>-11.577880541614739</v>
          </cell>
          <cell r="F328">
            <v>326</v>
          </cell>
          <cell r="G328">
            <v>-1.3395981580590053</v>
          </cell>
        </row>
        <row r="329">
          <cell r="A329" t="str">
            <v>Fairleigh Dickinson</v>
          </cell>
          <cell r="B329">
            <v>0.40152395020027842</v>
          </cell>
          <cell r="C329">
            <v>-12.13067915924287</v>
          </cell>
          <cell r="D329">
            <v>327</v>
          </cell>
          <cell r="E329">
            <v>-11.81737408150679</v>
          </cell>
          <cell r="F329">
            <v>327</v>
          </cell>
          <cell r="G329">
            <v>-1.3652659374248222</v>
          </cell>
        </row>
        <row r="330">
          <cell r="A330" t="str">
            <v>Gardner-Webb</v>
          </cell>
          <cell r="B330">
            <v>3.34020568035772</v>
          </cell>
          <cell r="C330">
            <v>-12.210581773417518</v>
          </cell>
          <cell r="D330">
            <v>328</v>
          </cell>
          <cell r="E330">
            <v>-11.821812087073136</v>
          </cell>
          <cell r="F330">
            <v>328</v>
          </cell>
          <cell r="G330">
            <v>-1.3657415817689351</v>
          </cell>
        </row>
        <row r="331">
          <cell r="A331" t="str">
            <v>Bethune-Cookman</v>
          </cell>
          <cell r="B331">
            <v>6.8601819199753917</v>
          </cell>
          <cell r="C331">
            <v>-12.538056258890043</v>
          </cell>
          <cell r="D331">
            <v>331</v>
          </cell>
          <cell r="E331">
            <v>-12.053100304418406</v>
          </cell>
          <cell r="F331">
            <v>330</v>
          </cell>
          <cell r="G331">
            <v>-1.3905299536615858</v>
          </cell>
        </row>
        <row r="332">
          <cell r="A332" t="str">
            <v>Western Illinois</v>
          </cell>
          <cell r="B332">
            <v>-2.5397040187127153</v>
          </cell>
          <cell r="C332">
            <v>-12.236621055902564</v>
          </cell>
          <cell r="D332">
            <v>329</v>
          </cell>
          <cell r="E332">
            <v>-11.994198129972817</v>
          </cell>
          <cell r="F332">
            <v>329</v>
          </cell>
          <cell r="G332">
            <v>-1.3842170985485931</v>
          </cell>
        </row>
        <row r="333">
          <cell r="A333" t="str">
            <v>Mount St. Mary's</v>
          </cell>
          <cell r="B333">
            <v>5.2742780940604961</v>
          </cell>
          <cell r="C333">
            <v>-12.701404837346498</v>
          </cell>
          <cell r="D333">
            <v>332</v>
          </cell>
          <cell r="E333">
            <v>-12.252012764061323</v>
          </cell>
          <cell r="F333">
            <v>331</v>
          </cell>
          <cell r="G333">
            <v>-1.4118484457158085</v>
          </cell>
        </row>
        <row r="334">
          <cell r="A334" t="str">
            <v>New Haven</v>
          </cell>
          <cell r="B334">
            <v>-5.2930000000000001</v>
          </cell>
          <cell r="C334">
            <v>-12.487432739883298</v>
          </cell>
          <cell r="D334">
            <v>330</v>
          </cell>
          <cell r="E334">
            <v>-12.307571921386215</v>
          </cell>
          <cell r="F334">
            <v>332</v>
          </cell>
          <cell r="G334">
            <v>-1.4178030121421465</v>
          </cell>
        </row>
        <row r="335">
          <cell r="A335" t="str">
            <v>North Carolina Central</v>
          </cell>
          <cell r="B335">
            <v>2.8651439119599189</v>
          </cell>
          <cell r="C335">
            <v>-12.738637754181278</v>
          </cell>
          <cell r="D335">
            <v>333</v>
          </cell>
          <cell r="E335">
            <v>-12.348543212527748</v>
          </cell>
          <cell r="F335">
            <v>333</v>
          </cell>
          <cell r="G335">
            <v>-1.4221941204026345</v>
          </cell>
        </row>
        <row r="336">
          <cell r="A336" t="str">
            <v>Army</v>
          </cell>
          <cell r="B336">
            <v>0.66986875819249847</v>
          </cell>
          <cell r="C336">
            <v>-12.900730766026872</v>
          </cell>
          <cell r="D336">
            <v>335</v>
          </cell>
          <cell r="E336">
            <v>-12.561465777921388</v>
          </cell>
          <cell r="F336">
            <v>335</v>
          </cell>
          <cell r="G336">
            <v>-1.4450141490054567</v>
          </cell>
        </row>
        <row r="337">
          <cell r="A337" t="str">
            <v>Chicago State</v>
          </cell>
          <cell r="B337">
            <v>-0.49518354088141603</v>
          </cell>
          <cell r="C337">
            <v>-12.852785719596582</v>
          </cell>
          <cell r="D337">
            <v>334</v>
          </cell>
          <cell r="E337">
            <v>-12.543845665128703</v>
          </cell>
          <cell r="F337">
            <v>334</v>
          </cell>
          <cell r="G337">
            <v>-1.4431257090593632</v>
          </cell>
        </row>
        <row r="338">
          <cell r="A338" t="str">
            <v>NJIT</v>
          </cell>
          <cell r="B338">
            <v>-0.69529800022591692</v>
          </cell>
          <cell r="C338">
            <v>-13.12672492600492</v>
          </cell>
          <cell r="D338">
            <v>337</v>
          </cell>
          <cell r="E338">
            <v>-12.815939252860446</v>
          </cell>
          <cell r="F338">
            <v>337</v>
          </cell>
          <cell r="G338">
            <v>-1.4722874066145455</v>
          </cell>
        </row>
        <row r="339">
          <cell r="A339" t="str">
            <v>Arkansas-Pine Bluff</v>
          </cell>
          <cell r="B339">
            <v>-4.6035883704208791</v>
          </cell>
          <cell r="C339">
            <v>-13.004315675378859</v>
          </cell>
          <cell r="D339">
            <v>336</v>
          </cell>
          <cell r="E339">
            <v>-12.794297492754909</v>
          </cell>
          <cell r="F339">
            <v>336</v>
          </cell>
          <cell r="G339">
            <v>-1.4699679456231247</v>
          </cell>
        </row>
        <row r="340">
          <cell r="A340" t="str">
            <v>Bucknell</v>
          </cell>
          <cell r="B340">
            <v>7.7294375300092817</v>
          </cell>
          <cell r="C340">
            <v>-13.51293471011077</v>
          </cell>
          <cell r="D340">
            <v>341</v>
          </cell>
          <cell r="E340">
            <v>-12.981875404107768</v>
          </cell>
          <cell r="F340">
            <v>338</v>
          </cell>
          <cell r="G340">
            <v>-1.4900716546612731</v>
          </cell>
        </row>
        <row r="341">
          <cell r="A341" t="str">
            <v>Lafayette</v>
          </cell>
          <cell r="B341">
            <v>4.7436684030150609</v>
          </cell>
          <cell r="C341">
            <v>-13.436579342778746</v>
          </cell>
          <cell r="D341">
            <v>339</v>
          </cell>
          <cell r="E341">
            <v>-12.9820731491339</v>
          </cell>
          <cell r="F341">
            <v>339</v>
          </cell>
          <cell r="G341">
            <v>-1.490092848033352</v>
          </cell>
        </row>
        <row r="342">
          <cell r="A342" t="str">
            <v>Grambling</v>
          </cell>
          <cell r="B342">
            <v>1.3566321282868876</v>
          </cell>
          <cell r="C342">
            <v>-13.391063556460528</v>
          </cell>
          <cell r="D342">
            <v>338</v>
          </cell>
          <cell r="E342">
            <v>-13.022371164341843</v>
          </cell>
          <cell r="F342">
            <v>340</v>
          </cell>
          <cell r="G342">
            <v>-1.4944117977791533</v>
          </cell>
        </row>
        <row r="343">
          <cell r="A343" t="str">
            <v>St. Francis (PA)</v>
          </cell>
          <cell r="B343">
            <v>0.63558395070084839</v>
          </cell>
          <cell r="C343">
            <v>-13.504545104152223</v>
          </cell>
          <cell r="D343">
            <v>340</v>
          </cell>
          <cell r="E343">
            <v>-13.151041877780896</v>
          </cell>
          <cell r="F343">
            <v>341</v>
          </cell>
          <cell r="G343">
            <v>-1.5082021133128605</v>
          </cell>
        </row>
        <row r="344">
          <cell r="A344" t="str">
            <v>Alabama State</v>
          </cell>
          <cell r="B344">
            <v>3.1129567794137207</v>
          </cell>
          <cell r="C344">
            <v>-13.824943479812674</v>
          </cell>
          <cell r="D344">
            <v>343</v>
          </cell>
          <cell r="E344">
            <v>-13.401495973332013</v>
          </cell>
          <cell r="F344">
            <v>342</v>
          </cell>
          <cell r="G344">
            <v>-1.5350445929420353</v>
          </cell>
        </row>
        <row r="345">
          <cell r="A345" t="str">
            <v>Texas Southern</v>
          </cell>
          <cell r="B345">
            <v>1.0954485835368148</v>
          </cell>
          <cell r="C345">
            <v>-13.790040314424449</v>
          </cell>
          <cell r="D345">
            <v>342</v>
          </cell>
          <cell r="E345">
            <v>-13.417903091975417</v>
          </cell>
          <cell r="F345">
            <v>343</v>
          </cell>
          <cell r="G345">
            <v>-1.5368030299402002</v>
          </cell>
        </row>
        <row r="346">
          <cell r="A346" t="str">
            <v>Morgan State</v>
          </cell>
          <cell r="B346">
            <v>0.79234271298094627</v>
          </cell>
          <cell r="C346">
            <v>-13.90842660792768</v>
          </cell>
          <cell r="D346">
            <v>344</v>
          </cell>
          <cell r="E346">
            <v>-13.540907374904963</v>
          </cell>
          <cell r="F346">
            <v>344</v>
          </cell>
          <cell r="G346">
            <v>-1.5499860443827158</v>
          </cell>
        </row>
        <row r="347">
          <cell r="A347" t="str">
            <v>New Hampshire</v>
          </cell>
          <cell r="B347">
            <v>-2.3238898054954618</v>
          </cell>
          <cell r="C347">
            <v>-14.046560854526723</v>
          </cell>
          <cell r="D347">
            <v>345</v>
          </cell>
          <cell r="E347">
            <v>-13.753494078300941</v>
          </cell>
          <cell r="F347">
            <v>346</v>
          </cell>
          <cell r="G347">
            <v>-1.5727700768928783</v>
          </cell>
        </row>
        <row r="348">
          <cell r="A348" t="str">
            <v>Holy Cross</v>
          </cell>
          <cell r="B348">
            <v>3.9101987006149983</v>
          </cell>
          <cell r="C348">
            <v>-14.208748591657059</v>
          </cell>
          <cell r="D348">
            <v>347</v>
          </cell>
          <cell r="E348">
            <v>-13.755774909350258</v>
          </cell>
          <cell r="F348">
            <v>347</v>
          </cell>
          <cell r="G348">
            <v>-1.573014525524649</v>
          </cell>
        </row>
        <row r="349">
          <cell r="A349" t="str">
            <v>Alabama A&amp;M</v>
          </cell>
          <cell r="B349">
            <v>-9.9882025662743068E-2</v>
          </cell>
          <cell r="C349">
            <v>-14.089906411621977</v>
          </cell>
          <cell r="D349">
            <v>346</v>
          </cell>
          <cell r="E349">
            <v>-13.740155801972996</v>
          </cell>
          <cell r="F349">
            <v>345</v>
          </cell>
          <cell r="G349">
            <v>-1.5713405438288117</v>
          </cell>
        </row>
        <row r="350">
          <cell r="A350" t="str">
            <v>Stonehill</v>
          </cell>
          <cell r="B350">
            <v>4.0222593156715423</v>
          </cell>
          <cell r="C350">
            <v>-14.86938562848631</v>
          </cell>
          <cell r="D350">
            <v>348</v>
          </cell>
          <cell r="E350">
            <v>-14.397094504882363</v>
          </cell>
          <cell r="F350">
            <v>348</v>
          </cell>
          <cell r="G350">
            <v>-1.6417481117771751</v>
          </cell>
        </row>
        <row r="351">
          <cell r="A351" t="str">
            <v>Sacred Heart</v>
          </cell>
          <cell r="B351">
            <v>9.1931430242842236</v>
          </cell>
          <cell r="C351">
            <v>-15.095028543738266</v>
          </cell>
          <cell r="D351">
            <v>350</v>
          </cell>
          <cell r="E351">
            <v>-14.487824254537703</v>
          </cell>
          <cell r="F351">
            <v>349</v>
          </cell>
          <cell r="G351">
            <v>-1.6514720951343829</v>
          </cell>
        </row>
        <row r="352">
          <cell r="A352" t="str">
            <v>Florida A&amp;M</v>
          </cell>
          <cell r="B352">
            <v>3.0005176972413556</v>
          </cell>
          <cell r="C352">
            <v>-14.980845360098693</v>
          </cell>
          <cell r="D352">
            <v>349</v>
          </cell>
          <cell r="E352">
            <v>-14.531311283665191</v>
          </cell>
          <cell r="F352">
            <v>350</v>
          </cell>
          <cell r="G352">
            <v>-1.6561328282356698</v>
          </cell>
        </row>
        <row r="353">
          <cell r="A353" t="str">
            <v>South Carolina State</v>
          </cell>
          <cell r="B353">
            <v>4.3558095170739604</v>
          </cell>
          <cell r="C353">
            <v>-15.205425419474604</v>
          </cell>
          <cell r="D353">
            <v>351</v>
          </cell>
          <cell r="E353">
            <v>-14.71639454606089</v>
          </cell>
          <cell r="F353">
            <v>351</v>
          </cell>
          <cell r="G353">
            <v>-1.6759691726548958</v>
          </cell>
        </row>
        <row r="354">
          <cell r="A354" t="str">
            <v>Maryland-Eastern Shore</v>
          </cell>
          <cell r="B354">
            <v>-7.46150564686896</v>
          </cell>
          <cell r="C354">
            <v>-15.44353465034242</v>
          </cell>
          <cell r="D354">
            <v>352</v>
          </cell>
          <cell r="E354">
            <v>-15.243983925255584</v>
          </cell>
          <cell r="F354">
            <v>352</v>
          </cell>
          <cell r="G354">
            <v>-1.7325136948454389</v>
          </cell>
        </row>
        <row r="355">
          <cell r="A355" t="str">
            <v>Bryant</v>
          </cell>
          <cell r="B355">
            <v>4.5913220131176402</v>
          </cell>
          <cell r="C355">
            <v>-15.92122431515933</v>
          </cell>
          <cell r="D355">
            <v>353</v>
          </cell>
          <cell r="E355">
            <v>-15.408410656952405</v>
          </cell>
          <cell r="F355">
            <v>353</v>
          </cell>
          <cell r="G355">
            <v>-1.7501361704785552</v>
          </cell>
        </row>
        <row r="356">
          <cell r="A356" t="str">
            <v>Maine</v>
          </cell>
          <cell r="B356">
            <v>4.6720520639147853</v>
          </cell>
          <cell r="C356">
            <v>-16.205213139420017</v>
          </cell>
          <cell r="D356">
            <v>354</v>
          </cell>
          <cell r="E356">
            <v>-15.683281509336647</v>
          </cell>
          <cell r="F356">
            <v>354</v>
          </cell>
          <cell r="G356">
            <v>-1.7795955220596993</v>
          </cell>
        </row>
        <row r="357">
          <cell r="A357" t="str">
            <v>Manhatten</v>
          </cell>
          <cell r="B357">
            <v>7.2105478827849216</v>
          </cell>
          <cell r="C357">
            <v>-16.30589706730623</v>
          </cell>
          <cell r="D357">
            <v>356</v>
          </cell>
          <cell r="E357">
            <v>-15.71798594355395</v>
          </cell>
          <cell r="F357">
            <v>355</v>
          </cell>
          <cell r="G357">
            <v>-1.7833149783795097</v>
          </cell>
        </row>
        <row r="358">
          <cell r="A358" t="str">
            <v>UL Monroe</v>
          </cell>
          <cell r="B358">
            <v>-1.7780745876225708</v>
          </cell>
          <cell r="C358">
            <v>-16.256245642044327</v>
          </cell>
          <cell r="D358">
            <v>355</v>
          </cell>
          <cell r="E358">
            <v>-15.894291365683783</v>
          </cell>
          <cell r="F358">
            <v>356</v>
          </cell>
          <cell r="G358">
            <v>-1.8022105555974404</v>
          </cell>
        </row>
        <row r="359">
          <cell r="A359" t="str">
            <v>Canisius</v>
          </cell>
          <cell r="B359">
            <v>1.1369916175008097</v>
          </cell>
          <cell r="C359">
            <v>-17.130544069939276</v>
          </cell>
          <cell r="D359">
            <v>357</v>
          </cell>
          <cell r="E359">
            <v>-16.673855677753274</v>
          </cell>
          <cell r="F359">
            <v>357</v>
          </cell>
          <cell r="G359">
            <v>-1.8857605535334339</v>
          </cell>
        </row>
        <row r="360">
          <cell r="A360" t="str">
            <v>Niagara</v>
          </cell>
          <cell r="B360">
            <v>1.7378405053987651</v>
          </cell>
          <cell r="C360">
            <v>-17.283288821469487</v>
          </cell>
          <cell r="D360">
            <v>358</v>
          </cell>
          <cell r="E360">
            <v>-16.807760588297779</v>
          </cell>
          <cell r="F360">
            <v>358</v>
          </cell>
          <cell r="G360">
            <v>-1.9001118454363595</v>
          </cell>
        </row>
        <row r="361">
          <cell r="A361" t="str">
            <v>Rider</v>
          </cell>
          <cell r="B361">
            <v>3.9136887287158708</v>
          </cell>
          <cell r="C361">
            <v>-18.17425955892158</v>
          </cell>
          <cell r="D361">
            <v>359</v>
          </cell>
          <cell r="E361">
            <v>-17.622060851730645</v>
          </cell>
          <cell r="F361">
            <v>359</v>
          </cell>
          <cell r="G361">
            <v>-1.9873846775500879</v>
          </cell>
        </row>
        <row r="362">
          <cell r="A362" t="str">
            <v>Jackson State</v>
          </cell>
          <cell r="B362">
            <v>5.3578616105493566</v>
          </cell>
          <cell r="C362">
            <v>-18.465491366336988</v>
          </cell>
          <cell r="D362">
            <v>360</v>
          </cell>
          <cell r="E362">
            <v>-17.869907541914831</v>
          </cell>
          <cell r="F362">
            <v>360</v>
          </cell>
          <cell r="G362">
            <v>-2.0139477078642383</v>
          </cell>
        </row>
        <row r="363">
          <cell r="A363" t="str">
            <v>Delaware State</v>
          </cell>
          <cell r="B363">
            <v>1.6756310890303849</v>
          </cell>
          <cell r="C363">
            <v>-20.207386147061818</v>
          </cell>
          <cell r="D363">
            <v>361</v>
          </cell>
          <cell r="E363">
            <v>-19.660310716159511</v>
          </cell>
          <cell r="F363">
            <v>361</v>
          </cell>
          <cell r="G363">
            <v>-2.2058346108390943</v>
          </cell>
        </row>
        <row r="364">
          <cell r="A364" t="str">
            <v>Binghamton</v>
          </cell>
          <cell r="B364">
            <v>-0.20716602569142617</v>
          </cell>
          <cell r="C364">
            <v>-20.57840594578423</v>
          </cell>
          <cell r="D364">
            <v>364</v>
          </cell>
          <cell r="E364">
            <v>-20.069124947781908</v>
          </cell>
          <cell r="F364">
            <v>364</v>
          </cell>
          <cell r="G364">
            <v>-2.24964937721492</v>
          </cell>
        </row>
        <row r="365">
          <cell r="A365" t="str">
            <v>Alcorn State</v>
          </cell>
          <cell r="B365">
            <v>0.85539572328334845</v>
          </cell>
          <cell r="C365">
            <v>-20.404878131489806</v>
          </cell>
          <cell r="D365">
            <v>362</v>
          </cell>
          <cell r="E365">
            <v>-19.873371285120477</v>
          </cell>
          <cell r="F365">
            <v>362</v>
          </cell>
          <cell r="G365">
            <v>-2.2286694300083734</v>
          </cell>
        </row>
        <row r="366">
          <cell r="A366" t="str">
            <v>Coppin State</v>
          </cell>
          <cell r="B366">
            <v>-3.5837178026593812</v>
          </cell>
          <cell r="C366">
            <v>-20.428367200880661</v>
          </cell>
          <cell r="D366">
            <v>363</v>
          </cell>
          <cell r="E366">
            <v>-20.007250965925131</v>
          </cell>
          <cell r="F366">
            <v>363</v>
          </cell>
          <cell r="G366">
            <v>-2.2430180179076911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-23.79692203344511</v>
          </cell>
          <cell r="D367">
            <v>365</v>
          </cell>
          <cell r="E367">
            <v>-23.557548551542975</v>
          </cell>
          <cell r="F367">
            <v>365</v>
          </cell>
          <cell r="G367">
            <v>-2.6235220396516876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M37"/>
  <sheetViews>
    <sheetView workbookViewId="0">
      <selection activeCell="M2" sqref="M2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2" width="10.83203125" style="1"/>
  </cols>
  <sheetData>
    <row r="1" spans="1:13" x14ac:dyDescent="0.2">
      <c r="A1" s="1" t="s">
        <v>373</v>
      </c>
      <c r="B1" s="1" t="s">
        <v>0</v>
      </c>
      <c r="C1" s="1" t="s">
        <v>368</v>
      </c>
      <c r="D1" s="1" t="s">
        <v>402</v>
      </c>
      <c r="E1" s="1" t="s">
        <v>369</v>
      </c>
      <c r="F1" s="1" t="s">
        <v>403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406</v>
      </c>
      <c r="L1" s="1" t="s">
        <v>387</v>
      </c>
      <c r="M1" s="1" t="s">
        <v>442</v>
      </c>
    </row>
    <row r="2" spans="1:13" x14ac:dyDescent="0.2">
      <c r="A2" s="1">
        <v>1</v>
      </c>
      <c r="B2" s="6" t="str">
        <f>VLOOKUP(A2,[1]Games!$B$2:$K$398,2,FALSE)</f>
        <v>UConn</v>
      </c>
      <c r="C2" s="6" t="str">
        <f>VLOOKUP(A2,[1]Games!$B$2:$K$398,3,FALSE)</f>
        <v>Michigan</v>
      </c>
      <c r="D2" s="6" t="str">
        <f>B2</f>
        <v>UConn</v>
      </c>
      <c r="E2" s="5">
        <f>VLOOKUP(A2,[1]Games!$B$2:$K$398,4,FALSE)</f>
        <v>-3.9870333483830418</v>
      </c>
      <c r="F2" s="5">
        <f>-VLOOKUP(A2,[2]Games!$A$2:$X$282,24,FALSE)</f>
        <v>-7</v>
      </c>
      <c r="G2" s="7">
        <f>VLOOKUP(A2,[1]Games!$B$2:$K$398,9,FALSE)</f>
        <v>5.1676547655618021E-2</v>
      </c>
      <c r="H2" s="7">
        <f>VLOOKUP(A2,[1]Games!$B$2:$K$398,7,FALSE)</f>
        <v>0</v>
      </c>
      <c r="I2" s="7">
        <f>VLOOKUP(A2,[1]Games!$B$2:$K$398,8,FALSE)/4</f>
        <v>2.428068479710907E-2</v>
      </c>
      <c r="J2" s="8" t="s">
        <v>443</v>
      </c>
      <c r="K2" s="5"/>
      <c r="L2" s="9">
        <f>IF(J2="Yes",(H2*1500)/100,0)</f>
        <v>0</v>
      </c>
      <c r="M2" s="1" t="s">
        <v>443</v>
      </c>
    </row>
    <row r="3" spans="1:13" x14ac:dyDescent="0.2">
      <c r="B3" s="6"/>
      <c r="C3" s="6"/>
      <c r="D3" s="6"/>
      <c r="E3" s="5"/>
      <c r="F3" s="5"/>
      <c r="G3" s="7"/>
      <c r="H3" s="7"/>
      <c r="I3" s="7"/>
      <c r="J3" s="8"/>
      <c r="K3" s="5"/>
      <c r="L3" s="9"/>
    </row>
    <row r="4" spans="1:13" x14ac:dyDescent="0.2">
      <c r="B4" s="6"/>
      <c r="C4" s="6"/>
      <c r="D4" s="6"/>
      <c r="E4" s="5"/>
      <c r="F4" s="5"/>
      <c r="G4" s="7"/>
      <c r="H4" s="7"/>
      <c r="I4" s="7"/>
      <c r="J4" s="8"/>
      <c r="K4" s="5"/>
      <c r="L4" s="9"/>
    </row>
    <row r="5" spans="1:13" x14ac:dyDescent="0.2">
      <c r="B5" s="6"/>
      <c r="C5" s="6"/>
      <c r="D5" s="6"/>
      <c r="E5" s="5"/>
      <c r="F5" s="5"/>
      <c r="G5" s="7"/>
      <c r="H5" s="7"/>
      <c r="I5" s="7"/>
      <c r="J5" s="8"/>
      <c r="K5" s="5"/>
      <c r="L5" s="9"/>
    </row>
    <row r="6" spans="1:13" x14ac:dyDescent="0.2">
      <c r="B6" s="6"/>
      <c r="C6" s="6"/>
      <c r="D6" s="6"/>
      <c r="E6" s="5"/>
      <c r="F6" s="5"/>
      <c r="G6" s="7"/>
      <c r="H6" s="7"/>
      <c r="I6" s="7"/>
      <c r="J6" s="8"/>
      <c r="K6" s="5"/>
      <c r="L6" s="9"/>
    </row>
    <row r="7" spans="1:13" x14ac:dyDescent="0.2">
      <c r="B7" s="6"/>
      <c r="C7" s="6"/>
      <c r="D7" s="6"/>
      <c r="E7" s="5"/>
      <c r="F7" s="5"/>
      <c r="G7" s="7"/>
      <c r="H7" s="7"/>
      <c r="I7" s="7"/>
      <c r="J7" s="8"/>
      <c r="K7" s="5"/>
      <c r="L7" s="9"/>
    </row>
    <row r="8" spans="1:13" x14ac:dyDescent="0.2">
      <c r="B8" s="6"/>
      <c r="C8" s="6"/>
      <c r="D8" s="6"/>
      <c r="E8" s="5"/>
      <c r="F8" s="5"/>
      <c r="G8" s="7"/>
      <c r="H8" s="7"/>
      <c r="I8" s="7"/>
      <c r="J8" s="8"/>
      <c r="K8" s="5"/>
      <c r="L8" s="9"/>
    </row>
    <row r="9" spans="1:13" x14ac:dyDescent="0.2">
      <c r="B9" s="6"/>
      <c r="C9" s="6"/>
      <c r="D9" s="6"/>
      <c r="E9" s="5"/>
      <c r="F9" s="5"/>
      <c r="G9" s="7"/>
      <c r="H9" s="7"/>
      <c r="I9" s="7"/>
      <c r="J9" s="8"/>
      <c r="K9" s="5"/>
      <c r="L9" s="9"/>
    </row>
    <row r="10" spans="1:13" x14ac:dyDescent="0.2">
      <c r="B10" s="6"/>
      <c r="C10" s="6"/>
      <c r="D10" s="6"/>
      <c r="E10" s="5"/>
      <c r="F10" s="5"/>
      <c r="G10" s="7"/>
      <c r="H10" s="7"/>
      <c r="I10" s="7"/>
      <c r="J10" s="8"/>
      <c r="K10" s="5"/>
      <c r="L10" s="9"/>
    </row>
    <row r="11" spans="1:13" x14ac:dyDescent="0.2">
      <c r="B11" s="6"/>
      <c r="C11" s="6"/>
      <c r="D11" s="6"/>
      <c r="E11" s="5"/>
      <c r="F11" s="5"/>
      <c r="G11" s="7"/>
      <c r="H11" s="7"/>
      <c r="I11" s="7"/>
      <c r="J11" s="8"/>
      <c r="K11" s="5"/>
      <c r="L11" s="9"/>
    </row>
    <row r="12" spans="1:13" x14ac:dyDescent="0.2">
      <c r="B12" s="6"/>
      <c r="C12" s="6"/>
      <c r="D12" s="6"/>
      <c r="E12" s="5"/>
      <c r="F12" s="5"/>
      <c r="G12" s="7"/>
      <c r="H12" s="7"/>
      <c r="I12" s="7"/>
      <c r="J12" s="8"/>
      <c r="K12" s="5"/>
      <c r="L12" s="9"/>
    </row>
    <row r="13" spans="1:13" x14ac:dyDescent="0.2">
      <c r="B13" s="6"/>
      <c r="C13" s="6"/>
      <c r="D13" s="6"/>
      <c r="E13" s="5"/>
      <c r="F13" s="5"/>
      <c r="G13" s="7"/>
      <c r="H13" s="7"/>
      <c r="I13" s="7"/>
      <c r="J13" s="8"/>
      <c r="K13" s="5"/>
      <c r="L13" s="9"/>
    </row>
    <row r="14" spans="1:13" x14ac:dyDescent="0.2">
      <c r="B14" s="6"/>
      <c r="C14" s="6"/>
      <c r="D14" s="6"/>
      <c r="E14" s="5"/>
      <c r="F14" s="5"/>
      <c r="G14" s="7"/>
      <c r="H14" s="7"/>
      <c r="I14" s="7"/>
      <c r="J14" s="8"/>
      <c r="K14" s="5"/>
      <c r="L14" s="9"/>
    </row>
    <row r="15" spans="1:13" x14ac:dyDescent="0.2">
      <c r="B15" s="6"/>
      <c r="C15" s="6"/>
      <c r="D15" s="6"/>
      <c r="E15" s="5"/>
      <c r="F15" s="5"/>
      <c r="G15" s="7"/>
      <c r="H15" s="7"/>
      <c r="I15" s="7"/>
      <c r="J15" s="8"/>
      <c r="K15" s="5"/>
      <c r="L15" s="9"/>
    </row>
    <row r="16" spans="1:13" x14ac:dyDescent="0.2">
      <c r="B16" s="6"/>
      <c r="C16" s="6"/>
      <c r="D16" s="6"/>
      <c r="E16" s="5"/>
      <c r="F16" s="5"/>
      <c r="G16" s="7"/>
      <c r="H16" s="7"/>
      <c r="I16" s="7"/>
      <c r="J16" s="8"/>
      <c r="K16" s="5"/>
      <c r="L16" s="9"/>
    </row>
    <row r="17" spans="2:12" x14ac:dyDescent="0.2">
      <c r="B17" s="6"/>
      <c r="C17" s="6"/>
      <c r="D17" s="6"/>
      <c r="E17" s="5"/>
      <c r="F17" s="5"/>
      <c r="G17" s="7"/>
      <c r="H17" s="7"/>
      <c r="I17" s="7"/>
      <c r="J17" s="8"/>
      <c r="K17" s="5"/>
      <c r="L17" s="9"/>
    </row>
    <row r="18" spans="2:12" x14ac:dyDescent="0.2">
      <c r="B18" s="6"/>
      <c r="C18" s="6"/>
      <c r="D18" s="6"/>
      <c r="E18" s="5"/>
      <c r="F18" s="5"/>
      <c r="G18" s="7"/>
      <c r="H18" s="7"/>
      <c r="I18" s="7"/>
      <c r="J18" s="8"/>
      <c r="K18" s="5"/>
      <c r="L18" s="9"/>
    </row>
    <row r="19" spans="2:12" x14ac:dyDescent="0.2">
      <c r="B19" s="6"/>
      <c r="C19" s="6"/>
      <c r="D19" s="6"/>
      <c r="E19" s="5"/>
      <c r="F19" s="5"/>
      <c r="G19" s="7"/>
      <c r="H19" s="7"/>
      <c r="I19" s="7"/>
      <c r="J19" s="8"/>
      <c r="K19" s="5"/>
      <c r="L19" s="9"/>
    </row>
    <row r="20" spans="2:12" x14ac:dyDescent="0.2">
      <c r="B20" s="6"/>
      <c r="C20" s="6"/>
      <c r="D20" s="6"/>
      <c r="E20" s="5"/>
      <c r="F20" s="5"/>
      <c r="G20" s="7"/>
      <c r="H20" s="7"/>
      <c r="I20" s="7"/>
      <c r="J20" s="8"/>
      <c r="K20" s="5"/>
      <c r="L20" s="9"/>
    </row>
    <row r="21" spans="2:12" x14ac:dyDescent="0.2">
      <c r="B21" s="6"/>
      <c r="C21" s="6"/>
      <c r="D21" s="6"/>
      <c r="E21" s="5"/>
      <c r="F21" s="5"/>
      <c r="G21" s="7"/>
      <c r="H21" s="7"/>
      <c r="I21" s="7"/>
      <c r="J21" s="8"/>
      <c r="K21" s="5"/>
      <c r="L21" s="9"/>
    </row>
    <row r="22" spans="2:12" x14ac:dyDescent="0.2">
      <c r="B22" s="6"/>
      <c r="C22" s="6"/>
      <c r="D22" s="6"/>
      <c r="E22" s="5"/>
      <c r="F22" s="5"/>
      <c r="G22" s="7"/>
      <c r="H22" s="7"/>
      <c r="I22" s="7"/>
      <c r="J22" s="8"/>
      <c r="K22" s="5"/>
      <c r="L22" s="9"/>
    </row>
    <row r="23" spans="2:12" x14ac:dyDescent="0.2">
      <c r="B23" s="6"/>
      <c r="C23" s="6"/>
      <c r="D23" s="6"/>
      <c r="E23" s="5"/>
      <c r="F23" s="5"/>
      <c r="G23" s="7"/>
      <c r="H23" s="7"/>
      <c r="I23" s="7"/>
      <c r="J23" s="8"/>
      <c r="K23" s="5"/>
      <c r="L23" s="9"/>
    </row>
    <row r="24" spans="2:12" x14ac:dyDescent="0.2">
      <c r="B24" s="6"/>
      <c r="C24" s="6"/>
      <c r="D24" s="6"/>
      <c r="E24" s="5"/>
      <c r="F24" s="5"/>
      <c r="G24" s="7"/>
      <c r="H24" s="7"/>
      <c r="I24" s="7"/>
      <c r="J24" s="8"/>
      <c r="K24" s="5"/>
      <c r="L24" s="9"/>
    </row>
    <row r="25" spans="2:12" x14ac:dyDescent="0.2">
      <c r="B25" s="6"/>
      <c r="C25" s="6"/>
      <c r="D25" s="6"/>
      <c r="E25" s="5"/>
      <c r="F25" s="5"/>
      <c r="G25" s="7"/>
      <c r="H25" s="7"/>
      <c r="I25" s="7"/>
      <c r="J25" s="8"/>
      <c r="K25" s="5"/>
      <c r="L25" s="9"/>
    </row>
    <row r="26" spans="2:12" x14ac:dyDescent="0.2">
      <c r="B26" s="6"/>
      <c r="C26" s="6"/>
      <c r="D26" s="6"/>
      <c r="E26" s="5"/>
      <c r="F26" s="5"/>
      <c r="G26" s="7"/>
      <c r="H26" s="7"/>
      <c r="I26" s="7"/>
      <c r="J26" s="8"/>
      <c r="K26" s="5"/>
      <c r="L26" s="9"/>
    </row>
    <row r="27" spans="2:12" x14ac:dyDescent="0.2">
      <c r="B27" s="6"/>
      <c r="C27" s="6"/>
      <c r="D27" s="6"/>
      <c r="E27" s="5"/>
      <c r="F27" s="5"/>
      <c r="G27" s="7"/>
      <c r="H27" s="7"/>
      <c r="I27" s="7"/>
      <c r="J27" s="8"/>
      <c r="K27" s="5"/>
      <c r="L27" s="9"/>
    </row>
    <row r="28" spans="2:12" x14ac:dyDescent="0.2">
      <c r="B28" s="6"/>
      <c r="C28" s="6"/>
      <c r="D28" s="6"/>
      <c r="E28" s="5"/>
      <c r="F28" s="5"/>
      <c r="G28" s="7"/>
      <c r="H28" s="7"/>
      <c r="I28" s="7"/>
      <c r="J28" s="8"/>
      <c r="K28" s="5"/>
      <c r="L28" s="9"/>
    </row>
    <row r="29" spans="2:12" x14ac:dyDescent="0.2">
      <c r="B29" s="6"/>
      <c r="C29" s="6"/>
      <c r="D29" s="6"/>
      <c r="E29" s="5"/>
      <c r="F29" s="5"/>
      <c r="G29" s="7"/>
      <c r="H29" s="7"/>
      <c r="I29" s="7"/>
      <c r="J29" s="8"/>
      <c r="K29" s="5"/>
      <c r="L29" s="9"/>
    </row>
    <row r="30" spans="2:12" x14ac:dyDescent="0.2">
      <c r="B30" s="6"/>
      <c r="C30" s="6"/>
      <c r="D30" s="6"/>
      <c r="E30" s="5"/>
      <c r="F30" s="5"/>
      <c r="G30" s="7"/>
      <c r="H30" s="7"/>
      <c r="I30" s="7"/>
      <c r="J30" s="8"/>
      <c r="K30" s="5"/>
      <c r="L30" s="9"/>
    </row>
    <row r="31" spans="2:12" x14ac:dyDescent="0.2">
      <c r="B31" s="6"/>
      <c r="C31" s="6"/>
      <c r="D31" s="6"/>
      <c r="E31" s="5"/>
      <c r="F31" s="5"/>
      <c r="G31" s="7"/>
      <c r="H31" s="7"/>
      <c r="I31" s="7"/>
      <c r="J31" s="8"/>
      <c r="K31" s="5"/>
      <c r="L31" s="9"/>
    </row>
    <row r="32" spans="2:12" x14ac:dyDescent="0.2">
      <c r="B32" s="6"/>
      <c r="C32" s="6"/>
      <c r="D32" s="6"/>
      <c r="E32" s="5"/>
      <c r="F32" s="5"/>
      <c r="G32" s="7"/>
      <c r="H32" s="7"/>
      <c r="I32" s="7"/>
      <c r="J32" s="8"/>
      <c r="K32" s="5"/>
      <c r="L32" s="9"/>
    </row>
    <row r="33" spans="2:12" x14ac:dyDescent="0.2">
      <c r="B33" s="6"/>
      <c r="C33" s="6"/>
      <c r="D33" s="6"/>
      <c r="E33" s="5"/>
      <c r="F33" s="5"/>
      <c r="G33" s="7"/>
      <c r="H33" s="7"/>
      <c r="I33" s="7"/>
      <c r="J33" s="8"/>
      <c r="K33" s="5"/>
      <c r="L33" s="9"/>
    </row>
    <row r="34" spans="2:12" x14ac:dyDescent="0.2">
      <c r="B34" s="6"/>
      <c r="C34" s="6"/>
      <c r="D34" s="6"/>
      <c r="E34" s="5"/>
      <c r="F34" s="5"/>
      <c r="G34" s="7"/>
      <c r="H34" s="7"/>
      <c r="I34" s="7"/>
      <c r="J34" s="8"/>
      <c r="K34" s="5"/>
      <c r="L34" s="9"/>
    </row>
    <row r="35" spans="2:12" x14ac:dyDescent="0.2">
      <c r="B35" s="6"/>
      <c r="C35" s="6"/>
      <c r="D35" s="6"/>
      <c r="E35" s="5"/>
      <c r="F35" s="5"/>
      <c r="G35" s="7"/>
      <c r="H35" s="7"/>
      <c r="I35" s="7"/>
      <c r="J35" s="8"/>
      <c r="K35" s="5"/>
      <c r="L35" s="9"/>
    </row>
    <row r="36" spans="2:12" x14ac:dyDescent="0.2">
      <c r="B36" s="6"/>
      <c r="C36" s="6"/>
      <c r="D36" s="6"/>
      <c r="E36" s="5"/>
      <c r="F36" s="5"/>
      <c r="G36" s="7"/>
      <c r="H36" s="7"/>
      <c r="I36" s="7"/>
      <c r="J36" s="8"/>
      <c r="K36" s="5"/>
      <c r="L36" s="9"/>
    </row>
    <row r="37" spans="2:12" x14ac:dyDescent="0.2">
      <c r="B37" s="6"/>
      <c r="C37" s="6"/>
      <c r="D37" s="6"/>
      <c r="E37" s="5"/>
      <c r="F37" s="5"/>
      <c r="G37" s="7"/>
      <c r="H37" s="7"/>
      <c r="I37" s="7"/>
      <c r="J37" s="8"/>
      <c r="K37" s="5"/>
      <c r="L37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P35"/>
  <sheetViews>
    <sheetView workbookViewId="0">
      <selection activeCell="C37" sqref="C37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10" max="10" width="12.33203125" bestFit="1" customWidth="1"/>
    <col min="11" max="11" width="12.33203125" customWidth="1"/>
    <col min="12" max="12" width="11.5" bestFit="1" customWidth="1"/>
    <col min="13" max="13" width="11.6640625" bestFit="1" customWidth="1"/>
    <col min="14" max="14" width="11.6640625" customWidth="1"/>
  </cols>
  <sheetData>
    <row r="1" spans="1:16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394</v>
      </c>
      <c r="F1" s="1" t="s">
        <v>395</v>
      </c>
      <c r="G1" s="1"/>
    </row>
    <row r="2" spans="1:16" x14ac:dyDescent="0.2">
      <c r="A2" s="1">
        <f>COUNTIF($C$6:$C$150,"W")</f>
        <v>14</v>
      </c>
      <c r="B2" s="1">
        <f>COUNTIF($C$6:$C$150,"L")</f>
        <v>9</v>
      </c>
      <c r="C2" s="12">
        <f>SUM(F6:F28)/SUM(E6:E28)</f>
        <v>0.1354484843874442</v>
      </c>
      <c r="D2" s="13">
        <f>AVERAGE(H6:H150)</f>
        <v>2.1875961833042315E-2</v>
      </c>
      <c r="E2" s="1">
        <f ca="1">COUNTIF(OFFSET($C$6,COUNTA($C$6:$C$1500)-10,0,10,1),"W")</f>
        <v>8</v>
      </c>
      <c r="F2" s="1">
        <f ca="1">COUNTIF(OFFSET($C$6,COUNTA($C$6:$C$1500)-10,0,10,1),"L")</f>
        <v>2</v>
      </c>
    </row>
    <row r="5" spans="1:16" x14ac:dyDescent="0.2">
      <c r="A5" s="1" t="s">
        <v>393</v>
      </c>
      <c r="B5" s="1" t="s">
        <v>396</v>
      </c>
      <c r="C5" s="1" t="s">
        <v>397</v>
      </c>
      <c r="D5" s="1" t="s">
        <v>429</v>
      </c>
      <c r="E5" s="1" t="s">
        <v>401</v>
      </c>
      <c r="F5" s="1" t="s">
        <v>400</v>
      </c>
      <c r="G5" s="1" t="s">
        <v>399</v>
      </c>
      <c r="H5" s="1" t="s">
        <v>391</v>
      </c>
      <c r="I5" s="1" t="s">
        <v>398</v>
      </c>
      <c r="J5" s="1" t="s">
        <v>414</v>
      </c>
      <c r="K5" s="1" t="s">
        <v>422</v>
      </c>
      <c r="L5" s="1" t="s">
        <v>420</v>
      </c>
      <c r="M5" s="1" t="s">
        <v>421</v>
      </c>
      <c r="N5" s="1" t="s">
        <v>418</v>
      </c>
      <c r="O5" s="1" t="s">
        <v>420</v>
      </c>
      <c r="P5" s="1" t="s">
        <v>419</v>
      </c>
    </row>
    <row r="6" spans="1:16" x14ac:dyDescent="0.2">
      <c r="A6" s="1" t="s">
        <v>423</v>
      </c>
      <c r="B6" s="1">
        <v>1</v>
      </c>
      <c r="C6" s="1" t="s">
        <v>389</v>
      </c>
      <c r="D6" s="1" t="s">
        <v>436</v>
      </c>
      <c r="E6" s="1">
        <v>0.94499999999999995</v>
      </c>
      <c r="F6" s="14">
        <f>IF(C6="P",0,IF(C6="L",-E6,IF(K6&lt;0,E6*(100/-K6),E6*(K6/100)))/1)</f>
        <v>-0.94499999999999995</v>
      </c>
      <c r="G6" s="14">
        <f>F6</f>
        <v>-0.94499999999999995</v>
      </c>
      <c r="H6" s="10">
        <f t="shared" ref="H6:H12" si="0">((M6-P6)*3.55%)+(O6-L6)</f>
        <v>-1.9985536081552357E-2</v>
      </c>
      <c r="I6" s="10">
        <f>H6</f>
        <v>-1.9985536081552357E-2</v>
      </c>
      <c r="J6" s="1" t="s">
        <v>415</v>
      </c>
      <c r="K6" s="1">
        <v>-112</v>
      </c>
      <c r="L6" s="12">
        <f t="shared" ref="L6:L16" si="1">IF(K6&lt;0,K6/(K6-100),100/(K6+100))</f>
        <v>0.52830188679245282</v>
      </c>
      <c r="M6" s="1">
        <v>-14.5</v>
      </c>
      <c r="N6" s="1">
        <v>-111</v>
      </c>
      <c r="O6" s="12">
        <f t="shared" ref="O6:O16" si="2">IF(N6&lt;0,N6/(N6-100),100/(N6+100))</f>
        <v>0.52606635071090047</v>
      </c>
      <c r="P6" s="1">
        <v>-14</v>
      </c>
    </row>
    <row r="7" spans="1:16" x14ac:dyDescent="0.2">
      <c r="A7" s="1" t="s">
        <v>424</v>
      </c>
      <c r="B7" s="1">
        <f>B6+1</f>
        <v>2</v>
      </c>
      <c r="C7" s="1" t="s">
        <v>389</v>
      </c>
      <c r="D7" s="1" t="s">
        <v>435</v>
      </c>
      <c r="E7" s="1">
        <v>0.68979999999999997</v>
      </c>
      <c r="F7" s="14">
        <f t="shared" ref="F7:F12" si="3">IF(C7="P",0,IF(C7="L",-E7,IF(K7&lt;0,E7*(100/-K7),E7*(K7/100)))/1)</f>
        <v>-0.68979999999999997</v>
      </c>
      <c r="G7" s="14">
        <f>F7+G6</f>
        <v>-1.6347999999999998</v>
      </c>
      <c r="H7" s="10">
        <f t="shared" si="0"/>
        <v>5.3772693633062259E-3</v>
      </c>
      <c r="I7" s="10">
        <f>AVERAGE($H$6:H7)</f>
        <v>-7.3041333591230655E-3</v>
      </c>
      <c r="J7" s="1" t="s">
        <v>415</v>
      </c>
      <c r="K7" s="1">
        <v>-103</v>
      </c>
      <c r="L7" s="12">
        <f t="shared" si="1"/>
        <v>0.5073891625615764</v>
      </c>
      <c r="M7" s="1">
        <v>3</v>
      </c>
      <c r="N7" s="1">
        <v>-113</v>
      </c>
      <c r="O7" s="12">
        <f t="shared" si="2"/>
        <v>0.53051643192488263</v>
      </c>
      <c r="P7" s="1">
        <v>3.5</v>
      </c>
    </row>
    <row r="8" spans="1:16" x14ac:dyDescent="0.2">
      <c r="A8" s="1" t="s">
        <v>425</v>
      </c>
      <c r="B8" s="1">
        <f t="shared" ref="B8:B28" si="4">B7+1</f>
        <v>3</v>
      </c>
      <c r="C8" s="1" t="s">
        <v>388</v>
      </c>
      <c r="D8" s="1" t="s">
        <v>434</v>
      </c>
      <c r="E8" s="1">
        <v>0.74019999999999997</v>
      </c>
      <c r="F8" s="14">
        <f t="shared" si="3"/>
        <v>0.6729090909090909</v>
      </c>
      <c r="G8" s="14">
        <f>F8+G7</f>
        <v>-0.96189090909090891</v>
      </c>
      <c r="H8" s="10">
        <f t="shared" si="0"/>
        <v>0.10782963875205255</v>
      </c>
      <c r="I8" s="10">
        <f>AVERAGE($H$6:H8)</f>
        <v>3.1073790677935476E-2</v>
      </c>
      <c r="J8" s="1" t="s">
        <v>415</v>
      </c>
      <c r="K8" s="1">
        <v>-110</v>
      </c>
      <c r="L8" s="12">
        <f t="shared" si="1"/>
        <v>0.52380952380952384</v>
      </c>
      <c r="M8" s="1">
        <v>2.5</v>
      </c>
      <c r="N8" s="1">
        <v>-103</v>
      </c>
      <c r="O8" s="12">
        <f t="shared" si="2"/>
        <v>0.5073891625615764</v>
      </c>
      <c r="P8" s="1">
        <v>-1</v>
      </c>
    </row>
    <row r="9" spans="1:16" x14ac:dyDescent="0.2">
      <c r="A9" s="1" t="s">
        <v>426</v>
      </c>
      <c r="B9" s="1">
        <f t="shared" si="4"/>
        <v>4</v>
      </c>
      <c r="C9" s="1" t="s">
        <v>388</v>
      </c>
      <c r="D9" s="1" t="s">
        <v>433</v>
      </c>
      <c r="E9" s="1">
        <v>0.67900000000000005</v>
      </c>
      <c r="F9" s="14">
        <f t="shared" si="3"/>
        <v>0.61727272727272731</v>
      </c>
      <c r="G9" s="14">
        <f>F9+G8</f>
        <v>-0.3446181818181816</v>
      </c>
      <c r="H9" s="10">
        <f t="shared" si="0"/>
        <v>8.5035829865926608E-3</v>
      </c>
      <c r="I9" s="10">
        <f>AVERAGE($H$6:H9)</f>
        <v>2.5431238755099773E-2</v>
      </c>
      <c r="J9" s="1" t="s">
        <v>415</v>
      </c>
      <c r="K9" s="1">
        <v>-110</v>
      </c>
      <c r="L9" s="12">
        <f t="shared" si="1"/>
        <v>0.52380952380952384</v>
      </c>
      <c r="M9" s="1">
        <v>4.5</v>
      </c>
      <c r="N9" s="1">
        <v>-106</v>
      </c>
      <c r="O9" s="12">
        <f t="shared" si="2"/>
        <v>0.5145631067961165</v>
      </c>
      <c r="P9" s="1">
        <v>4</v>
      </c>
    </row>
    <row r="10" spans="1:16" x14ac:dyDescent="0.2">
      <c r="A10" s="1" t="s">
        <v>427</v>
      </c>
      <c r="B10" s="1">
        <f t="shared" si="4"/>
        <v>5</v>
      </c>
      <c r="C10" s="1" t="s">
        <v>389</v>
      </c>
      <c r="D10" s="1" t="s">
        <v>432</v>
      </c>
      <c r="E10" s="1">
        <v>1.2898000000000001</v>
      </c>
      <c r="F10" s="14">
        <f t="shared" si="3"/>
        <v>-1.2898000000000001</v>
      </c>
      <c r="G10" s="14">
        <f>F10+G9</f>
        <v>-1.6344181818181815</v>
      </c>
      <c r="H10" s="10">
        <f t="shared" si="0"/>
        <v>-3.9992362982928985E-2</v>
      </c>
      <c r="I10" s="10">
        <f>AVERAGE($H$6:H10)</f>
        <v>1.2346518407494022E-2</v>
      </c>
      <c r="J10" s="1" t="s">
        <v>415</v>
      </c>
      <c r="K10" s="1">
        <v>-112</v>
      </c>
      <c r="L10" s="12">
        <f t="shared" si="1"/>
        <v>0.52830188679245282</v>
      </c>
      <c r="M10" s="1">
        <v>-6.5</v>
      </c>
      <c r="N10" s="1">
        <v>-110</v>
      </c>
      <c r="O10" s="12">
        <f t="shared" si="2"/>
        <v>0.52380952380952384</v>
      </c>
      <c r="P10" s="1">
        <v>-5.5</v>
      </c>
    </row>
    <row r="11" spans="1:16" x14ac:dyDescent="0.2">
      <c r="A11" s="1" t="s">
        <v>428</v>
      </c>
      <c r="B11" s="1">
        <f t="shared" si="4"/>
        <v>6</v>
      </c>
      <c r="C11" s="1" t="s">
        <v>389</v>
      </c>
      <c r="D11" s="1" t="s">
        <v>430</v>
      </c>
      <c r="E11" s="1">
        <v>0.68820000000000003</v>
      </c>
      <c r="F11" s="14">
        <f t="shared" si="3"/>
        <v>-0.68820000000000003</v>
      </c>
      <c r="G11" s="14">
        <f t="shared" ref="G11:G12" si="5">F11+G10</f>
        <v>-2.3226181818181817</v>
      </c>
      <c r="H11" s="10">
        <f t="shared" si="0"/>
        <v>9.1028423331054986E-2</v>
      </c>
      <c r="I11" s="10">
        <f>AVERAGE($H$6:H11)</f>
        <v>2.5460169228087515E-2</v>
      </c>
      <c r="J11" s="1" t="s">
        <v>415</v>
      </c>
      <c r="K11" s="1">
        <v>-109</v>
      </c>
      <c r="L11" s="12">
        <f t="shared" si="1"/>
        <v>0.52153110047846885</v>
      </c>
      <c r="M11" s="1">
        <v>1.5</v>
      </c>
      <c r="N11" s="1">
        <v>-110</v>
      </c>
      <c r="O11" s="12">
        <f t="shared" si="2"/>
        <v>0.52380952380952384</v>
      </c>
      <c r="P11" s="1">
        <v>-1</v>
      </c>
    </row>
    <row r="12" spans="1:16" x14ac:dyDescent="0.2">
      <c r="A12" s="1" t="s">
        <v>428</v>
      </c>
      <c r="B12" s="1">
        <f t="shared" si="4"/>
        <v>7</v>
      </c>
      <c r="C12" s="1" t="s">
        <v>389</v>
      </c>
      <c r="D12" s="1" t="s">
        <v>431</v>
      </c>
      <c r="E12" s="1">
        <v>0.69510000000000005</v>
      </c>
      <c r="F12" s="14">
        <f t="shared" si="3"/>
        <v>-0.69510000000000005</v>
      </c>
      <c r="G12" s="14">
        <f t="shared" si="5"/>
        <v>-3.0177181818181817</v>
      </c>
      <c r="H12" s="10">
        <f t="shared" si="0"/>
        <v>0.13975593655856822</v>
      </c>
      <c r="I12" s="10">
        <f>AVERAGE($H$6:H12)</f>
        <v>4.1788135989584758E-2</v>
      </c>
      <c r="J12" s="1" t="s">
        <v>415</v>
      </c>
      <c r="K12" s="1">
        <v>-109</v>
      </c>
      <c r="L12" s="12">
        <f t="shared" si="1"/>
        <v>0.52153110047846885</v>
      </c>
      <c r="M12" s="1">
        <v>1.5</v>
      </c>
      <c r="N12" s="1">
        <v>-116</v>
      </c>
      <c r="O12" s="12">
        <f t="shared" si="2"/>
        <v>0.53703703703703709</v>
      </c>
      <c r="P12" s="1">
        <v>-2</v>
      </c>
    </row>
    <row r="13" spans="1:16" x14ac:dyDescent="0.2">
      <c r="A13" s="1" t="s">
        <v>428</v>
      </c>
      <c r="B13" s="1">
        <f t="shared" si="4"/>
        <v>8</v>
      </c>
      <c r="C13" s="1" t="s">
        <v>389</v>
      </c>
      <c r="D13" s="1" t="s">
        <v>437</v>
      </c>
      <c r="E13" s="1">
        <v>1.0744</v>
      </c>
      <c r="F13" s="14">
        <f t="shared" ref="F13:F16" si="6">IF(C13="P",0,IF(C13="L",-E13,IF(K13&lt;0,E13*(100/-K13),E13*(K13/100)))/1)</f>
        <v>-1.0744</v>
      </c>
      <c r="G13" s="14">
        <f t="shared" ref="G13:G16" si="7">F13+G12</f>
        <v>-4.092118181818182</v>
      </c>
      <c r="H13" s="10">
        <f t="shared" ref="H13:H16" si="8">((M13-P13)*3.55%)+(O13-L13)</f>
        <v>-1.7749999999999998E-2</v>
      </c>
      <c r="I13" s="10">
        <f>AVERAGE($H$6:H13)</f>
        <v>3.4345868990886666E-2</v>
      </c>
      <c r="J13" s="1" t="s">
        <v>415</v>
      </c>
      <c r="K13" s="1">
        <v>-107</v>
      </c>
      <c r="L13" s="12">
        <f t="shared" si="1"/>
        <v>0.51690821256038644</v>
      </c>
      <c r="M13" s="1">
        <v>2</v>
      </c>
      <c r="N13" s="1">
        <v>-107</v>
      </c>
      <c r="O13" s="12">
        <f t="shared" si="2"/>
        <v>0.51690821256038644</v>
      </c>
      <c r="P13" s="1">
        <v>2.5</v>
      </c>
    </row>
    <row r="14" spans="1:16" x14ac:dyDescent="0.2">
      <c r="A14" s="1" t="s">
        <v>438</v>
      </c>
      <c r="B14" s="1">
        <f t="shared" si="4"/>
        <v>9</v>
      </c>
      <c r="C14" s="1" t="s">
        <v>388</v>
      </c>
      <c r="D14" s="1" t="s">
        <v>439</v>
      </c>
      <c r="E14" s="1">
        <v>1.0632999999999999</v>
      </c>
      <c r="F14" s="14">
        <f t="shared" si="6"/>
        <v>0.96663636363636352</v>
      </c>
      <c r="G14" s="14">
        <f t="shared" si="7"/>
        <v>-3.1254818181818185</v>
      </c>
      <c r="H14" s="10">
        <f>((M14-P14)*3.55%)+(O14-L14)</f>
        <v>2.6650756564307886E-2</v>
      </c>
      <c r="I14" s="10">
        <f>AVERAGE($H$6:H14)</f>
        <v>3.3490856499044576E-2</v>
      </c>
      <c r="J14" s="1" t="s">
        <v>415</v>
      </c>
      <c r="K14" s="1">
        <v>-110</v>
      </c>
      <c r="L14" s="12">
        <f t="shared" si="1"/>
        <v>0.52380952380952384</v>
      </c>
      <c r="M14" s="1">
        <v>-6</v>
      </c>
      <c r="N14" s="1">
        <v>-114</v>
      </c>
      <c r="O14" s="12">
        <f t="shared" si="2"/>
        <v>0.53271028037383172</v>
      </c>
      <c r="P14" s="1">
        <v>-6.5</v>
      </c>
    </row>
    <row r="15" spans="1:16" x14ac:dyDescent="0.2">
      <c r="A15" s="1" t="s">
        <v>438</v>
      </c>
      <c r="B15" s="1">
        <f t="shared" si="4"/>
        <v>10</v>
      </c>
      <c r="C15" s="1" t="s">
        <v>389</v>
      </c>
      <c r="D15" s="1" t="s">
        <v>440</v>
      </c>
      <c r="E15" s="1">
        <v>0.82620000000000005</v>
      </c>
      <c r="F15" s="14">
        <f t="shared" si="6"/>
        <v>-0.82620000000000005</v>
      </c>
      <c r="G15" s="14">
        <f t="shared" si="7"/>
        <v>-3.9516818181818185</v>
      </c>
      <c r="H15" s="10">
        <f t="shared" si="8"/>
        <v>-3.3221576668945006E-2</v>
      </c>
      <c r="I15" s="10">
        <f>AVERAGE($H$6:H15)</f>
        <v>2.681961318224562E-2</v>
      </c>
      <c r="J15" s="1" t="s">
        <v>415</v>
      </c>
      <c r="K15" s="1">
        <v>-109</v>
      </c>
      <c r="L15" s="12">
        <f t="shared" si="1"/>
        <v>0.52153110047846885</v>
      </c>
      <c r="M15" s="1">
        <v>-9.5</v>
      </c>
      <c r="N15" s="1">
        <v>-110</v>
      </c>
      <c r="O15" s="12">
        <f t="shared" si="2"/>
        <v>0.52380952380952384</v>
      </c>
      <c r="P15" s="1">
        <v>-8.5</v>
      </c>
    </row>
    <row r="16" spans="1:16" x14ac:dyDescent="0.2">
      <c r="A16" s="1" t="s">
        <v>438</v>
      </c>
      <c r="B16" s="1">
        <f t="shared" si="4"/>
        <v>11</v>
      </c>
      <c r="C16" s="1" t="s">
        <v>388</v>
      </c>
      <c r="D16" s="1" t="s">
        <v>441</v>
      </c>
      <c r="E16" s="1">
        <v>0.72199999999999998</v>
      </c>
      <c r="F16" s="14">
        <f t="shared" si="6"/>
        <v>0.65636363636363637</v>
      </c>
      <c r="G16" s="14">
        <f t="shared" si="7"/>
        <v>-3.2953181818181823</v>
      </c>
      <c r="H16" s="10">
        <f t="shared" si="8"/>
        <v>1.3296387520525636E-3</v>
      </c>
      <c r="I16" s="10">
        <f>AVERAGE($H$6:H16)</f>
        <v>2.4502342779500797E-2</v>
      </c>
      <c r="J16" s="1" t="s">
        <v>415</v>
      </c>
      <c r="K16" s="1">
        <v>-110</v>
      </c>
      <c r="L16" s="12">
        <f t="shared" si="1"/>
        <v>0.52380952380952384</v>
      </c>
      <c r="M16" s="1">
        <v>-1.5</v>
      </c>
      <c r="N16" s="1">
        <v>-103</v>
      </c>
      <c r="O16" s="12">
        <f t="shared" si="2"/>
        <v>0.5073891625615764</v>
      </c>
      <c r="P16" s="1">
        <v>-2</v>
      </c>
    </row>
    <row r="17" spans="1:16" x14ac:dyDescent="0.2">
      <c r="A17" s="1" t="s">
        <v>449</v>
      </c>
      <c r="B17" s="1">
        <f t="shared" si="4"/>
        <v>12</v>
      </c>
      <c r="C17" s="1" t="s">
        <v>388</v>
      </c>
      <c r="D17" s="1" t="s">
        <v>450</v>
      </c>
      <c r="E17" s="1">
        <v>0.70909999999999995</v>
      </c>
      <c r="F17" s="14">
        <f t="shared" ref="F17" si="9">IF(C17="P",0,IF(C17="L",-E17,IF(K17&lt;0,E17*(100/-K17),E17*(K17/100)))/1)</f>
        <v>0.67533333333333323</v>
      </c>
      <c r="G17" s="14">
        <f t="shared" ref="G17" si="10">F17+G16</f>
        <v>-2.6199848484848491</v>
      </c>
      <c r="H17" s="10">
        <f t="shared" ref="H17" si="11">((M17-P17)*3.55%)+(O17-L17)</f>
        <v>0.10410879961740788</v>
      </c>
      <c r="I17" s="10">
        <f>AVERAGE($H$6:H17)</f>
        <v>3.113621418265972E-2</v>
      </c>
      <c r="J17" s="1" t="s">
        <v>415</v>
      </c>
      <c r="K17" s="1">
        <v>-105</v>
      </c>
      <c r="L17" s="12">
        <f t="shared" ref="L17" si="12">IF(K17&lt;0,K17/(K17-100),100/(K17+100))</f>
        <v>0.51219512195121952</v>
      </c>
      <c r="M17" s="1">
        <v>2</v>
      </c>
      <c r="N17" s="1">
        <v>-104</v>
      </c>
      <c r="O17" s="12">
        <f t="shared" ref="O17" si="13">IF(N17&lt;0,N17/(N17-100),100/(N17+100))</f>
        <v>0.50980392156862742</v>
      </c>
      <c r="P17" s="1">
        <v>-1</v>
      </c>
    </row>
    <row r="18" spans="1:16" x14ac:dyDescent="0.2">
      <c r="A18" s="1" t="s">
        <v>451</v>
      </c>
      <c r="B18" s="1">
        <f t="shared" si="4"/>
        <v>13</v>
      </c>
      <c r="C18" s="1" t="s">
        <v>388</v>
      </c>
      <c r="D18" s="1" t="s">
        <v>454</v>
      </c>
      <c r="E18" s="1">
        <v>1.0296000000000001</v>
      </c>
      <c r="F18" s="14">
        <f t="shared" ref="F18" si="14">IF(C18="P",0,IF(C18="L",-E18,IF(K18&lt;0,E18*(100/-K18),E18*(K18/100)))/1)</f>
        <v>1.0296000000000001</v>
      </c>
      <c r="G18" s="14">
        <f t="shared" ref="G18" si="15">F18+G17</f>
        <v>-1.5903848484848491</v>
      </c>
      <c r="H18" s="10">
        <f t="shared" ref="H18" si="16">((M18-P18)*3.55%)+(O18-L18)</f>
        <v>6.0595238095238375E-3</v>
      </c>
      <c r="I18" s="10">
        <f>AVERAGE($H$6:H18)</f>
        <v>2.9207238000110807E-2</v>
      </c>
      <c r="J18" s="1" t="s">
        <v>415</v>
      </c>
      <c r="K18" s="1">
        <v>-100</v>
      </c>
      <c r="L18" s="12">
        <f t="shared" ref="L18" si="17">IF(K18&lt;0,K18/(K18-100),100/(K18+100))</f>
        <v>0.5</v>
      </c>
      <c r="M18" s="1">
        <v>-13.5</v>
      </c>
      <c r="N18" s="1">
        <v>-110</v>
      </c>
      <c r="O18" s="12">
        <f t="shared" ref="O18" si="18">IF(N18&lt;0,N18/(N18-100),100/(N18+100))</f>
        <v>0.52380952380952384</v>
      </c>
      <c r="P18" s="1">
        <v>-13</v>
      </c>
    </row>
    <row r="19" spans="1:16" x14ac:dyDescent="0.2">
      <c r="A19" s="1" t="s">
        <v>451</v>
      </c>
      <c r="B19" s="1">
        <f t="shared" si="4"/>
        <v>14</v>
      </c>
      <c r="C19" s="1" t="s">
        <v>389</v>
      </c>
      <c r="D19" s="1" t="s">
        <v>455</v>
      </c>
      <c r="E19" s="1">
        <v>0.77980000000000005</v>
      </c>
      <c r="F19" s="14">
        <f t="shared" ref="F19:F21" si="19">IF(C19="P",0,IF(C19="L",-E19,IF(K19&lt;0,E19*(100/-K19),E19*(K19/100)))/1)</f>
        <v>-0.77980000000000005</v>
      </c>
      <c r="G19" s="14">
        <f t="shared" ref="G19:G21" si="20">F19+G18</f>
        <v>-2.3701848484848491</v>
      </c>
      <c r="H19" s="10">
        <f t="shared" ref="H19:H21" si="21">((M19-P19)*3.55%)+(O19-L19)</f>
        <v>5.9309523809523833E-2</v>
      </c>
      <c r="I19" s="10">
        <f>AVERAGE($H$6:H19)</f>
        <v>3.1357401272211739E-2</v>
      </c>
      <c r="J19" s="1" t="s">
        <v>415</v>
      </c>
      <c r="K19" s="1">
        <v>100</v>
      </c>
      <c r="L19" s="12">
        <f t="shared" ref="L19:L21" si="22">IF(K19&lt;0,K19/(K19-100),100/(K19+100))</f>
        <v>0.5</v>
      </c>
      <c r="M19" s="1">
        <v>-11.5</v>
      </c>
      <c r="N19" s="1">
        <v>-110</v>
      </c>
      <c r="O19" s="12">
        <f t="shared" ref="O19:O21" si="23">IF(N19&lt;0,N19/(N19-100),100/(N19+100))</f>
        <v>0.52380952380952384</v>
      </c>
      <c r="P19" s="1">
        <v>-12.5</v>
      </c>
    </row>
    <row r="20" spans="1:16" x14ac:dyDescent="0.2">
      <c r="A20" s="1" t="s">
        <v>451</v>
      </c>
      <c r="B20" s="1">
        <f t="shared" si="4"/>
        <v>15</v>
      </c>
      <c r="C20" s="1" t="s">
        <v>388</v>
      </c>
      <c r="D20" s="1" t="s">
        <v>453</v>
      </c>
      <c r="E20" s="1">
        <v>0.83009999999999995</v>
      </c>
      <c r="F20" s="14">
        <f t="shared" si="19"/>
        <v>0.74116071428571428</v>
      </c>
      <c r="G20" s="14">
        <f t="shared" si="20"/>
        <v>-1.6290241341991347</v>
      </c>
      <c r="H20" s="10">
        <f t="shared" si="21"/>
        <v>4.4083935813788999E-3</v>
      </c>
      <c r="I20" s="10">
        <f>AVERAGE($H$6:H20)</f>
        <v>2.9560800759489546E-2</v>
      </c>
      <c r="J20" s="1" t="s">
        <v>415</v>
      </c>
      <c r="K20" s="1">
        <v>-112</v>
      </c>
      <c r="L20" s="12">
        <f t="shared" si="22"/>
        <v>0.52830188679245282</v>
      </c>
      <c r="M20" s="1">
        <v>-16</v>
      </c>
      <c r="N20" s="1">
        <v>-114</v>
      </c>
      <c r="O20" s="12">
        <f t="shared" si="23"/>
        <v>0.53271028037383172</v>
      </c>
      <c r="P20" s="1">
        <v>-16</v>
      </c>
    </row>
    <row r="21" spans="1:16" x14ac:dyDescent="0.2">
      <c r="A21" s="1" t="s">
        <v>451</v>
      </c>
      <c r="B21" s="1">
        <f t="shared" si="4"/>
        <v>16</v>
      </c>
      <c r="C21" s="1" t="s">
        <v>388</v>
      </c>
      <c r="D21" s="1" t="s">
        <v>452</v>
      </c>
      <c r="E21" s="1">
        <v>0.87029999999999996</v>
      </c>
      <c r="F21" s="14">
        <f t="shared" si="19"/>
        <v>0.81336448598130839</v>
      </c>
      <c r="G21" s="14">
        <f t="shared" si="20"/>
        <v>-0.81565964821782633</v>
      </c>
      <c r="H21" s="10">
        <f t="shared" si="21"/>
        <v>-3.0877112081917589E-2</v>
      </c>
      <c r="I21" s="10">
        <f>AVERAGE($H$6:H21)</f>
        <v>2.5783431206901603E-2</v>
      </c>
      <c r="J21" s="1" t="s">
        <v>415</v>
      </c>
      <c r="K21" s="1">
        <v>-107</v>
      </c>
      <c r="L21" s="12">
        <f t="shared" si="22"/>
        <v>0.51690821256038644</v>
      </c>
      <c r="M21" s="1">
        <v>-15</v>
      </c>
      <c r="N21" s="1">
        <v>-109</v>
      </c>
      <c r="O21" s="12">
        <f t="shared" si="23"/>
        <v>0.52153110047846885</v>
      </c>
      <c r="P21" s="1">
        <v>-14</v>
      </c>
    </row>
    <row r="22" spans="1:16" x14ac:dyDescent="0.2">
      <c r="A22" s="1" t="s">
        <v>456</v>
      </c>
      <c r="B22" s="1">
        <f t="shared" si="4"/>
        <v>17</v>
      </c>
      <c r="C22" s="1" t="s">
        <v>388</v>
      </c>
      <c r="D22" s="1" t="s">
        <v>457</v>
      </c>
      <c r="E22" s="1">
        <v>0.94599999999999995</v>
      </c>
      <c r="F22" s="14">
        <f t="shared" ref="F22:F24" si="24">IF(C22="P",0,IF(C22="L",-E22,IF(K22&lt;0,E22*(100/-K22),E22*(K22/100)))/1)</f>
        <v>0.94599999999999995</v>
      </c>
      <c r="G22" s="14">
        <f t="shared" ref="G22:G24" si="25">F22+G21</f>
        <v>0.13034035178217362</v>
      </c>
      <c r="H22" s="10">
        <f t="shared" ref="H22:H24" si="26">((M22-P22)*3.55%)+(O22-L22)</f>
        <v>-6.9519230769230722E-2</v>
      </c>
      <c r="I22" s="10">
        <f>AVERAGE($H$6:H22)</f>
        <v>2.0177392267129113E-2</v>
      </c>
      <c r="J22" s="1" t="s">
        <v>415</v>
      </c>
      <c r="K22" s="1">
        <v>-100</v>
      </c>
      <c r="L22" s="12">
        <f t="shared" ref="L22:L24" si="27">IF(K22&lt;0,K22/(K22-100),100/(K22+100))</f>
        <v>0.5</v>
      </c>
      <c r="M22" s="1">
        <v>-14</v>
      </c>
      <c r="N22" s="1">
        <v>-108</v>
      </c>
      <c r="O22" s="12">
        <f t="shared" ref="O22:O24" si="28">IF(N22&lt;0,N22/(N22-100),100/(N22+100))</f>
        <v>0.51923076923076927</v>
      </c>
      <c r="P22" s="1">
        <v>-11.5</v>
      </c>
    </row>
    <row r="23" spans="1:16" x14ac:dyDescent="0.2">
      <c r="A23" s="1" t="s">
        <v>456</v>
      </c>
      <c r="B23" s="1">
        <f t="shared" si="4"/>
        <v>18</v>
      </c>
      <c r="C23" s="1" t="s">
        <v>388</v>
      </c>
      <c r="D23" s="1" t="s">
        <v>457</v>
      </c>
      <c r="E23" s="1">
        <v>0.47299999999999998</v>
      </c>
      <c r="F23" s="14">
        <f t="shared" si="24"/>
        <v>0.42232142857142857</v>
      </c>
      <c r="G23" s="14">
        <f t="shared" si="25"/>
        <v>0.55266178035360225</v>
      </c>
      <c r="H23" s="10">
        <f t="shared" si="26"/>
        <v>1.715265866209259E-2</v>
      </c>
      <c r="I23" s="10">
        <f>AVERAGE($H$6:H23)</f>
        <v>2.0009351511293752E-2</v>
      </c>
      <c r="J23" s="1" t="s">
        <v>415</v>
      </c>
      <c r="K23" s="1">
        <v>-112</v>
      </c>
      <c r="L23" s="12">
        <f t="shared" si="27"/>
        <v>0.52830188679245282</v>
      </c>
      <c r="M23" s="1">
        <v>-11.5</v>
      </c>
      <c r="N23" s="1">
        <v>-120</v>
      </c>
      <c r="O23" s="12">
        <f t="shared" si="28"/>
        <v>0.54545454545454541</v>
      </c>
      <c r="P23" s="1">
        <v>-11.5</v>
      </c>
    </row>
    <row r="24" spans="1:16" x14ac:dyDescent="0.2">
      <c r="A24" s="1" t="s">
        <v>456</v>
      </c>
      <c r="B24" s="1">
        <f t="shared" si="4"/>
        <v>19</v>
      </c>
      <c r="C24" s="1" t="s">
        <v>388</v>
      </c>
      <c r="D24" s="1" t="s">
        <v>458</v>
      </c>
      <c r="E24" s="1">
        <v>0.73099999999999998</v>
      </c>
      <c r="F24" s="14">
        <f t="shared" si="24"/>
        <v>0.68962264150943398</v>
      </c>
      <c r="G24" s="14">
        <f t="shared" si="25"/>
        <v>1.2422844218630362</v>
      </c>
      <c r="H24" s="10">
        <f t="shared" si="26"/>
        <v>4.4746417013407334E-2</v>
      </c>
      <c r="I24" s="10">
        <f>AVERAGE($H$6:H24)</f>
        <v>2.1311302327194463E-2</v>
      </c>
      <c r="J24" s="1" t="s">
        <v>415</v>
      </c>
      <c r="K24" s="1">
        <v>-106</v>
      </c>
      <c r="L24" s="12">
        <f t="shared" si="27"/>
        <v>0.5145631067961165</v>
      </c>
      <c r="M24" s="1">
        <v>-11</v>
      </c>
      <c r="N24" s="1">
        <v>-110</v>
      </c>
      <c r="O24" s="12">
        <f t="shared" si="28"/>
        <v>0.52380952380952384</v>
      </c>
      <c r="P24" s="1">
        <v>-12</v>
      </c>
    </row>
    <row r="25" spans="1:16" x14ac:dyDescent="0.2">
      <c r="A25" s="1" t="s">
        <v>459</v>
      </c>
      <c r="B25" s="1">
        <f t="shared" si="4"/>
        <v>20</v>
      </c>
      <c r="C25" s="1" t="s">
        <v>388</v>
      </c>
      <c r="D25" s="1" t="s">
        <v>460</v>
      </c>
      <c r="E25" s="1">
        <v>0.67320000000000002</v>
      </c>
      <c r="F25" s="14">
        <f t="shared" ref="F25" si="29">IF(C25="P",0,IF(C25="L",-E25,IF(K25&lt;0,E25*(100/-K25),E25*(K25/100)))/1)</f>
        <v>0.60107142857142859</v>
      </c>
      <c r="G25" s="14">
        <f t="shared" ref="G25" si="30">F25+G24</f>
        <v>1.8433558504344649</v>
      </c>
      <c r="H25" s="10">
        <f t="shared" ref="H25" si="31">((M25-P25)*3.55%)+(O25-L25)</f>
        <v>1.325763701707101E-2</v>
      </c>
      <c r="I25" s="10">
        <f>AVERAGE($H$6:H25)</f>
        <v>2.090861906168829E-2</v>
      </c>
      <c r="J25" s="1" t="s">
        <v>415</v>
      </c>
      <c r="K25" s="1">
        <v>-112</v>
      </c>
      <c r="L25" s="12">
        <f t="shared" ref="L25" si="32">IF(K25&lt;0,K25/(K25-100),100/(K25+100))</f>
        <v>0.52830188679245282</v>
      </c>
      <c r="M25" s="1">
        <v>-7.5</v>
      </c>
      <c r="N25" s="1">
        <v>-110</v>
      </c>
      <c r="O25" s="12">
        <f t="shared" ref="O25" si="33">IF(N25&lt;0,N25/(N25-100),100/(N25+100))</f>
        <v>0.52380952380952384</v>
      </c>
      <c r="P25" s="1">
        <v>-8</v>
      </c>
    </row>
    <row r="26" spans="1:16" x14ac:dyDescent="0.2">
      <c r="A26" s="1" t="s">
        <v>459</v>
      </c>
      <c r="B26" s="1">
        <f t="shared" si="4"/>
        <v>21</v>
      </c>
      <c r="C26" s="1" t="s">
        <v>388</v>
      </c>
      <c r="D26" s="1" t="s">
        <v>461</v>
      </c>
      <c r="E26" s="1">
        <v>0.87</v>
      </c>
      <c r="F26" s="14">
        <f t="shared" ref="F26" si="34">IF(C26="P",0,IF(C26="L",-E26,IF(K26&lt;0,E26*(100/-K26),E26*(K26/100)))/1)</f>
        <v>0.76991150442477885</v>
      </c>
      <c r="G26" s="14">
        <f t="shared" ref="G26" si="35">F26+G25</f>
        <v>2.6132673548592438</v>
      </c>
      <c r="H26" s="10">
        <f t="shared" ref="H26" si="36">((M26-P26)*3.55%)+(O26-L26)</f>
        <v>4.2789123630672957E-2</v>
      </c>
      <c r="I26" s="10">
        <f>AVERAGE($H$6:H26)</f>
        <v>2.1950547850687559E-2</v>
      </c>
      <c r="J26" s="1" t="s">
        <v>415</v>
      </c>
      <c r="K26" s="1">
        <v>-113</v>
      </c>
      <c r="L26" s="12">
        <f t="shared" ref="L26" si="37">IF(K26&lt;0,K26/(K26-100),100/(K26+100))</f>
        <v>0.53051643192488263</v>
      </c>
      <c r="M26" s="1">
        <v>-1</v>
      </c>
      <c r="N26" s="1">
        <v>-125</v>
      </c>
      <c r="O26" s="12">
        <f t="shared" ref="O26" si="38">IF(N26&lt;0,N26/(N26-100),100/(N26+100))</f>
        <v>0.55555555555555558</v>
      </c>
      <c r="P26" s="1">
        <v>-1.5</v>
      </c>
    </row>
    <row r="27" spans="1:16" x14ac:dyDescent="0.2">
      <c r="A27" s="1" t="s">
        <v>462</v>
      </c>
      <c r="B27" s="1">
        <f t="shared" si="4"/>
        <v>22</v>
      </c>
      <c r="C27" s="1" t="s">
        <v>389</v>
      </c>
      <c r="D27" s="1" t="s">
        <v>463</v>
      </c>
      <c r="E27" s="1">
        <v>0.71540000000000004</v>
      </c>
      <c r="F27" s="14">
        <f t="shared" ref="F27" si="39">IF(C27="P",0,IF(C27="L",-E27,IF(K27&lt;0,E27*(100/-K27),E27*(K27/100)))/1)</f>
        <v>-0.71540000000000004</v>
      </c>
      <c r="G27" s="14">
        <f t="shared" ref="G27" si="40">F27+G26</f>
        <v>1.8978673548592437</v>
      </c>
      <c r="H27" s="10">
        <f t="shared" ref="H27" si="41">((M27-P27)*3.55%)+(O27-L27)</f>
        <v>2.2355360815523584E-3</v>
      </c>
      <c r="I27" s="10">
        <f>AVERAGE($H$6:H27)</f>
        <v>2.1054410952090506E-2</v>
      </c>
      <c r="J27" s="1" t="s">
        <v>415</v>
      </c>
      <c r="K27" s="1">
        <v>-111</v>
      </c>
      <c r="L27" s="12">
        <f t="shared" ref="L27" si="42">IF(K27&lt;0,K27/(K27-100),100/(K27+100))</f>
        <v>0.52606635071090047</v>
      </c>
      <c r="M27" s="1">
        <v>2</v>
      </c>
      <c r="N27" s="1">
        <v>-112</v>
      </c>
      <c r="O27" s="12">
        <f t="shared" ref="O27" si="43">IF(N27&lt;0,N27/(N27-100),100/(N27+100))</f>
        <v>0.52830188679245282</v>
      </c>
      <c r="P27" s="1">
        <v>2</v>
      </c>
    </row>
    <row r="28" spans="1:16" x14ac:dyDescent="0.2">
      <c r="A28" s="1" t="s">
        <v>462</v>
      </c>
      <c r="B28" s="1">
        <f t="shared" si="4"/>
        <v>23</v>
      </c>
      <c r="C28" s="1" t="s">
        <v>388</v>
      </c>
      <c r="D28" s="1" t="s">
        <v>464</v>
      </c>
      <c r="E28" s="1">
        <v>0.71289999999999998</v>
      </c>
      <c r="F28" s="14">
        <f t="shared" ref="F28" si="44">IF(C28="P",0,IF(C28="L",-E28,IF(K28&lt;0,E28*(100/-K28),E28*(K28/100)))/1)</f>
        <v>0.64225225225225224</v>
      </c>
      <c r="G28" s="14">
        <f t="shared" ref="G28" si="45">F28+G27</f>
        <v>2.540119607111496</v>
      </c>
      <c r="H28" s="10">
        <f t="shared" ref="H28" si="46">((M28-P28)*3.55%)+(O28-L28)</f>
        <v>3.9950081213982157E-2</v>
      </c>
      <c r="I28" s="10">
        <f>AVERAGE($H$6:H28)</f>
        <v>2.1875961833042315E-2</v>
      </c>
      <c r="J28" s="1" t="s">
        <v>415</v>
      </c>
      <c r="K28" s="1">
        <v>-111</v>
      </c>
      <c r="L28" s="12">
        <f t="shared" ref="L28" si="47">IF(K28&lt;0,K28/(K28-100),100/(K28+100))</f>
        <v>0.52606635071090047</v>
      </c>
      <c r="M28" s="1">
        <v>4</v>
      </c>
      <c r="N28" s="1">
        <v>-113</v>
      </c>
      <c r="O28" s="12">
        <f t="shared" ref="O28" si="48">IF(N28&lt;0,N28/(N28-100),100/(N28+100))</f>
        <v>0.53051643192488263</v>
      </c>
      <c r="P28" s="1">
        <v>3</v>
      </c>
    </row>
    <row r="29" spans="1:16" x14ac:dyDescent="0.2">
      <c r="F29" s="14"/>
      <c r="G29" s="14"/>
      <c r="H29" s="10"/>
      <c r="I29" s="10"/>
      <c r="J29" s="1"/>
      <c r="K29" s="1"/>
      <c r="L29" s="12"/>
      <c r="M29" s="1"/>
      <c r="N29" s="1"/>
      <c r="O29" s="12"/>
      <c r="P29" s="1"/>
    </row>
    <row r="30" spans="1:16" x14ac:dyDescent="0.2">
      <c r="F30" s="14"/>
      <c r="G30" s="14"/>
      <c r="H30" s="10"/>
      <c r="I30" s="10"/>
      <c r="J30" s="1"/>
      <c r="K30" s="1"/>
      <c r="L30" s="12"/>
      <c r="M30" s="1"/>
      <c r="N30" s="1"/>
      <c r="O30" s="12"/>
      <c r="P30" s="1"/>
    </row>
    <row r="31" spans="1:16" x14ac:dyDescent="0.2">
      <c r="F31" s="14"/>
      <c r="G31" s="14"/>
      <c r="H31" s="10"/>
      <c r="I31" s="10"/>
      <c r="J31" s="1"/>
      <c r="K31" s="1"/>
      <c r="L31" s="12"/>
      <c r="M31" s="1"/>
      <c r="N31" s="1"/>
      <c r="O31" s="12"/>
      <c r="P31" s="1"/>
    </row>
    <row r="32" spans="1:16" x14ac:dyDescent="0.2">
      <c r="F32" s="14"/>
      <c r="G32" s="14"/>
      <c r="H32" s="10"/>
      <c r="I32" s="10"/>
      <c r="J32" s="1"/>
      <c r="K32" s="1"/>
      <c r="L32" s="12"/>
      <c r="M32" s="1"/>
      <c r="N32" s="1"/>
      <c r="O32" s="12"/>
      <c r="P32" s="1"/>
    </row>
    <row r="33" spans="6:16" x14ac:dyDescent="0.2">
      <c r="F33" s="14"/>
      <c r="G33" s="14"/>
      <c r="H33" s="10"/>
      <c r="I33" s="10"/>
      <c r="J33" s="1"/>
      <c r="K33" s="1"/>
      <c r="L33" s="12"/>
      <c r="M33" s="1"/>
      <c r="N33" s="1"/>
      <c r="O33" s="12"/>
      <c r="P33" s="1"/>
    </row>
    <row r="34" spans="6:16" x14ac:dyDescent="0.2">
      <c r="F34" s="14"/>
      <c r="G34" s="14"/>
      <c r="H34" s="10"/>
      <c r="I34" s="10"/>
      <c r="J34" s="1"/>
      <c r="K34" s="1"/>
      <c r="L34" s="12"/>
      <c r="M34" s="1"/>
      <c r="N34" s="1"/>
      <c r="O34" s="12"/>
      <c r="P34" s="1"/>
    </row>
    <row r="35" spans="6:16" x14ac:dyDescent="0.2">
      <c r="F35" s="14"/>
      <c r="G35" s="14"/>
      <c r="H35" s="10"/>
      <c r="I35" s="10"/>
      <c r="J35" s="1"/>
      <c r="K35" s="1"/>
      <c r="L35" s="12"/>
      <c r="M35" s="1"/>
      <c r="N35" s="1"/>
      <c r="O35" s="12"/>
      <c r="P3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15"/>
  <sheetViews>
    <sheetView tabSelected="1" workbookViewId="0">
      <selection activeCell="C16" sqref="C16"/>
    </sheetView>
  </sheetViews>
  <sheetFormatPr baseColWidth="10" defaultRowHeight="16" x14ac:dyDescent="0.2"/>
  <cols>
    <col min="1" max="1" width="10.83203125" style="1"/>
    <col min="2" max="2" width="20.1640625" style="1" bestFit="1" customWidth="1"/>
    <col min="3" max="3" width="13.1640625" style="1" bestFit="1" customWidth="1"/>
    <col min="4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414</v>
      </c>
      <c r="B1" s="1" t="s">
        <v>405</v>
      </c>
      <c r="C1" s="1" t="s">
        <v>0</v>
      </c>
      <c r="D1" s="1" t="s">
        <v>406</v>
      </c>
      <c r="E1" s="1" t="s">
        <v>401</v>
      </c>
      <c r="F1" s="1" t="s">
        <v>407</v>
      </c>
      <c r="G1" s="1" t="s">
        <v>408</v>
      </c>
      <c r="H1" s="1" t="s">
        <v>393</v>
      </c>
      <c r="I1" s="1" t="s">
        <v>409</v>
      </c>
      <c r="J1" s="1" t="s">
        <v>410</v>
      </c>
      <c r="K1" s="1" t="s">
        <v>411</v>
      </c>
    </row>
    <row r="2" spans="1:11" x14ac:dyDescent="0.2">
      <c r="A2" s="1" t="s">
        <v>415</v>
      </c>
      <c r="B2" s="1" t="s">
        <v>412</v>
      </c>
      <c r="C2" s="1" t="s">
        <v>2</v>
      </c>
      <c r="D2" s="1">
        <v>2800</v>
      </c>
      <c r="E2" s="1">
        <v>1.111</v>
      </c>
      <c r="F2" s="1">
        <v>171</v>
      </c>
      <c r="G2" s="1" t="s">
        <v>446</v>
      </c>
      <c r="H2" s="11" t="s">
        <v>416</v>
      </c>
      <c r="I2" s="1" t="s">
        <v>466</v>
      </c>
      <c r="J2" s="1" t="s">
        <v>388</v>
      </c>
      <c r="K2" s="1">
        <v>7.5</v>
      </c>
    </row>
    <row r="3" spans="1:11" x14ac:dyDescent="0.2">
      <c r="A3" s="1" t="s">
        <v>415</v>
      </c>
      <c r="B3" s="1" t="s">
        <v>412</v>
      </c>
      <c r="C3" s="1" t="s">
        <v>30</v>
      </c>
      <c r="D3" s="1">
        <v>2000</v>
      </c>
      <c r="E3" s="1">
        <v>1.58</v>
      </c>
      <c r="F3" s="1">
        <v>3619</v>
      </c>
      <c r="G3" s="1" t="s">
        <v>446</v>
      </c>
      <c r="H3" s="11" t="s">
        <v>417</v>
      </c>
      <c r="J3" s="1" t="s">
        <v>389</v>
      </c>
      <c r="K3" s="1">
        <f t="shared" ref="K3:K12" si="0">IF(J3=0,0,IF(J3="P",0,IF(J3="L",-E3,IF(D3&lt;0,E3*(100/-D3),E3*(D3/100)))/1))</f>
        <v>-1.58</v>
      </c>
    </row>
    <row r="4" spans="1:11" x14ac:dyDescent="0.2">
      <c r="A4" s="1" t="s">
        <v>415</v>
      </c>
      <c r="B4" s="1" t="s">
        <v>412</v>
      </c>
      <c r="C4" s="1" t="s">
        <v>13</v>
      </c>
      <c r="D4" s="1">
        <v>7000</v>
      </c>
      <c r="E4" s="1">
        <v>0.45</v>
      </c>
      <c r="F4" s="1">
        <v>403</v>
      </c>
      <c r="G4" s="1" t="s">
        <v>446</v>
      </c>
      <c r="H4" s="11" t="s">
        <v>417</v>
      </c>
      <c r="I4" s="1" t="s">
        <v>466</v>
      </c>
      <c r="J4" s="1" t="s">
        <v>388</v>
      </c>
      <c r="K4" s="1">
        <v>7.5</v>
      </c>
    </row>
    <row r="5" spans="1:11" x14ac:dyDescent="0.2">
      <c r="A5" s="1" t="s">
        <v>415</v>
      </c>
      <c r="B5" s="1" t="s">
        <v>412</v>
      </c>
      <c r="C5" s="1" t="s">
        <v>48</v>
      </c>
      <c r="D5" s="1">
        <v>20000</v>
      </c>
      <c r="E5" s="1">
        <v>0.15</v>
      </c>
      <c r="F5" s="1">
        <v>50000</v>
      </c>
      <c r="G5" s="1" t="s">
        <v>446</v>
      </c>
      <c r="H5" s="11" t="s">
        <v>417</v>
      </c>
      <c r="J5" s="1" t="s">
        <v>389</v>
      </c>
      <c r="K5" s="1">
        <f t="shared" si="0"/>
        <v>-0.15</v>
      </c>
    </row>
    <row r="6" spans="1:11" x14ac:dyDescent="0.2">
      <c r="A6" s="1" t="s">
        <v>415</v>
      </c>
      <c r="B6" s="1" t="s">
        <v>444</v>
      </c>
      <c r="C6" s="1" t="s">
        <v>9</v>
      </c>
      <c r="D6" s="1">
        <v>816</v>
      </c>
      <c r="E6" s="1">
        <v>0.85</v>
      </c>
      <c r="F6" s="1">
        <v>468</v>
      </c>
      <c r="G6" s="1" t="s">
        <v>446</v>
      </c>
      <c r="H6" s="1" t="s">
        <v>469</v>
      </c>
      <c r="J6" s="1" t="s">
        <v>389</v>
      </c>
      <c r="K6" s="1">
        <f t="shared" si="0"/>
        <v>-0.85</v>
      </c>
    </row>
    <row r="7" spans="1:11" x14ac:dyDescent="0.2">
      <c r="A7" s="1" t="s">
        <v>415</v>
      </c>
      <c r="B7" s="1" t="s">
        <v>445</v>
      </c>
      <c r="C7" s="1" t="s">
        <v>10</v>
      </c>
      <c r="D7" s="1">
        <v>1725</v>
      </c>
      <c r="E7" s="1">
        <v>0.45</v>
      </c>
      <c r="F7" s="1">
        <v>265</v>
      </c>
      <c r="G7" s="1" t="s">
        <v>446</v>
      </c>
      <c r="H7" s="1" t="s">
        <v>469</v>
      </c>
      <c r="J7" s="1" t="s">
        <v>389</v>
      </c>
      <c r="K7" s="1">
        <f t="shared" si="0"/>
        <v>-0.45</v>
      </c>
    </row>
    <row r="8" spans="1:11" x14ac:dyDescent="0.2">
      <c r="A8" s="1" t="s">
        <v>415</v>
      </c>
      <c r="B8" s="1" t="s">
        <v>447</v>
      </c>
      <c r="C8" s="1" t="s">
        <v>23</v>
      </c>
      <c r="D8" s="1">
        <v>281</v>
      </c>
      <c r="E8" s="1">
        <v>0.65</v>
      </c>
      <c r="F8" s="1">
        <v>281</v>
      </c>
      <c r="G8" s="1" t="s">
        <v>446</v>
      </c>
      <c r="H8" s="1" t="s">
        <v>470</v>
      </c>
      <c r="J8" s="1" t="s">
        <v>389</v>
      </c>
      <c r="K8" s="1">
        <f t="shared" si="0"/>
        <v>-0.65</v>
      </c>
    </row>
    <row r="9" spans="1:11" x14ac:dyDescent="0.2">
      <c r="A9" s="1" t="s">
        <v>415</v>
      </c>
      <c r="B9" s="1" t="s">
        <v>447</v>
      </c>
      <c r="C9" s="1" t="s">
        <v>10</v>
      </c>
      <c r="D9" s="1">
        <v>155</v>
      </c>
      <c r="E9" s="1">
        <v>1</v>
      </c>
      <c r="F9" s="1">
        <v>155</v>
      </c>
      <c r="G9" s="1" t="s">
        <v>446</v>
      </c>
      <c r="H9" s="1" t="s">
        <v>470</v>
      </c>
      <c r="J9" s="1" t="s">
        <v>388</v>
      </c>
      <c r="K9" s="1">
        <f t="shared" si="0"/>
        <v>1.55</v>
      </c>
    </row>
    <row r="10" spans="1:11" x14ac:dyDescent="0.2">
      <c r="A10" s="1" t="s">
        <v>415</v>
      </c>
      <c r="B10" s="1" t="s">
        <v>448</v>
      </c>
      <c r="C10" s="1" t="s">
        <v>40</v>
      </c>
      <c r="D10" s="1">
        <v>111</v>
      </c>
      <c r="E10" s="1">
        <v>0.5</v>
      </c>
      <c r="F10" s="1">
        <v>111</v>
      </c>
      <c r="G10" s="1" t="s">
        <v>446</v>
      </c>
      <c r="H10" s="1" t="s">
        <v>470</v>
      </c>
      <c r="J10" s="1" t="s">
        <v>388</v>
      </c>
      <c r="K10" s="1">
        <f t="shared" si="0"/>
        <v>0.55500000000000005</v>
      </c>
    </row>
    <row r="11" spans="1:11" x14ac:dyDescent="0.2">
      <c r="A11" s="1" t="s">
        <v>415</v>
      </c>
      <c r="B11" s="1" t="s">
        <v>447</v>
      </c>
      <c r="C11" s="1" t="s">
        <v>9</v>
      </c>
      <c r="D11" s="1">
        <v>-144</v>
      </c>
      <c r="E11" s="1">
        <v>1.44</v>
      </c>
      <c r="F11" s="1">
        <v>-144</v>
      </c>
      <c r="G11" s="1" t="s">
        <v>446</v>
      </c>
      <c r="H11" s="1" t="s">
        <v>470</v>
      </c>
      <c r="J11" s="1" t="s">
        <v>388</v>
      </c>
      <c r="K11" s="1">
        <f t="shared" si="0"/>
        <v>0.99999999999999989</v>
      </c>
    </row>
    <row r="12" spans="1:11" x14ac:dyDescent="0.2">
      <c r="A12" s="1" t="s">
        <v>415</v>
      </c>
      <c r="B12" s="1" t="s">
        <v>448</v>
      </c>
      <c r="C12" s="1" t="s">
        <v>24</v>
      </c>
      <c r="D12" s="1">
        <v>-142</v>
      </c>
      <c r="E12" s="1">
        <v>1.0649999999999999</v>
      </c>
      <c r="F12" s="1">
        <v>-142</v>
      </c>
      <c r="G12" s="1" t="s">
        <v>446</v>
      </c>
      <c r="H12" s="1" t="s">
        <v>470</v>
      </c>
      <c r="J12" s="1" t="s">
        <v>389</v>
      </c>
      <c r="K12" s="1">
        <f t="shared" si="0"/>
        <v>-1.0649999999999999</v>
      </c>
    </row>
    <row r="13" spans="1:11" x14ac:dyDescent="0.2">
      <c r="A13" s="1" t="s">
        <v>415</v>
      </c>
      <c r="B13" s="1" t="s">
        <v>445</v>
      </c>
      <c r="C13" s="1" t="s">
        <v>10</v>
      </c>
      <c r="D13" s="1">
        <v>-324</v>
      </c>
      <c r="E13" s="1">
        <v>6.2755999999999998</v>
      </c>
      <c r="F13" s="1">
        <v>-324</v>
      </c>
      <c r="G13" s="1" t="s">
        <v>446</v>
      </c>
      <c r="H13" s="1" t="s">
        <v>469</v>
      </c>
      <c r="I13" s="1" t="s">
        <v>465</v>
      </c>
      <c r="J13" s="1" t="s">
        <v>388</v>
      </c>
      <c r="K13" s="1">
        <f t="shared" ref="K13" si="1">IF(J13=0,0,IF(J13="P",0,IF(J13="L",-E13,IF(D13&lt;0,E13*(100/-D13),E13*(D13/100)))/1))</f>
        <v>1.9369135802469135</v>
      </c>
    </row>
    <row r="14" spans="1:11" x14ac:dyDescent="0.2">
      <c r="A14" s="1" t="s">
        <v>467</v>
      </c>
      <c r="B14" s="1" t="s">
        <v>412</v>
      </c>
      <c r="C14" s="1" t="s">
        <v>25</v>
      </c>
      <c r="D14" s="1">
        <v>6000</v>
      </c>
      <c r="E14" s="1">
        <v>0.66666999999999998</v>
      </c>
      <c r="G14" s="1" t="s">
        <v>413</v>
      </c>
      <c r="H14" s="1" t="s">
        <v>468</v>
      </c>
    </row>
    <row r="15" spans="1:11" x14ac:dyDescent="0.2">
      <c r="A15" s="1" t="s">
        <v>467</v>
      </c>
      <c r="B15" s="1" t="s">
        <v>412</v>
      </c>
      <c r="C15" s="1" t="s">
        <v>472</v>
      </c>
      <c r="D15" s="1">
        <v>8000</v>
      </c>
      <c r="E15" s="1">
        <v>0.5</v>
      </c>
      <c r="G15" s="1" t="s">
        <v>413</v>
      </c>
      <c r="H15" s="1" t="s">
        <v>471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C2" sqref="C2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404</v>
      </c>
    </row>
    <row r="2" spans="1:4" x14ac:dyDescent="0.2">
      <c r="A2" s="1" t="s">
        <v>1</v>
      </c>
      <c r="B2" s="3">
        <f>VLOOKUP(A2,[3]TeamRtg!$A$3:$G$367,7,FALSE)</f>
        <v>2.3724603209097661</v>
      </c>
      <c r="C2" s="1">
        <f>RANK(B2,$B$2:$B$366)</f>
        <v>3</v>
      </c>
      <c r="D2" s="1">
        <v>2</v>
      </c>
    </row>
    <row r="3" spans="1:4" x14ac:dyDescent="0.2">
      <c r="A3" s="1" t="s">
        <v>2</v>
      </c>
      <c r="B3" s="3">
        <f>VLOOKUP(A3,[3]TeamRtg!$A$3:$G$367,7,FALSE)</f>
        <v>2.4411326789092134</v>
      </c>
      <c r="C3" s="1">
        <f t="shared" ref="C3:C66" si="0">RANK(B3,$B$2:$B$366)</f>
        <v>1</v>
      </c>
      <c r="D3" s="1">
        <v>3</v>
      </c>
    </row>
    <row r="4" spans="1:4" x14ac:dyDescent="0.2">
      <c r="A4" s="1" t="s">
        <v>3</v>
      </c>
      <c r="B4" s="3">
        <f>VLOOKUP(A4,[3]TeamRtg!$A$3:$G$367,7,FALSE)</f>
        <v>2.3843675202568266</v>
      </c>
      <c r="C4" s="1">
        <f t="shared" si="0"/>
        <v>2</v>
      </c>
      <c r="D4" s="1">
        <v>1</v>
      </c>
    </row>
    <row r="5" spans="1:4" x14ac:dyDescent="0.2">
      <c r="A5" s="1" t="s">
        <v>4</v>
      </c>
      <c r="B5" s="3">
        <f>VLOOKUP(A5,[3]TeamRtg!$A$3:$G$367,7,FALSE)</f>
        <v>2.3298564444458925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2.1488184458900852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2.1421383544845458</v>
      </c>
      <c r="C7" s="1">
        <f t="shared" si="0"/>
        <v>7</v>
      </c>
      <c r="D7" s="1">
        <v>8</v>
      </c>
    </row>
    <row r="8" spans="1:4" x14ac:dyDescent="0.2">
      <c r="A8" s="1" t="s">
        <v>7</v>
      </c>
      <c r="B8" s="3">
        <f>VLOOKUP(A8,[3]TeamRtg!$A$3:$G$367,7,FALSE)</f>
        <v>2.1468365779649368</v>
      </c>
      <c r="C8" s="1">
        <f t="shared" si="0"/>
        <v>6</v>
      </c>
      <c r="D8" s="1">
        <v>6</v>
      </c>
    </row>
    <row r="9" spans="1:4" x14ac:dyDescent="0.2">
      <c r="A9" s="1" t="s">
        <v>8</v>
      </c>
      <c r="B9" s="3">
        <f>VLOOKUP(A9,[3]TeamRtg!$A$3:$G$367,7,FALSE)</f>
        <v>2.0353783970235364</v>
      </c>
      <c r="C9" s="1">
        <f t="shared" si="0"/>
        <v>11</v>
      </c>
      <c r="D9" s="1">
        <v>10</v>
      </c>
    </row>
    <row r="10" spans="1:4" x14ac:dyDescent="0.2">
      <c r="A10" s="1" t="s">
        <v>9</v>
      </c>
      <c r="B10" s="3">
        <f>VLOOKUP(A10,[3]TeamRtg!$A$3:$G$367,7,FALSE)</f>
        <v>2.0438264420963757</v>
      </c>
      <c r="C10" s="1">
        <f t="shared" si="0"/>
        <v>10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2.1093237350207152</v>
      </c>
      <c r="C11" s="1">
        <f t="shared" si="0"/>
        <v>9</v>
      </c>
      <c r="D11" s="1">
        <v>7</v>
      </c>
    </row>
    <row r="12" spans="1:4" x14ac:dyDescent="0.2">
      <c r="A12" s="1" t="s">
        <v>11</v>
      </c>
      <c r="B12" s="3">
        <f>VLOOKUP(A12,[3]TeamRtg!$A$3:$G$367,7,FALSE)</f>
        <v>1.7307723029482374</v>
      </c>
      <c r="C12" s="1">
        <f t="shared" si="0"/>
        <v>17</v>
      </c>
      <c r="D12" s="1">
        <v>17</v>
      </c>
    </row>
    <row r="13" spans="1:4" x14ac:dyDescent="0.2">
      <c r="A13" s="1" t="s">
        <v>12</v>
      </c>
      <c r="B13" s="3">
        <f>VLOOKUP(A13,[3]TeamRtg!$A$3:$G$367,7,FALSE)</f>
        <v>2.0079188366631255</v>
      </c>
      <c r="C13" s="1">
        <f t="shared" si="0"/>
        <v>12</v>
      </c>
      <c r="D13" s="1">
        <v>11</v>
      </c>
    </row>
    <row r="14" spans="1:4" x14ac:dyDescent="0.2">
      <c r="A14" s="1" t="s">
        <v>13</v>
      </c>
      <c r="B14" s="3">
        <f>VLOOKUP(A14,[3]TeamRtg!$A$3:$G$367,7,FALSE)</f>
        <v>1.920033914208608</v>
      </c>
      <c r="C14" s="1">
        <f t="shared" si="0"/>
        <v>14</v>
      </c>
      <c r="D14" s="1">
        <v>14</v>
      </c>
    </row>
    <row r="15" spans="1:4" x14ac:dyDescent="0.2">
      <c r="A15" s="1" t="s">
        <v>14</v>
      </c>
      <c r="B15" s="3">
        <f>VLOOKUP(A15,[3]TeamRtg!$A$3:$G$367,7,FALSE)</f>
        <v>2.1151351908000979</v>
      </c>
      <c r="C15" s="1">
        <f t="shared" si="0"/>
        <v>8</v>
      </c>
      <c r="D15" s="1">
        <v>12</v>
      </c>
    </row>
    <row r="16" spans="1:4" x14ac:dyDescent="0.2">
      <c r="A16" s="1" t="s">
        <v>15</v>
      </c>
      <c r="B16" s="3">
        <f>VLOOKUP(A16,[3]TeamRtg!$A$3:$G$367,7,FALSE)</f>
        <v>1.9750140720740106</v>
      </c>
      <c r="C16" s="1">
        <f t="shared" si="0"/>
        <v>13</v>
      </c>
      <c r="D16" s="1">
        <v>13</v>
      </c>
    </row>
    <row r="17" spans="1:4" x14ac:dyDescent="0.2">
      <c r="A17" s="1" t="s">
        <v>16</v>
      </c>
      <c r="B17" s="3">
        <f>VLOOKUP(A17,[3]TeamRtg!$A$3:$G$367,7,FALSE)</f>
        <v>1.8429141834358775</v>
      </c>
      <c r="C17" s="1">
        <f t="shared" si="0"/>
        <v>15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1.8370317256087239</v>
      </c>
      <c r="C18" s="1">
        <f t="shared" si="0"/>
        <v>16</v>
      </c>
      <c r="D18" s="1">
        <v>15</v>
      </c>
    </row>
    <row r="19" spans="1:4" x14ac:dyDescent="0.2">
      <c r="A19" s="1" t="s">
        <v>18</v>
      </c>
      <c r="B19" s="3">
        <f>VLOOKUP(A19,[3]TeamRtg!$A$3:$G$367,7,FALSE)</f>
        <v>1.6836789259046161</v>
      </c>
      <c r="C19" s="1">
        <f t="shared" si="0"/>
        <v>21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1.7297344382488178</v>
      </c>
      <c r="C20" s="1">
        <f t="shared" si="0"/>
        <v>18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1.7036280870418232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1.6485162279320009</v>
      </c>
      <c r="C22" s="1">
        <f t="shared" si="0"/>
        <v>22</v>
      </c>
      <c r="D22" s="1">
        <v>22</v>
      </c>
    </row>
    <row r="23" spans="1:4" x14ac:dyDescent="0.2">
      <c r="A23" s="1" t="s">
        <v>22</v>
      </c>
      <c r="B23" s="3">
        <f>VLOOKUP(A23,[3]TeamRtg!$A$3:$G$367,7,FALSE)</f>
        <v>1.7198667772762584</v>
      </c>
      <c r="C23" s="1">
        <f t="shared" si="0"/>
        <v>19</v>
      </c>
      <c r="D23" s="1">
        <v>21</v>
      </c>
    </row>
    <row r="24" spans="1:4" x14ac:dyDescent="0.2">
      <c r="A24" s="1" t="s">
        <v>23</v>
      </c>
      <c r="B24" s="3">
        <f>VLOOKUP(A24,[3]TeamRtg!$A$3:$G$367,7,FALSE)</f>
        <v>1.6111786314801126</v>
      </c>
      <c r="C24" s="1">
        <f t="shared" si="0"/>
        <v>24</v>
      </c>
      <c r="D24" s="1">
        <v>24</v>
      </c>
    </row>
    <row r="25" spans="1:4" x14ac:dyDescent="0.2">
      <c r="A25" s="1" t="s">
        <v>24</v>
      </c>
      <c r="B25" s="3">
        <f>VLOOKUP(A25,[3]TeamRtg!$A$3:$G$367,7,FALSE)</f>
        <v>1.5980765174629916</v>
      </c>
      <c r="C25" s="1">
        <f t="shared" si="0"/>
        <v>25</v>
      </c>
      <c r="D25" s="1">
        <v>25</v>
      </c>
    </row>
    <row r="26" spans="1:4" x14ac:dyDescent="0.2">
      <c r="A26" s="1" t="s">
        <v>25</v>
      </c>
      <c r="B26" s="3">
        <f>VLOOKUP(A26,[3]TeamRtg!$A$3:$G$367,7,FALSE)</f>
        <v>1.4596895432031811</v>
      </c>
      <c r="C26" s="1">
        <f t="shared" si="0"/>
        <v>31</v>
      </c>
      <c r="D26" s="1">
        <v>28</v>
      </c>
    </row>
    <row r="27" spans="1:4" x14ac:dyDescent="0.2">
      <c r="A27" s="1" t="s">
        <v>26</v>
      </c>
      <c r="B27" s="3">
        <f>VLOOKUP(A27,[3]TeamRtg!$A$3:$G$367,7,FALSE)</f>
        <v>1.633833869039695</v>
      </c>
      <c r="C27" s="1">
        <f t="shared" si="0"/>
        <v>23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1.5890742504072184</v>
      </c>
      <c r="C28" s="1">
        <f t="shared" si="0"/>
        <v>26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1.5661196946449574</v>
      </c>
      <c r="C29" s="1">
        <f t="shared" si="0"/>
        <v>27</v>
      </c>
      <c r="D29" s="1">
        <v>23</v>
      </c>
    </row>
    <row r="30" spans="1:4" x14ac:dyDescent="0.2">
      <c r="A30" s="1" t="s">
        <v>29</v>
      </c>
      <c r="B30" s="3">
        <f>VLOOKUP(A30,[3]TeamRtg!$A$3:$G$367,7,FALSE)</f>
        <v>1.4165505551334869</v>
      </c>
      <c r="C30" s="1">
        <f t="shared" si="0"/>
        <v>33</v>
      </c>
      <c r="D30" s="1">
        <v>32</v>
      </c>
    </row>
    <row r="31" spans="1:4" x14ac:dyDescent="0.2">
      <c r="A31" s="1" t="s">
        <v>30</v>
      </c>
      <c r="B31" s="3">
        <f>VLOOKUP(A31,[3]TeamRtg!$A$3:$G$367,7,FALSE)</f>
        <v>1.5225420471935447</v>
      </c>
      <c r="C31" s="1">
        <f t="shared" si="0"/>
        <v>28</v>
      </c>
      <c r="D31" s="1">
        <v>29</v>
      </c>
    </row>
    <row r="32" spans="1:4" x14ac:dyDescent="0.2">
      <c r="A32" s="1" t="s">
        <v>31</v>
      </c>
      <c r="B32" s="3">
        <f>VLOOKUP(A32,[3]TeamRtg!$A$3:$G$367,7,FALSE)</f>
        <v>1.5120905367113564</v>
      </c>
      <c r="C32" s="1">
        <f t="shared" si="0"/>
        <v>29</v>
      </c>
      <c r="D32" s="1">
        <v>30</v>
      </c>
    </row>
    <row r="33" spans="1:4" x14ac:dyDescent="0.2">
      <c r="A33" s="1" t="s">
        <v>32</v>
      </c>
      <c r="B33" s="3">
        <f>VLOOKUP(A33,[3]TeamRtg!$A$3:$G$367,7,FALSE)</f>
        <v>1.4358114615475326</v>
      </c>
      <c r="C33" s="1">
        <f t="shared" si="0"/>
        <v>32</v>
      </c>
      <c r="D33" s="1">
        <v>33</v>
      </c>
    </row>
    <row r="34" spans="1:4" x14ac:dyDescent="0.2">
      <c r="A34" s="1" t="s">
        <v>33</v>
      </c>
      <c r="B34" s="3">
        <f>VLOOKUP(A34,[3]TeamRtg!$A$3:$G$367,7,FALSE)</f>
        <v>1.480782681200234</v>
      </c>
      <c r="C34" s="1">
        <f t="shared" si="0"/>
        <v>30</v>
      </c>
      <c r="D34" s="1">
        <v>31</v>
      </c>
    </row>
    <row r="35" spans="1:4" x14ac:dyDescent="0.2">
      <c r="A35" s="1" t="s">
        <v>34</v>
      </c>
      <c r="B35" s="3">
        <f>VLOOKUP(A35,[3]TeamRtg!$A$3:$G$367,7,FALSE)</f>
        <v>1.3725727887868471</v>
      </c>
      <c r="C35" s="1">
        <f t="shared" si="0"/>
        <v>35</v>
      </c>
      <c r="D35" s="1">
        <v>37</v>
      </c>
    </row>
    <row r="36" spans="1:4" x14ac:dyDescent="0.2">
      <c r="A36" s="1" t="s">
        <v>35</v>
      </c>
      <c r="B36" s="3">
        <f>VLOOKUP(A36,[3]TeamRtg!$A$3:$G$367,7,FALSE)</f>
        <v>1.399308931370413</v>
      </c>
      <c r="C36" s="1">
        <f t="shared" si="0"/>
        <v>34</v>
      </c>
      <c r="D36" s="1">
        <v>34</v>
      </c>
    </row>
    <row r="37" spans="1:4" x14ac:dyDescent="0.2">
      <c r="A37" s="1" t="s">
        <v>36</v>
      </c>
      <c r="B37" s="3">
        <f>VLOOKUP(A37,[3]TeamRtg!$A$3:$G$367,7,FALSE)</f>
        <v>1.3263082288045847</v>
      </c>
      <c r="C37" s="1">
        <f t="shared" si="0"/>
        <v>37</v>
      </c>
      <c r="D37" s="1">
        <v>35</v>
      </c>
    </row>
    <row r="38" spans="1:4" x14ac:dyDescent="0.2">
      <c r="A38" s="1" t="s">
        <v>37</v>
      </c>
      <c r="B38" s="3">
        <f>VLOOKUP(A38,[3]TeamRtg!$A$3:$G$367,7,FALSE)</f>
        <v>1.3327173308481712</v>
      </c>
      <c r="C38" s="1">
        <f t="shared" si="0"/>
        <v>36</v>
      </c>
      <c r="D38" s="1">
        <v>36</v>
      </c>
    </row>
    <row r="39" spans="1:4" x14ac:dyDescent="0.2">
      <c r="A39" s="1" t="s">
        <v>38</v>
      </c>
      <c r="B39" s="3">
        <f>VLOOKUP(A39,[3]TeamRtg!$A$3:$G$367,7,FALSE)</f>
        <v>1.2842333839022859</v>
      </c>
      <c r="C39" s="1">
        <f t="shared" si="0"/>
        <v>39</v>
      </c>
      <c r="D39" s="1">
        <v>41</v>
      </c>
    </row>
    <row r="40" spans="1:4" x14ac:dyDescent="0.2">
      <c r="A40" s="1" t="s">
        <v>39</v>
      </c>
      <c r="B40" s="3">
        <f>VLOOKUP(A40,[3]TeamRtg!$A$3:$G$367,7,FALSE)</f>
        <v>1.2531976647873275</v>
      </c>
      <c r="C40" s="1">
        <f t="shared" si="0"/>
        <v>43</v>
      </c>
      <c r="D40" s="1">
        <v>38</v>
      </c>
    </row>
    <row r="41" spans="1:4" x14ac:dyDescent="0.2">
      <c r="A41" s="1" t="s">
        <v>40</v>
      </c>
      <c r="B41" s="3">
        <f>VLOOKUP(A41,[3]TeamRtg!$A$3:$G$367,7,FALSE)</f>
        <v>1.2837239079548026</v>
      </c>
      <c r="C41" s="1">
        <f t="shared" si="0"/>
        <v>40</v>
      </c>
      <c r="D41" s="1">
        <v>39</v>
      </c>
    </row>
    <row r="42" spans="1:4" x14ac:dyDescent="0.2">
      <c r="A42" s="1" t="s">
        <v>41</v>
      </c>
      <c r="B42" s="3">
        <f>VLOOKUP(A42,[3]TeamRtg!$A$3:$G$367,7,FALSE)</f>
        <v>1.2304938501803491</v>
      </c>
      <c r="C42" s="1">
        <f t="shared" si="0"/>
        <v>45</v>
      </c>
      <c r="D42" s="1">
        <v>40</v>
      </c>
    </row>
    <row r="43" spans="1:4" x14ac:dyDescent="0.2">
      <c r="A43" s="1" t="s">
        <v>42</v>
      </c>
      <c r="B43" s="3">
        <f>VLOOKUP(A43,[3]TeamRtg!$A$3:$G$367,7,FALSE)</f>
        <v>1.2089910120808776</v>
      </c>
      <c r="C43" s="1">
        <f t="shared" si="0"/>
        <v>47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1.2719714896161205</v>
      </c>
      <c r="C44" s="1">
        <f t="shared" si="0"/>
        <v>41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1.1705506225722693</v>
      </c>
      <c r="C45" s="1">
        <f t="shared" si="0"/>
        <v>50</v>
      </c>
      <c r="D45" s="1">
        <v>46</v>
      </c>
    </row>
    <row r="46" spans="1:4" x14ac:dyDescent="0.2">
      <c r="A46" s="1" t="s">
        <v>45</v>
      </c>
      <c r="B46" s="3">
        <f>VLOOKUP(A46,[3]TeamRtg!$A$3:$G$367,7,FALSE)</f>
        <v>1.2426414769371414</v>
      </c>
      <c r="C46" s="1">
        <f t="shared" si="0"/>
        <v>44</v>
      </c>
      <c r="D46" s="1">
        <v>44</v>
      </c>
    </row>
    <row r="47" spans="1:4" x14ac:dyDescent="0.2">
      <c r="A47" s="1" t="s">
        <v>46</v>
      </c>
      <c r="B47" s="3">
        <f>VLOOKUP(A47,[3]TeamRtg!$A$3:$G$367,7,FALSE)</f>
        <v>1.2612728385669907</v>
      </c>
      <c r="C47" s="1">
        <f t="shared" si="0"/>
        <v>42</v>
      </c>
      <c r="D47" s="1">
        <v>45</v>
      </c>
    </row>
    <row r="48" spans="1:4" x14ac:dyDescent="0.2">
      <c r="A48" s="1" t="s">
        <v>47</v>
      </c>
      <c r="B48" s="3">
        <f>VLOOKUP(A48,[3]TeamRtg!$A$3:$G$367,7,FALSE)</f>
        <v>1.3151389996405596</v>
      </c>
      <c r="C48" s="1">
        <f t="shared" si="0"/>
        <v>38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1.1275487418938004</v>
      </c>
      <c r="C49" s="1">
        <f t="shared" si="0"/>
        <v>51</v>
      </c>
      <c r="D49" s="1">
        <v>54</v>
      </c>
    </row>
    <row r="50" spans="1:4" x14ac:dyDescent="0.2">
      <c r="A50" s="1" t="s">
        <v>49</v>
      </c>
      <c r="B50" s="3">
        <f>VLOOKUP(A50,[3]TeamRtg!$A$3:$G$367,7,FALSE)</f>
        <v>1.1732078843986069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1.1832890866486203</v>
      </c>
      <c r="C51" s="1">
        <f t="shared" si="0"/>
        <v>48</v>
      </c>
      <c r="D51" s="1">
        <v>48</v>
      </c>
    </row>
    <row r="52" spans="1:4" x14ac:dyDescent="0.2">
      <c r="A52" s="1" t="s">
        <v>51</v>
      </c>
      <c r="B52" s="3">
        <f>VLOOKUP(A52,[3]TeamRtg!$A$3:$G$367,7,FALSE)</f>
        <v>1.0400032442688223</v>
      </c>
      <c r="C52" s="1">
        <f t="shared" si="0"/>
        <v>55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1.0250421608817428</v>
      </c>
      <c r="C53" s="1">
        <f t="shared" si="0"/>
        <v>57</v>
      </c>
      <c r="D53" s="1">
        <v>53</v>
      </c>
    </row>
    <row r="54" spans="1:4" x14ac:dyDescent="0.2">
      <c r="A54" s="1" t="s">
        <v>53</v>
      </c>
      <c r="B54" s="3">
        <f>VLOOKUP(A54,[3]TeamRtg!$A$3:$G$367,7,FALSE)</f>
        <v>1.2132616285585638</v>
      </c>
      <c r="C54" s="1">
        <f t="shared" si="0"/>
        <v>46</v>
      </c>
      <c r="D54" s="1">
        <v>50</v>
      </c>
    </row>
    <row r="55" spans="1:4" x14ac:dyDescent="0.2">
      <c r="A55" s="1" t="s">
        <v>54</v>
      </c>
      <c r="B55" s="3">
        <f>VLOOKUP(A55,[3]TeamRtg!$A$3:$G$367,7,FALSE)</f>
        <v>1.0639598452875727</v>
      </c>
      <c r="C55" s="1">
        <f t="shared" si="0"/>
        <v>53</v>
      </c>
      <c r="D55" s="1">
        <v>52</v>
      </c>
    </row>
    <row r="56" spans="1:4" x14ac:dyDescent="0.2">
      <c r="A56" s="1" t="s">
        <v>55</v>
      </c>
      <c r="B56" s="3">
        <f>VLOOKUP(A56,[3]TeamRtg!$A$3:$G$367,7,FALSE)</f>
        <v>1.0405794082736679</v>
      </c>
      <c r="C56" s="1">
        <f t="shared" si="0"/>
        <v>54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1.0833331337032761</v>
      </c>
      <c r="C57" s="1">
        <f t="shared" si="0"/>
        <v>52</v>
      </c>
      <c r="D57" s="1">
        <v>59</v>
      </c>
    </row>
    <row r="58" spans="1:4" x14ac:dyDescent="0.2">
      <c r="A58" s="1" t="s">
        <v>57</v>
      </c>
      <c r="B58" s="3">
        <f>VLOOKUP(A58,[3]TeamRtg!$A$3:$G$367,7,FALSE)</f>
        <v>1.0121462885583019</v>
      </c>
      <c r="C58" s="1">
        <f t="shared" si="0"/>
        <v>59</v>
      </c>
      <c r="D58" s="1">
        <v>56</v>
      </c>
    </row>
    <row r="59" spans="1:4" x14ac:dyDescent="0.2">
      <c r="A59" s="1" t="s">
        <v>58</v>
      </c>
      <c r="B59" s="3">
        <f>VLOOKUP(A59,[3]TeamRtg!$A$3:$G$367,7,FALSE)</f>
        <v>1.0381335670323941</v>
      </c>
      <c r="C59" s="1">
        <f t="shared" si="0"/>
        <v>56</v>
      </c>
      <c r="D59" s="1">
        <v>57</v>
      </c>
    </row>
    <row r="60" spans="1:4" x14ac:dyDescent="0.2">
      <c r="A60" s="1" t="s">
        <v>59</v>
      </c>
      <c r="B60" s="3">
        <f>VLOOKUP(A60,[3]TeamRtg!$A$3:$G$367,7,FALSE)</f>
        <v>1.0210632551400336</v>
      </c>
      <c r="C60" s="1">
        <f t="shared" si="0"/>
        <v>58</v>
      </c>
      <c r="D60" s="1">
        <v>58</v>
      </c>
    </row>
    <row r="61" spans="1:4" x14ac:dyDescent="0.2">
      <c r="A61" s="1" t="s">
        <v>60</v>
      </c>
      <c r="B61" s="3">
        <f>VLOOKUP(A61,[3]TeamRtg!$A$3:$G$367,7,FALSE)</f>
        <v>0.95095297617021568</v>
      </c>
      <c r="C61" s="1">
        <f t="shared" si="0"/>
        <v>63</v>
      </c>
      <c r="D61" s="1">
        <v>65</v>
      </c>
    </row>
    <row r="62" spans="1:4" x14ac:dyDescent="0.2">
      <c r="A62" s="1" t="s">
        <v>61</v>
      </c>
      <c r="B62" s="3">
        <f>VLOOKUP(A62,[3]TeamRtg!$A$3:$G$367,7,FALSE)</f>
        <v>0.93770939839851419</v>
      </c>
      <c r="C62" s="1">
        <f t="shared" si="0"/>
        <v>64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1.0107445736967684</v>
      </c>
      <c r="C63" s="1">
        <f t="shared" si="0"/>
        <v>60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1.0029156853985772</v>
      </c>
      <c r="C64" s="1">
        <f t="shared" si="0"/>
        <v>61</v>
      </c>
      <c r="D64" s="1">
        <v>60</v>
      </c>
    </row>
    <row r="65" spans="1:4" x14ac:dyDescent="0.2">
      <c r="A65" s="1" t="s">
        <v>64</v>
      </c>
      <c r="B65" s="3">
        <f>VLOOKUP(A65,[3]TeamRtg!$A$3:$G$367,7,FALSE)</f>
        <v>0.88560573839134515</v>
      </c>
      <c r="C65" s="1">
        <f t="shared" si="0"/>
        <v>67</v>
      </c>
      <c r="D65" s="1">
        <v>68</v>
      </c>
    </row>
    <row r="66" spans="1:4" x14ac:dyDescent="0.2">
      <c r="A66" s="1" t="s">
        <v>65</v>
      </c>
      <c r="B66" s="3">
        <f>VLOOKUP(A66,[3]TeamRtg!$A$3:$G$367,7,FALSE)</f>
        <v>0.90686552488418681</v>
      </c>
      <c r="C66" s="1">
        <f t="shared" si="0"/>
        <v>66</v>
      </c>
      <c r="D66" s="1">
        <v>63</v>
      </c>
    </row>
    <row r="67" spans="1:4" x14ac:dyDescent="0.2">
      <c r="A67" s="1" t="s">
        <v>66</v>
      </c>
      <c r="B67" s="3">
        <f>VLOOKUP(A67,[3]TeamRtg!$A$3:$G$367,7,FALSE)</f>
        <v>0.8808176745014038</v>
      </c>
      <c r="C67" s="1">
        <f t="shared" ref="C67:C130" si="1">RANK(B67,$B$2:$B$366)</f>
        <v>68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0.86693386348458423</v>
      </c>
      <c r="C68" s="1">
        <f t="shared" si="1"/>
        <v>72</v>
      </c>
      <c r="D68" s="1">
        <v>73</v>
      </c>
    </row>
    <row r="69" spans="1:4" x14ac:dyDescent="0.2">
      <c r="A69" s="1" t="s">
        <v>68</v>
      </c>
      <c r="B69" s="3">
        <f>VLOOKUP(A69,[3]TeamRtg!$A$3:$G$367,7,FALSE)</f>
        <v>0.85738907237928474</v>
      </c>
      <c r="C69" s="1">
        <f t="shared" si="1"/>
        <v>73</v>
      </c>
      <c r="D69" s="1">
        <v>74</v>
      </c>
    </row>
    <row r="70" spans="1:4" x14ac:dyDescent="0.2">
      <c r="A70" s="1" t="s">
        <v>69</v>
      </c>
      <c r="B70" s="3">
        <f>VLOOKUP(A70,[3]TeamRtg!$A$3:$G$367,7,FALSE)</f>
        <v>0.93513266741954915</v>
      </c>
      <c r="C70" s="1">
        <f t="shared" si="1"/>
        <v>65</v>
      </c>
      <c r="D70" s="1">
        <v>64</v>
      </c>
    </row>
    <row r="71" spans="1:4" x14ac:dyDescent="0.2">
      <c r="A71" s="1" t="s">
        <v>70</v>
      </c>
      <c r="B71" s="3">
        <f>VLOOKUP(A71,[3]TeamRtg!$A$3:$G$367,7,FALSE)</f>
        <v>0.8057097643968506</v>
      </c>
      <c r="C71" s="1">
        <f t="shared" si="1"/>
        <v>75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0.98084267348770082</v>
      </c>
      <c r="C72" s="1">
        <f t="shared" si="1"/>
        <v>62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0.87218628114457908</v>
      </c>
      <c r="C73" s="1">
        <f t="shared" si="1"/>
        <v>71</v>
      </c>
      <c r="D73" s="1">
        <v>69</v>
      </c>
    </row>
    <row r="74" spans="1:4" x14ac:dyDescent="0.2">
      <c r="A74" s="1" t="s">
        <v>73</v>
      </c>
      <c r="B74" s="3">
        <f>VLOOKUP(A74,[3]TeamRtg!$A$3:$G$367,7,FALSE)</f>
        <v>0.85148932871286476</v>
      </c>
      <c r="C74" s="1">
        <f t="shared" si="1"/>
        <v>74</v>
      </c>
      <c r="D74" s="1">
        <v>67</v>
      </c>
    </row>
    <row r="75" spans="1:4" x14ac:dyDescent="0.2">
      <c r="A75" s="1" t="s">
        <v>74</v>
      </c>
      <c r="B75" s="3">
        <f>VLOOKUP(A75,[3]TeamRtg!$A$3:$G$367,7,FALSE)</f>
        <v>0.77812493291986051</v>
      </c>
      <c r="C75" s="1">
        <f t="shared" si="1"/>
        <v>78</v>
      </c>
      <c r="D75" s="1">
        <v>78</v>
      </c>
    </row>
    <row r="76" spans="1:4" x14ac:dyDescent="0.2">
      <c r="A76" s="1" t="s">
        <v>75</v>
      </c>
      <c r="B76" s="3">
        <f>VLOOKUP(A76,[3]TeamRtg!$A$3:$G$367,7,FALSE)</f>
        <v>0.7961542429416445</v>
      </c>
      <c r="C76" s="1">
        <f t="shared" si="1"/>
        <v>77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0.80398951321808487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0.87518734435095391</v>
      </c>
      <c r="C78" s="1">
        <f t="shared" si="1"/>
        <v>70</v>
      </c>
      <c r="D78" s="1">
        <v>72</v>
      </c>
    </row>
    <row r="79" spans="1:4" x14ac:dyDescent="0.2">
      <c r="A79" s="1" t="s">
        <v>78</v>
      </c>
      <c r="B79" s="3">
        <f>VLOOKUP(A79,[3]TeamRtg!$A$3:$G$367,7,FALSE)</f>
        <v>0.73051599018835067</v>
      </c>
      <c r="C79" s="1">
        <f t="shared" si="1"/>
        <v>80</v>
      </c>
      <c r="D79" s="1">
        <v>79</v>
      </c>
    </row>
    <row r="80" spans="1:4" x14ac:dyDescent="0.2">
      <c r="A80" s="1" t="s">
        <v>79</v>
      </c>
      <c r="B80" s="3">
        <f>VLOOKUP(A80,[3]TeamRtg!$A$3:$G$367,7,FALSE)</f>
        <v>0.70249525702957005</v>
      </c>
      <c r="C80" s="1">
        <f t="shared" si="1"/>
        <v>84</v>
      </c>
      <c r="D80" s="1">
        <v>83</v>
      </c>
    </row>
    <row r="81" spans="1:4" x14ac:dyDescent="0.2">
      <c r="A81" s="1" t="s">
        <v>80</v>
      </c>
      <c r="B81" s="3">
        <f>VLOOKUP(A81,[3]TeamRtg!$A$3:$G$367,7,FALSE)</f>
        <v>0.73519766761354333</v>
      </c>
      <c r="C81" s="1">
        <f t="shared" si="1"/>
        <v>79</v>
      </c>
      <c r="D81" s="1">
        <v>81</v>
      </c>
    </row>
    <row r="82" spans="1:4" x14ac:dyDescent="0.2">
      <c r="A82" s="1" t="s">
        <v>81</v>
      </c>
      <c r="B82" s="3">
        <f>VLOOKUP(A82,[3]TeamRtg!$A$3:$G$367,7,FALSE)</f>
        <v>0.72997113970794492</v>
      </c>
      <c r="C82" s="1">
        <f t="shared" si="1"/>
        <v>81</v>
      </c>
      <c r="D82" s="1">
        <v>77</v>
      </c>
    </row>
    <row r="83" spans="1:4" x14ac:dyDescent="0.2">
      <c r="A83" s="1" t="s">
        <v>82</v>
      </c>
      <c r="B83" s="3">
        <f>VLOOKUP(A83,[3]TeamRtg!$A$3:$G$367,7,FALSE)</f>
        <v>0.87649403642374502</v>
      </c>
      <c r="C83" s="1">
        <f t="shared" si="1"/>
        <v>69</v>
      </c>
      <c r="D83" s="1">
        <v>80</v>
      </c>
    </row>
    <row r="84" spans="1:4" x14ac:dyDescent="0.2">
      <c r="A84" s="1" t="s">
        <v>83</v>
      </c>
      <c r="B84" s="3">
        <f>VLOOKUP(A84,[3]TeamRtg!$A$3:$G$367,7,FALSE)</f>
        <v>0.62659560101312139</v>
      </c>
      <c r="C84" s="1">
        <f t="shared" si="1"/>
        <v>91</v>
      </c>
      <c r="D84" s="1">
        <v>90</v>
      </c>
    </row>
    <row r="85" spans="1:4" x14ac:dyDescent="0.2">
      <c r="A85" s="1" t="s">
        <v>84</v>
      </c>
      <c r="B85" s="3">
        <f>VLOOKUP(A85,[3]TeamRtg!$A$3:$G$367,7,FALSE)</f>
        <v>0.65884614829491162</v>
      </c>
      <c r="C85" s="1">
        <f t="shared" si="1"/>
        <v>88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0.63326234815045102</v>
      </c>
      <c r="C86" s="1">
        <f t="shared" si="1"/>
        <v>90</v>
      </c>
      <c r="D86" s="1">
        <v>87</v>
      </c>
    </row>
    <row r="87" spans="1:4" x14ac:dyDescent="0.2">
      <c r="A87" s="1" t="s">
        <v>86</v>
      </c>
      <c r="B87" s="3">
        <f>VLOOKUP(A87,[3]TeamRtg!$A$3:$G$367,7,FALSE)</f>
        <v>0.72871408452276532</v>
      </c>
      <c r="C87" s="1">
        <f t="shared" si="1"/>
        <v>82</v>
      </c>
      <c r="D87" s="1">
        <v>82</v>
      </c>
    </row>
    <row r="88" spans="1:4" x14ac:dyDescent="0.2">
      <c r="A88" s="1" t="s">
        <v>87</v>
      </c>
      <c r="B88" s="3">
        <f>VLOOKUP(A88,[3]TeamRtg!$A$3:$G$367,7,FALSE)</f>
        <v>0.62459123259469296</v>
      </c>
      <c r="C88" s="1">
        <f t="shared" si="1"/>
        <v>92</v>
      </c>
      <c r="D88" s="1">
        <v>91</v>
      </c>
    </row>
    <row r="89" spans="1:4" x14ac:dyDescent="0.2">
      <c r="A89" s="1" t="s">
        <v>88</v>
      </c>
      <c r="B89" s="3">
        <f>VLOOKUP(A89,[3]TeamRtg!$A$3:$G$367,7,FALSE)</f>
        <v>0.69425739770880301</v>
      </c>
      <c r="C89" s="1">
        <f t="shared" si="1"/>
        <v>85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0.68994679516813917</v>
      </c>
      <c r="C90" s="1">
        <f t="shared" si="1"/>
        <v>86</v>
      </c>
      <c r="D90" s="1">
        <v>86</v>
      </c>
    </row>
    <row r="91" spans="1:4" x14ac:dyDescent="0.2">
      <c r="A91" s="1" t="s">
        <v>90</v>
      </c>
      <c r="B91" s="3">
        <f>VLOOKUP(A91,[3]TeamRtg!$A$3:$G$367,7,FALSE)</f>
        <v>0.62009023953642373</v>
      </c>
      <c r="C91" s="1">
        <f t="shared" si="1"/>
        <v>93</v>
      </c>
      <c r="D91" s="1">
        <v>93</v>
      </c>
    </row>
    <row r="92" spans="1:4" x14ac:dyDescent="0.2">
      <c r="A92" s="1" t="s">
        <v>91</v>
      </c>
      <c r="B92" s="3">
        <f>VLOOKUP(A92,[3]TeamRtg!$A$3:$G$367,7,FALSE)</f>
        <v>0.71034705100013029</v>
      </c>
      <c r="C92" s="1">
        <f t="shared" si="1"/>
        <v>83</v>
      </c>
      <c r="D92" s="1">
        <v>85</v>
      </c>
    </row>
    <row r="93" spans="1:4" x14ac:dyDescent="0.2">
      <c r="A93" s="1" t="s">
        <v>92</v>
      </c>
      <c r="B93" s="3">
        <f>VLOOKUP(A93,[3]TeamRtg!$A$3:$G$367,7,FALSE)</f>
        <v>0.64835568430563517</v>
      </c>
      <c r="C93" s="1">
        <f t="shared" si="1"/>
        <v>89</v>
      </c>
      <c r="D93" s="1">
        <v>95</v>
      </c>
    </row>
    <row r="94" spans="1:4" x14ac:dyDescent="0.2">
      <c r="A94" s="1" t="s">
        <v>93</v>
      </c>
      <c r="B94" s="3">
        <f>VLOOKUP(A94,[3]TeamRtg!$A$3:$G$367,7,FALSE)</f>
        <v>0.57564045619396964</v>
      </c>
      <c r="C94" s="1">
        <f t="shared" si="1"/>
        <v>94</v>
      </c>
      <c r="D94" s="1">
        <v>92</v>
      </c>
    </row>
    <row r="95" spans="1:4" x14ac:dyDescent="0.2">
      <c r="A95" s="1" t="s">
        <v>94</v>
      </c>
      <c r="B95" s="3">
        <f>VLOOKUP(A95,[3]TeamRtg!$A$3:$G$367,7,FALSE)</f>
        <v>0.68173237323609626</v>
      </c>
      <c r="C95" s="1">
        <f t="shared" si="1"/>
        <v>87</v>
      </c>
      <c r="D95" s="1">
        <v>89</v>
      </c>
    </row>
    <row r="96" spans="1:4" x14ac:dyDescent="0.2">
      <c r="A96" s="1" t="s">
        <v>95</v>
      </c>
      <c r="B96" s="3">
        <f>VLOOKUP(A96,[3]TeamRtg!$A$3:$G$367,7,FALSE)</f>
        <v>0.50704336024940022</v>
      </c>
      <c r="C96" s="1">
        <f t="shared" si="1"/>
        <v>106</v>
      </c>
      <c r="D96" s="1">
        <v>106</v>
      </c>
    </row>
    <row r="97" spans="1:4" x14ac:dyDescent="0.2">
      <c r="A97" s="1" t="s">
        <v>96</v>
      </c>
      <c r="B97" s="3">
        <f>VLOOKUP(A97,[3]TeamRtg!$A$3:$G$367,7,FALSE)</f>
        <v>0.56445281638974321</v>
      </c>
      <c r="C97" s="1">
        <f t="shared" si="1"/>
        <v>97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0.54180577683735809</v>
      </c>
      <c r="C98" s="1">
        <f t="shared" si="1"/>
        <v>99</v>
      </c>
      <c r="D98" s="1">
        <v>98</v>
      </c>
    </row>
    <row r="99" spans="1:4" x14ac:dyDescent="0.2">
      <c r="A99" s="1" t="s">
        <v>98</v>
      </c>
      <c r="B99" s="3">
        <f>VLOOKUP(A99,[3]TeamRtg!$A$3:$G$367,7,FALSE)</f>
        <v>0.50626190025899143</v>
      </c>
      <c r="C99" s="1">
        <f t="shared" si="1"/>
        <v>107</v>
      </c>
      <c r="D99" s="1">
        <v>105</v>
      </c>
    </row>
    <row r="100" spans="1:4" x14ac:dyDescent="0.2">
      <c r="A100" s="1" t="s">
        <v>99</v>
      </c>
      <c r="B100" s="3">
        <f>VLOOKUP(A100,[3]TeamRtg!$A$3:$G$367,7,FALSE)</f>
        <v>0.53126980142787505</v>
      </c>
      <c r="C100" s="1">
        <f t="shared" si="1"/>
        <v>102</v>
      </c>
      <c r="D100" s="1">
        <v>94</v>
      </c>
    </row>
    <row r="101" spans="1:4" x14ac:dyDescent="0.2">
      <c r="A101" s="1" t="s">
        <v>100</v>
      </c>
      <c r="B101" s="3">
        <f>VLOOKUP(A101,[3]TeamRtg!$A$3:$G$367,7,FALSE)</f>
        <v>0.57079341533301753</v>
      </c>
      <c r="C101" s="1">
        <f t="shared" si="1"/>
        <v>95</v>
      </c>
      <c r="D101" s="1">
        <v>99</v>
      </c>
    </row>
    <row r="102" spans="1:4" x14ac:dyDescent="0.2">
      <c r="A102" s="1" t="s">
        <v>101</v>
      </c>
      <c r="B102" s="3">
        <f>VLOOKUP(A102,[3]TeamRtg!$A$3:$G$367,7,FALSE)</f>
        <v>0.56868601627495829</v>
      </c>
      <c r="C102" s="1">
        <f t="shared" si="1"/>
        <v>96</v>
      </c>
      <c r="D102" s="1">
        <v>97</v>
      </c>
    </row>
    <row r="103" spans="1:4" x14ac:dyDescent="0.2">
      <c r="A103" s="1" t="s">
        <v>102</v>
      </c>
      <c r="B103" s="3">
        <f>VLOOKUP(A103,[3]TeamRtg!$A$3:$G$367,7,FALSE)</f>
        <v>0.52634441261855802</v>
      </c>
      <c r="C103" s="1">
        <f t="shared" si="1"/>
        <v>103</v>
      </c>
      <c r="D103" s="1">
        <v>100</v>
      </c>
    </row>
    <row r="104" spans="1:4" x14ac:dyDescent="0.2">
      <c r="A104" s="1" t="s">
        <v>103</v>
      </c>
      <c r="B104" s="3">
        <f>VLOOKUP(A104,[3]TeamRtg!$A$3:$G$367,7,FALSE)</f>
        <v>0.53533832444252472</v>
      </c>
      <c r="C104" s="1">
        <f t="shared" si="1"/>
        <v>101</v>
      </c>
      <c r="D104" s="1">
        <v>104</v>
      </c>
    </row>
    <row r="105" spans="1:4" x14ac:dyDescent="0.2">
      <c r="A105" s="1" t="s">
        <v>104</v>
      </c>
      <c r="B105" s="3">
        <f>VLOOKUP(A105,[3]TeamRtg!$A$3:$G$367,7,FALSE)</f>
        <v>0.49065338021690152</v>
      </c>
      <c r="C105" s="1">
        <f t="shared" si="1"/>
        <v>110</v>
      </c>
      <c r="D105" s="1">
        <v>108</v>
      </c>
    </row>
    <row r="106" spans="1:4" x14ac:dyDescent="0.2">
      <c r="A106" s="1" t="s">
        <v>105</v>
      </c>
      <c r="B106" s="3">
        <f>VLOOKUP(A106,[3]TeamRtg!$A$3:$G$367,7,FALSE)</f>
        <v>0.53828750834892591</v>
      </c>
      <c r="C106" s="1">
        <f t="shared" si="1"/>
        <v>100</v>
      </c>
      <c r="D106" s="1">
        <v>103</v>
      </c>
    </row>
    <row r="107" spans="1:4" x14ac:dyDescent="0.2">
      <c r="A107" s="1" t="s">
        <v>106</v>
      </c>
      <c r="B107" s="3">
        <f>VLOOKUP(A107,[3]TeamRtg!$A$3:$G$367,7,FALSE)</f>
        <v>0.55230527993356471</v>
      </c>
      <c r="C107" s="1">
        <f t="shared" si="1"/>
        <v>98</v>
      </c>
      <c r="D107" s="1">
        <v>102</v>
      </c>
    </row>
    <row r="108" spans="1:4" x14ac:dyDescent="0.2">
      <c r="A108" s="1" t="s">
        <v>107</v>
      </c>
      <c r="B108" s="3">
        <f>VLOOKUP(A108,[3]TeamRtg!$A$3:$G$367,7,FALSE)</f>
        <v>0.4529141603477394</v>
      </c>
      <c r="C108" s="1">
        <f t="shared" si="1"/>
        <v>118</v>
      </c>
      <c r="D108" s="1">
        <v>113</v>
      </c>
    </row>
    <row r="109" spans="1:4" x14ac:dyDescent="0.2">
      <c r="A109" s="1" t="s">
        <v>108</v>
      </c>
      <c r="B109" s="3">
        <f>VLOOKUP(A109,[3]TeamRtg!$A$3:$G$367,7,FALSE)</f>
        <v>0.40694785604434924</v>
      </c>
      <c r="C109" s="1">
        <f t="shared" si="1"/>
        <v>125</v>
      </c>
      <c r="D109" s="1">
        <v>116</v>
      </c>
    </row>
    <row r="110" spans="1:4" x14ac:dyDescent="0.2">
      <c r="A110" s="1" t="s">
        <v>109</v>
      </c>
      <c r="B110" s="3">
        <f>VLOOKUP(A110,[3]TeamRtg!$A$3:$G$367,7,FALSE)</f>
        <v>0.46943153251006403</v>
      </c>
      <c r="C110" s="1">
        <f t="shared" si="1"/>
        <v>116</v>
      </c>
      <c r="D110" s="1">
        <v>107</v>
      </c>
    </row>
    <row r="111" spans="1:4" x14ac:dyDescent="0.2">
      <c r="A111" s="1" t="s">
        <v>110</v>
      </c>
      <c r="B111" s="3">
        <f>VLOOKUP(A111,[3]TeamRtg!$A$3:$G$367,7,FALSE)</f>
        <v>0.44859935242355203</v>
      </c>
      <c r="C111" s="1">
        <f t="shared" si="1"/>
        <v>120</v>
      </c>
      <c r="D111" s="1">
        <v>120</v>
      </c>
    </row>
    <row r="112" spans="1:4" x14ac:dyDescent="0.2">
      <c r="A112" s="1" t="s">
        <v>111</v>
      </c>
      <c r="B112" s="3">
        <f>VLOOKUP(A112,[3]TeamRtg!$A$3:$G$367,7,FALSE)</f>
        <v>0.49089681326000612</v>
      </c>
      <c r="C112" s="1">
        <f t="shared" si="1"/>
        <v>109</v>
      </c>
      <c r="D112" s="1">
        <v>109</v>
      </c>
    </row>
    <row r="113" spans="1:4" x14ac:dyDescent="0.2">
      <c r="A113" s="1" t="s">
        <v>112</v>
      </c>
      <c r="B113" s="3">
        <f>VLOOKUP(A113,[3]TeamRtg!$A$3:$G$367,7,FALSE)</f>
        <v>0.48265500533623013</v>
      </c>
      <c r="C113" s="1">
        <f t="shared" si="1"/>
        <v>113</v>
      </c>
      <c r="D113" s="1">
        <v>117</v>
      </c>
    </row>
    <row r="114" spans="1:4" x14ac:dyDescent="0.2">
      <c r="A114" s="1" t="s">
        <v>113</v>
      </c>
      <c r="B114" s="3">
        <f>VLOOKUP(A114,[3]TeamRtg!$A$3:$G$367,7,FALSE)</f>
        <v>0.48198626532197303</v>
      </c>
      <c r="C114" s="1">
        <f t="shared" si="1"/>
        <v>114</v>
      </c>
      <c r="D114" s="1">
        <v>112</v>
      </c>
    </row>
    <row r="115" spans="1:4" x14ac:dyDescent="0.2">
      <c r="A115" s="1" t="s">
        <v>114</v>
      </c>
      <c r="B115" s="3">
        <f>VLOOKUP(A115,[3]TeamRtg!$A$3:$G$367,7,FALSE)</f>
        <v>0.46295289499995351</v>
      </c>
      <c r="C115" s="1">
        <f t="shared" si="1"/>
        <v>117</v>
      </c>
      <c r="D115" s="1">
        <v>111</v>
      </c>
    </row>
    <row r="116" spans="1:4" x14ac:dyDescent="0.2">
      <c r="A116" s="1" t="s">
        <v>115</v>
      </c>
      <c r="B116" s="3">
        <f>VLOOKUP(A116,[3]TeamRtg!$A$3:$G$367,7,FALSE)</f>
        <v>0.51719732592928536</v>
      </c>
      <c r="C116" s="1">
        <f t="shared" si="1"/>
        <v>105</v>
      </c>
      <c r="D116" s="1">
        <v>101</v>
      </c>
    </row>
    <row r="117" spans="1:4" x14ac:dyDescent="0.2">
      <c r="A117" s="1" t="s">
        <v>116</v>
      </c>
      <c r="B117" s="3">
        <f>VLOOKUP(A117,[3]TeamRtg!$A$3:$G$367,7,FALSE)</f>
        <v>0.47970174828222711</v>
      </c>
      <c r="C117" s="1">
        <f t="shared" si="1"/>
        <v>115</v>
      </c>
      <c r="D117" s="1">
        <v>115</v>
      </c>
    </row>
    <row r="118" spans="1:4" x14ac:dyDescent="0.2">
      <c r="A118" s="1" t="s">
        <v>117</v>
      </c>
      <c r="B118" s="3">
        <f>VLOOKUP(A118,[3]TeamRtg!$A$3:$G$367,7,FALSE)</f>
        <v>0.52609115371575177</v>
      </c>
      <c r="C118" s="1">
        <f t="shared" si="1"/>
        <v>104</v>
      </c>
      <c r="D118" s="1">
        <v>118</v>
      </c>
    </row>
    <row r="119" spans="1:4" x14ac:dyDescent="0.2">
      <c r="A119" s="1" t="s">
        <v>118</v>
      </c>
      <c r="B119" s="3">
        <f>VLOOKUP(A119,[3]TeamRtg!$A$3:$G$367,7,FALSE)</f>
        <v>0.43935032086783271</v>
      </c>
      <c r="C119" s="1">
        <f t="shared" si="1"/>
        <v>122</v>
      </c>
      <c r="D119" s="1">
        <v>119</v>
      </c>
    </row>
    <row r="120" spans="1:4" x14ac:dyDescent="0.2">
      <c r="A120" s="1" t="s">
        <v>119</v>
      </c>
      <c r="B120" s="3">
        <f>VLOOKUP(A120,[3]TeamRtg!$A$3:$G$367,7,FALSE)</f>
        <v>0.36664718639439264</v>
      </c>
      <c r="C120" s="1">
        <f t="shared" si="1"/>
        <v>131</v>
      </c>
      <c r="D120" s="1">
        <v>125</v>
      </c>
    </row>
    <row r="121" spans="1:4" x14ac:dyDescent="0.2">
      <c r="A121" s="1" t="s">
        <v>120</v>
      </c>
      <c r="B121" s="3">
        <f>VLOOKUP(A121,[3]TeamRtg!$A$3:$G$367,7,FALSE)</f>
        <v>0.37610014588371365</v>
      </c>
      <c r="C121" s="1">
        <f t="shared" si="1"/>
        <v>129</v>
      </c>
      <c r="D121" s="1">
        <v>124</v>
      </c>
    </row>
    <row r="122" spans="1:4" x14ac:dyDescent="0.2">
      <c r="A122" s="1" t="s">
        <v>121</v>
      </c>
      <c r="B122" s="3">
        <f>VLOOKUP(A122,[3]TeamRtg!$A$3:$G$367,7,FALSE)</f>
        <v>0.43197783725393485</v>
      </c>
      <c r="C122" s="1">
        <f t="shared" si="1"/>
        <v>123</v>
      </c>
      <c r="D122" s="1">
        <v>123</v>
      </c>
    </row>
    <row r="123" spans="1:4" x14ac:dyDescent="0.2">
      <c r="A123" s="1" t="s">
        <v>122</v>
      </c>
      <c r="B123" s="3">
        <f>VLOOKUP(A123,[3]TeamRtg!$A$3:$G$367,7,FALSE)</f>
        <v>0.38154914856129396</v>
      </c>
      <c r="C123" s="1">
        <f t="shared" si="1"/>
        <v>128</v>
      </c>
      <c r="D123" s="1">
        <v>126</v>
      </c>
    </row>
    <row r="124" spans="1:4" x14ac:dyDescent="0.2">
      <c r="A124" s="1" t="s">
        <v>123</v>
      </c>
      <c r="B124" s="3">
        <f>VLOOKUP(A124,[3]TeamRtg!$A$3:$G$367,7,FALSE)</f>
        <v>0.48617637249629647</v>
      </c>
      <c r="C124" s="1">
        <f t="shared" si="1"/>
        <v>112</v>
      </c>
      <c r="D124" s="1">
        <v>122</v>
      </c>
    </row>
    <row r="125" spans="1:4" x14ac:dyDescent="0.2">
      <c r="A125" s="1" t="s">
        <v>124</v>
      </c>
      <c r="B125" s="3">
        <f>VLOOKUP(A125,[3]TeamRtg!$A$3:$G$367,7,FALSE)</f>
        <v>0.48942434053070777</v>
      </c>
      <c r="C125" s="1">
        <f t="shared" si="1"/>
        <v>111</v>
      </c>
      <c r="D125" s="1">
        <v>110</v>
      </c>
    </row>
    <row r="126" spans="1:4" x14ac:dyDescent="0.2">
      <c r="A126" s="1" t="s">
        <v>125</v>
      </c>
      <c r="B126" s="3">
        <f>VLOOKUP(A126,[3]TeamRtg!$A$3:$G$367,7,FALSE)</f>
        <v>0.50425981875781944</v>
      </c>
      <c r="C126" s="1">
        <f t="shared" si="1"/>
        <v>108</v>
      </c>
      <c r="D126" s="1">
        <v>114</v>
      </c>
    </row>
    <row r="127" spans="1:4" x14ac:dyDescent="0.2">
      <c r="A127" s="1" t="s">
        <v>126</v>
      </c>
      <c r="B127" s="3">
        <f>VLOOKUP(A127,[3]TeamRtg!$A$3:$G$367,7,FALSE)</f>
        <v>0.45153011804969945</v>
      </c>
      <c r="C127" s="1">
        <f t="shared" si="1"/>
        <v>119</v>
      </c>
      <c r="D127" s="1">
        <v>128</v>
      </c>
    </row>
    <row r="128" spans="1:4" x14ac:dyDescent="0.2">
      <c r="A128" s="1" t="s">
        <v>127</v>
      </c>
      <c r="B128" s="3">
        <f>VLOOKUP(A128,[3]TeamRtg!$A$3:$G$367,7,FALSE)</f>
        <v>0.29120551811351308</v>
      </c>
      <c r="C128" s="1">
        <f t="shared" si="1"/>
        <v>142</v>
      </c>
      <c r="D128" s="1">
        <v>134</v>
      </c>
    </row>
    <row r="129" spans="1:4" x14ac:dyDescent="0.2">
      <c r="A129" s="1" t="s">
        <v>128</v>
      </c>
      <c r="B129" s="3">
        <f>VLOOKUP(A129,[3]TeamRtg!$A$3:$G$367,7,FALSE)</f>
        <v>0.38424007333727062</v>
      </c>
      <c r="C129" s="1">
        <f t="shared" si="1"/>
        <v>127</v>
      </c>
      <c r="D129" s="1">
        <v>129</v>
      </c>
    </row>
    <row r="130" spans="1:4" x14ac:dyDescent="0.2">
      <c r="A130" s="1" t="s">
        <v>129</v>
      </c>
      <c r="B130" s="3">
        <f>VLOOKUP(A130,[3]TeamRtg!$A$3:$G$367,7,FALSE)</f>
        <v>0.25293111545269453</v>
      </c>
      <c r="C130" s="1">
        <f t="shared" si="1"/>
        <v>145</v>
      </c>
      <c r="D130" s="1">
        <v>133</v>
      </c>
    </row>
    <row r="131" spans="1:4" x14ac:dyDescent="0.2">
      <c r="A131" s="1" t="s">
        <v>130</v>
      </c>
      <c r="B131" s="3">
        <f>VLOOKUP(A131,[3]TeamRtg!$A$3:$G$367,7,FALSE)</f>
        <v>0.37105364493232823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0.2419193506861386</v>
      </c>
      <c r="C132" s="1">
        <f t="shared" si="2"/>
        <v>148</v>
      </c>
      <c r="D132" s="1">
        <v>146</v>
      </c>
    </row>
    <row r="133" spans="1:4" x14ac:dyDescent="0.2">
      <c r="A133" s="1" t="s">
        <v>132</v>
      </c>
      <c r="B133" s="3">
        <f>VLOOKUP(A133,[3]TeamRtg!$A$3:$G$367,7,FALSE)</f>
        <v>0.40546139098743139</v>
      </c>
      <c r="C133" s="1">
        <f t="shared" si="2"/>
        <v>126</v>
      </c>
      <c r="D133" s="1">
        <v>127</v>
      </c>
    </row>
    <row r="134" spans="1:4" x14ac:dyDescent="0.2">
      <c r="A134" s="1" t="s">
        <v>133</v>
      </c>
      <c r="B134" s="3">
        <f>VLOOKUP(A134,[3]TeamRtg!$A$3:$G$367,7,FALSE)</f>
        <v>0.29970626859125021</v>
      </c>
      <c r="C134" s="1">
        <f t="shared" si="2"/>
        <v>141</v>
      </c>
      <c r="D134" s="1">
        <v>135</v>
      </c>
    </row>
    <row r="135" spans="1:4" x14ac:dyDescent="0.2">
      <c r="A135" s="1" t="s">
        <v>134</v>
      </c>
      <c r="B135" s="3">
        <f>VLOOKUP(A135,[3]TeamRtg!$A$3:$G$367,7,FALSE)</f>
        <v>0.27139441481342952</v>
      </c>
      <c r="C135" s="1">
        <f t="shared" si="2"/>
        <v>144</v>
      </c>
      <c r="D135" s="1">
        <v>137</v>
      </c>
    </row>
    <row r="136" spans="1:4" x14ac:dyDescent="0.2">
      <c r="A136" s="1" t="s">
        <v>135</v>
      </c>
      <c r="B136" s="3">
        <f>VLOOKUP(A136,[3]TeamRtg!$A$3:$G$367,7,FALSE)</f>
        <v>0.31396897582297312</v>
      </c>
      <c r="C136" s="1">
        <f t="shared" si="2"/>
        <v>139</v>
      </c>
      <c r="D136" s="1">
        <v>138</v>
      </c>
    </row>
    <row r="137" spans="1:4" x14ac:dyDescent="0.2">
      <c r="A137" s="1" t="s">
        <v>136</v>
      </c>
      <c r="B137" s="3">
        <f>VLOOKUP(A137,[3]TeamRtg!$A$3:$G$367,7,FALSE)</f>
        <v>0.33129528281111209</v>
      </c>
      <c r="C137" s="1">
        <f t="shared" si="2"/>
        <v>133</v>
      </c>
      <c r="D137" s="1">
        <v>143</v>
      </c>
    </row>
    <row r="138" spans="1:4" x14ac:dyDescent="0.2">
      <c r="A138" s="1" t="s">
        <v>137</v>
      </c>
      <c r="B138" s="3">
        <f>VLOOKUP(A138,[3]TeamRtg!$A$3:$G$367,7,FALSE)</f>
        <v>0.41038060530622356</v>
      </c>
      <c r="C138" s="1">
        <f t="shared" si="2"/>
        <v>124</v>
      </c>
      <c r="D138" s="1">
        <v>131</v>
      </c>
    </row>
    <row r="139" spans="1:4" x14ac:dyDescent="0.2">
      <c r="A139" s="1" t="s">
        <v>138</v>
      </c>
      <c r="B139" s="3">
        <f>VLOOKUP(A139,[3]TeamRtg!$A$3:$G$367,7,FALSE)</f>
        <v>0.31709067448919698</v>
      </c>
      <c r="C139" s="1">
        <f t="shared" si="2"/>
        <v>138</v>
      </c>
      <c r="D139" s="1">
        <v>136</v>
      </c>
    </row>
    <row r="140" spans="1:4" x14ac:dyDescent="0.2">
      <c r="A140" s="1" t="s">
        <v>139</v>
      </c>
      <c r="B140" s="3">
        <f>VLOOKUP(A140,[3]TeamRtg!$A$3:$G$367,7,FALSE)</f>
        <v>0.32382317121734178</v>
      </c>
      <c r="C140" s="1">
        <f t="shared" si="2"/>
        <v>135</v>
      </c>
      <c r="D140" s="1">
        <v>141</v>
      </c>
    </row>
    <row r="141" spans="1:4" x14ac:dyDescent="0.2">
      <c r="A141" s="1" t="s">
        <v>140</v>
      </c>
      <c r="B141" s="3">
        <f>VLOOKUP(A141,[3]TeamRtg!$A$3:$G$367,7,FALSE)</f>
        <v>0.23642245351378369</v>
      </c>
      <c r="C141" s="1">
        <f t="shared" si="2"/>
        <v>149</v>
      </c>
      <c r="D141" s="1">
        <v>150</v>
      </c>
    </row>
    <row r="142" spans="1:4" x14ac:dyDescent="0.2">
      <c r="A142" s="1" t="s">
        <v>141</v>
      </c>
      <c r="B142" s="3">
        <f>VLOOKUP(A142,[3]TeamRtg!$A$3:$G$367,7,FALSE)</f>
        <v>0.3382752486351055</v>
      </c>
      <c r="C142" s="1">
        <f t="shared" si="2"/>
        <v>132</v>
      </c>
      <c r="D142" s="1">
        <v>144</v>
      </c>
    </row>
    <row r="143" spans="1:4" x14ac:dyDescent="0.2">
      <c r="A143" s="1" t="s">
        <v>142</v>
      </c>
      <c r="B143" s="3">
        <f>VLOOKUP(A143,[3]TeamRtg!$A$3:$G$367,7,FALSE)</f>
        <v>0.3298706760362603</v>
      </c>
      <c r="C143" s="1">
        <f t="shared" si="2"/>
        <v>134</v>
      </c>
      <c r="D143" s="1">
        <v>132</v>
      </c>
    </row>
    <row r="144" spans="1:4" x14ac:dyDescent="0.2">
      <c r="A144" s="1" t="s">
        <v>143</v>
      </c>
      <c r="B144" s="3">
        <f>VLOOKUP(A144,[3]TeamRtg!$A$3:$G$367,7,FALSE)</f>
        <v>0.43996959520184292</v>
      </c>
      <c r="C144" s="1">
        <f t="shared" si="2"/>
        <v>121</v>
      </c>
      <c r="D144" s="1">
        <v>121</v>
      </c>
    </row>
    <row r="145" spans="1:4" x14ac:dyDescent="0.2">
      <c r="A145" s="1" t="s">
        <v>144</v>
      </c>
      <c r="B145" s="3">
        <f>VLOOKUP(A145,[3]TeamRtg!$A$3:$G$367,7,FALSE)</f>
        <v>0.30270906340303633</v>
      </c>
      <c r="C145" s="1">
        <f t="shared" si="2"/>
        <v>140</v>
      </c>
      <c r="D145" s="1">
        <v>140</v>
      </c>
    </row>
    <row r="146" spans="1:4" x14ac:dyDescent="0.2">
      <c r="A146" s="1" t="s">
        <v>145</v>
      </c>
      <c r="B146" s="3">
        <f>VLOOKUP(A146,[3]TeamRtg!$A$3:$G$367,7,FALSE)</f>
        <v>0.14057028310587072</v>
      </c>
      <c r="C146" s="1">
        <f t="shared" si="2"/>
        <v>163</v>
      </c>
      <c r="D146" s="1">
        <v>160</v>
      </c>
    </row>
    <row r="147" spans="1:4" x14ac:dyDescent="0.2">
      <c r="A147" s="1" t="s">
        <v>146</v>
      </c>
      <c r="B147" s="3">
        <f>VLOOKUP(A147,[3]TeamRtg!$A$3:$G$367,7,FALSE)</f>
        <v>0.27200487803286999</v>
      </c>
      <c r="C147" s="1">
        <f t="shared" si="2"/>
        <v>143</v>
      </c>
      <c r="D147" s="1">
        <v>145</v>
      </c>
    </row>
    <row r="148" spans="1:4" x14ac:dyDescent="0.2">
      <c r="A148" s="1" t="s">
        <v>147</v>
      </c>
      <c r="B148" s="3">
        <f>VLOOKUP(A148,[3]TeamRtg!$A$3:$G$367,7,FALSE)</f>
        <v>0.24321029257216253</v>
      </c>
      <c r="C148" s="1">
        <f t="shared" si="2"/>
        <v>147</v>
      </c>
      <c r="D148" s="1">
        <v>149</v>
      </c>
    </row>
    <row r="149" spans="1:4" x14ac:dyDescent="0.2">
      <c r="A149" s="1" t="s">
        <v>148</v>
      </c>
      <c r="B149" s="3">
        <f>VLOOKUP(A149,[3]TeamRtg!$A$3:$G$367,7,FALSE)</f>
        <v>0.22159427595714928</v>
      </c>
      <c r="C149" s="1">
        <f t="shared" si="2"/>
        <v>152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0.22526411899587312</v>
      </c>
      <c r="C150" s="1">
        <f t="shared" si="2"/>
        <v>151</v>
      </c>
      <c r="D150" s="1">
        <v>147</v>
      </c>
    </row>
    <row r="151" spans="1:4" x14ac:dyDescent="0.2">
      <c r="A151" s="1" t="s">
        <v>150</v>
      </c>
      <c r="B151" s="3">
        <f>VLOOKUP(A151,[3]TeamRtg!$A$3:$G$367,7,FALSE)</f>
        <v>0.16988979621936581</v>
      </c>
      <c r="C151" s="1">
        <f t="shared" si="2"/>
        <v>159</v>
      </c>
      <c r="D151" s="1">
        <v>152</v>
      </c>
    </row>
    <row r="152" spans="1:4" x14ac:dyDescent="0.2">
      <c r="A152" s="1" t="s">
        <v>151</v>
      </c>
      <c r="B152" s="3">
        <f>VLOOKUP(A152,[3]TeamRtg!$A$3:$G$367,7,FALSE)</f>
        <v>0.1858282712290234</v>
      </c>
      <c r="C152" s="1">
        <f t="shared" si="2"/>
        <v>153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0.32268235175379639</v>
      </c>
      <c r="C153" s="1">
        <f t="shared" si="2"/>
        <v>136</v>
      </c>
      <c r="D153" s="1">
        <v>139</v>
      </c>
    </row>
    <row r="154" spans="1:4" x14ac:dyDescent="0.2">
      <c r="A154" s="1" t="s">
        <v>153</v>
      </c>
      <c r="B154" s="3">
        <f>VLOOKUP(A154,[3]TeamRtg!$A$3:$G$367,7,FALSE)</f>
        <v>0.32044654665317457</v>
      </c>
      <c r="C154" s="1">
        <f t="shared" si="2"/>
        <v>137</v>
      </c>
      <c r="D154" s="1">
        <v>142</v>
      </c>
    </row>
    <row r="155" spans="1:4" x14ac:dyDescent="0.2">
      <c r="A155" s="1" t="s">
        <v>154</v>
      </c>
      <c r="B155" s="3">
        <f>VLOOKUP(A155,[3]TeamRtg!$A$3:$G$367,7,FALSE)</f>
        <v>0.18081084214434534</v>
      </c>
      <c r="C155" s="1">
        <f t="shared" si="2"/>
        <v>155</v>
      </c>
      <c r="D155" s="1">
        <v>162</v>
      </c>
    </row>
    <row r="156" spans="1:4" x14ac:dyDescent="0.2">
      <c r="A156" s="1" t="s">
        <v>155</v>
      </c>
      <c r="B156" s="3">
        <f>VLOOKUP(A156,[3]TeamRtg!$A$3:$G$367,7,FALSE)</f>
        <v>0.15649546901036457</v>
      </c>
      <c r="C156" s="1">
        <f t="shared" si="2"/>
        <v>160</v>
      </c>
      <c r="D156" s="1">
        <v>153</v>
      </c>
    </row>
    <row r="157" spans="1:4" x14ac:dyDescent="0.2">
      <c r="A157" s="1" t="s">
        <v>156</v>
      </c>
      <c r="B157" s="3">
        <f>VLOOKUP(A157,[3]TeamRtg!$A$3:$G$367,7,FALSE)</f>
        <v>0.12468687898564433</v>
      </c>
      <c r="C157" s="1">
        <f t="shared" si="2"/>
        <v>165</v>
      </c>
      <c r="D157" s="1">
        <v>159</v>
      </c>
    </row>
    <row r="158" spans="1:4" x14ac:dyDescent="0.2">
      <c r="A158" s="1" t="s">
        <v>157</v>
      </c>
      <c r="B158" s="3">
        <f>VLOOKUP(A158,[3]TeamRtg!$A$3:$G$367,7,FALSE)</f>
        <v>0.14554186623824628</v>
      </c>
      <c r="C158" s="1">
        <f t="shared" si="2"/>
        <v>161</v>
      </c>
      <c r="D158" s="1">
        <v>156</v>
      </c>
    </row>
    <row r="159" spans="1:4" x14ac:dyDescent="0.2">
      <c r="A159" s="1" t="s">
        <v>158</v>
      </c>
      <c r="B159" s="3">
        <f>VLOOKUP(A159,[3]TeamRtg!$A$3:$G$367,7,FALSE)</f>
        <v>0.1753197709969761</v>
      </c>
      <c r="C159" s="1">
        <f t="shared" si="2"/>
        <v>156</v>
      </c>
      <c r="D159" s="1">
        <v>154</v>
      </c>
    </row>
    <row r="160" spans="1:4" x14ac:dyDescent="0.2">
      <c r="A160" s="1" t="s">
        <v>159</v>
      </c>
      <c r="B160" s="3">
        <f>VLOOKUP(A160,[3]TeamRtg!$A$3:$G$367,7,FALSE)</f>
        <v>0.18364761929382359</v>
      </c>
      <c r="C160" s="1">
        <f t="shared" si="2"/>
        <v>154</v>
      </c>
      <c r="D160" s="1">
        <v>161</v>
      </c>
    </row>
    <row r="161" spans="1:4" x14ac:dyDescent="0.2">
      <c r="A161" s="1" t="s">
        <v>160</v>
      </c>
      <c r="B161" s="3">
        <f>VLOOKUP(A161,[3]TeamRtg!$A$3:$G$367,7,FALSE)</f>
        <v>0.23281245602902184</v>
      </c>
      <c r="C161" s="1">
        <f t="shared" si="2"/>
        <v>150</v>
      </c>
      <c r="D161" s="1">
        <v>155</v>
      </c>
    </row>
    <row r="162" spans="1:4" x14ac:dyDescent="0.2">
      <c r="A162" s="1" t="s">
        <v>161</v>
      </c>
      <c r="B162" s="3">
        <f>VLOOKUP(A162,[3]TeamRtg!$A$3:$G$367,7,FALSE)</f>
        <v>0.14107697691594231</v>
      </c>
      <c r="C162" s="1">
        <f t="shared" si="2"/>
        <v>162</v>
      </c>
      <c r="D162" s="1">
        <v>158</v>
      </c>
    </row>
    <row r="163" spans="1:4" x14ac:dyDescent="0.2">
      <c r="A163" s="1" t="s">
        <v>162</v>
      </c>
      <c r="B163" s="3">
        <f>VLOOKUP(A163,[3]TeamRtg!$A$3:$G$367,7,FALSE)</f>
        <v>2.9833613008207527E-2</v>
      </c>
      <c r="C163" s="1">
        <f t="shared" si="2"/>
        <v>179</v>
      </c>
      <c r="D163" s="1">
        <v>170</v>
      </c>
    </row>
    <row r="164" spans="1:4" x14ac:dyDescent="0.2">
      <c r="A164" s="1" t="s">
        <v>163</v>
      </c>
      <c r="B164" s="3">
        <f>VLOOKUP(A164,[3]TeamRtg!$A$3:$G$367,7,FALSE)</f>
        <v>5.990770432918141E-2</v>
      </c>
      <c r="C164" s="1">
        <f t="shared" si="2"/>
        <v>174</v>
      </c>
      <c r="D164" s="1">
        <v>168</v>
      </c>
    </row>
    <row r="165" spans="1:4" x14ac:dyDescent="0.2">
      <c r="A165" s="1" t="s">
        <v>164</v>
      </c>
      <c r="B165" s="3">
        <f>VLOOKUP(A165,[3]TeamRtg!$A$3:$G$367,7,FALSE)</f>
        <v>0.17121017614130188</v>
      </c>
      <c r="C165" s="1">
        <f t="shared" si="2"/>
        <v>158</v>
      </c>
      <c r="D165" s="1">
        <v>165</v>
      </c>
    </row>
    <row r="166" spans="1:4" x14ac:dyDescent="0.2">
      <c r="A166" s="1" t="s">
        <v>165</v>
      </c>
      <c r="B166" s="3">
        <f>VLOOKUP(A166,[3]TeamRtg!$A$3:$G$367,7,FALSE)</f>
        <v>9.8296488726957967E-2</v>
      </c>
      <c r="C166" s="1">
        <f t="shared" si="2"/>
        <v>167</v>
      </c>
      <c r="D166" s="1">
        <v>163</v>
      </c>
    </row>
    <row r="167" spans="1:4" x14ac:dyDescent="0.2">
      <c r="A167" s="1" t="s">
        <v>166</v>
      </c>
      <c r="B167" s="3">
        <f>VLOOKUP(A167,[3]TeamRtg!$A$3:$G$367,7,FALSE)</f>
        <v>0.17381517979660241</v>
      </c>
      <c r="C167" s="1">
        <f t="shared" si="2"/>
        <v>157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0.24426621829907844</v>
      </c>
      <c r="C168" s="1">
        <f t="shared" si="2"/>
        <v>146</v>
      </c>
      <c r="D168" s="1">
        <v>157</v>
      </c>
    </row>
    <row r="169" spans="1:4" x14ac:dyDescent="0.2">
      <c r="A169" s="1" t="s">
        <v>168</v>
      </c>
      <c r="B169" s="3">
        <f>VLOOKUP(A169,[3]TeamRtg!$A$3:$G$367,7,FALSE)</f>
        <v>7.667545349854725E-2</v>
      </c>
      <c r="C169" s="1">
        <f t="shared" si="2"/>
        <v>171</v>
      </c>
      <c r="D169" s="1">
        <v>169</v>
      </c>
    </row>
    <row r="170" spans="1:4" x14ac:dyDescent="0.2">
      <c r="A170" s="1" t="s">
        <v>169</v>
      </c>
      <c r="B170" s="3">
        <f>VLOOKUP(A170,[3]TeamRtg!$A$3:$G$367,7,FALSE)</f>
        <v>8.1481063163550346E-2</v>
      </c>
      <c r="C170" s="1">
        <f t="shared" si="2"/>
        <v>169</v>
      </c>
      <c r="D170" s="1">
        <v>164</v>
      </c>
    </row>
    <row r="171" spans="1:4" x14ac:dyDescent="0.2">
      <c r="A171" s="1" t="s">
        <v>170</v>
      </c>
      <c r="B171" s="3">
        <f>VLOOKUP(A171,[3]TeamRtg!$A$3:$G$367,7,FALSE)</f>
        <v>7.900638762658943E-2</v>
      </c>
      <c r="C171" s="1">
        <f t="shared" si="2"/>
        <v>170</v>
      </c>
      <c r="D171" s="1">
        <v>173</v>
      </c>
    </row>
    <row r="172" spans="1:4" x14ac:dyDescent="0.2">
      <c r="A172" s="1" t="s">
        <v>171</v>
      </c>
      <c r="B172" s="3">
        <f>VLOOKUP(A172,[3]TeamRtg!$A$3:$G$367,7,FALSE)</f>
        <v>0.11940024353176498</v>
      </c>
      <c r="C172" s="1">
        <f t="shared" si="2"/>
        <v>166</v>
      </c>
      <c r="D172" s="1">
        <v>167</v>
      </c>
    </row>
    <row r="173" spans="1:4" x14ac:dyDescent="0.2">
      <c r="A173" s="1" t="s">
        <v>172</v>
      </c>
      <c r="B173" s="3">
        <f>VLOOKUP(A173,[3]TeamRtg!$A$3:$G$367,7,FALSE)</f>
        <v>-6.5049439993333531E-4</v>
      </c>
      <c r="C173" s="1">
        <f t="shared" si="2"/>
        <v>185</v>
      </c>
      <c r="D173" s="1">
        <v>177</v>
      </c>
    </row>
    <row r="174" spans="1:4" x14ac:dyDescent="0.2">
      <c r="A174" s="1" t="s">
        <v>173</v>
      </c>
      <c r="B174" s="3">
        <f>VLOOKUP(A174,[3]TeamRtg!$A$3:$G$367,7,FALSE)</f>
        <v>6.3086279155328592E-2</v>
      </c>
      <c r="C174" s="1">
        <f t="shared" si="2"/>
        <v>173</v>
      </c>
      <c r="D174" s="1">
        <v>171</v>
      </c>
    </row>
    <row r="175" spans="1:4" x14ac:dyDescent="0.2">
      <c r="A175" s="1" t="s">
        <v>174</v>
      </c>
      <c r="B175" s="3">
        <f>VLOOKUP(A175,[3]TeamRtg!$A$3:$G$367,7,FALSE)</f>
        <v>-5.840740517153406E-2</v>
      </c>
      <c r="C175" s="1">
        <f t="shared" si="2"/>
        <v>193</v>
      </c>
      <c r="D175" s="1">
        <v>193</v>
      </c>
    </row>
    <row r="176" spans="1:4" x14ac:dyDescent="0.2">
      <c r="A176" s="1" t="s">
        <v>175</v>
      </c>
      <c r="B176" s="3">
        <f>VLOOKUP(A176,[3]TeamRtg!$A$3:$G$367,7,FALSE)</f>
        <v>5.4586796710618564E-2</v>
      </c>
      <c r="C176" s="1">
        <f t="shared" si="2"/>
        <v>175</v>
      </c>
      <c r="D176" s="1">
        <v>172</v>
      </c>
    </row>
    <row r="177" spans="1:4" x14ac:dyDescent="0.2">
      <c r="A177" s="1" t="s">
        <v>176</v>
      </c>
      <c r="B177" s="3">
        <f>VLOOKUP(A177,[3]TeamRtg!$A$3:$G$367,7,FALSE)</f>
        <v>-8.4668349205564326E-3</v>
      </c>
      <c r="C177" s="1">
        <f t="shared" si="2"/>
        <v>186</v>
      </c>
      <c r="D177" s="1">
        <v>181</v>
      </c>
    </row>
    <row r="178" spans="1:4" x14ac:dyDescent="0.2">
      <c r="A178" s="1" t="s">
        <v>177</v>
      </c>
      <c r="B178" s="3">
        <f>VLOOKUP(A178,[3]TeamRtg!$A$3:$G$367,7,FALSE)</f>
        <v>5.4354431038886375E-2</v>
      </c>
      <c r="C178" s="1">
        <f t="shared" si="2"/>
        <v>176</v>
      </c>
      <c r="D178" s="1">
        <v>174</v>
      </c>
    </row>
    <row r="179" spans="1:4" x14ac:dyDescent="0.2">
      <c r="A179" s="1" t="s">
        <v>178</v>
      </c>
      <c r="B179" s="3">
        <f>VLOOKUP(A179,[3]TeamRtg!$A$3:$G$367,7,FALSE)</f>
        <v>8.6901354541952983E-2</v>
      </c>
      <c r="C179" s="1">
        <f t="shared" si="2"/>
        <v>168</v>
      </c>
      <c r="D179" s="1">
        <v>176</v>
      </c>
    </row>
    <row r="180" spans="1:4" x14ac:dyDescent="0.2">
      <c r="A180" s="1" t="s">
        <v>179</v>
      </c>
      <c r="B180" s="3">
        <f>VLOOKUP(A180,[3]TeamRtg!$A$3:$G$367,7,FALSE)</f>
        <v>4.3545942352952866E-2</v>
      </c>
      <c r="C180" s="1">
        <f t="shared" si="2"/>
        <v>177</v>
      </c>
      <c r="D180" s="1">
        <v>180</v>
      </c>
    </row>
    <row r="181" spans="1:4" x14ac:dyDescent="0.2">
      <c r="A181" s="1" t="s">
        <v>180</v>
      </c>
      <c r="B181" s="3">
        <f>VLOOKUP(A181,[3]TeamRtg!$A$3:$G$367,7,FALSE)</f>
        <v>-9.0323665391210395E-3</v>
      </c>
      <c r="C181" s="1">
        <f t="shared" si="2"/>
        <v>187</v>
      </c>
      <c r="D181" s="1">
        <v>179</v>
      </c>
    </row>
    <row r="182" spans="1:4" x14ac:dyDescent="0.2">
      <c r="A182" s="1" t="s">
        <v>181</v>
      </c>
      <c r="B182" s="3">
        <f>VLOOKUP(A182,[3]TeamRtg!$A$3:$G$367,7,FALSE)</f>
        <v>1.0466952595507258E-3</v>
      </c>
      <c r="C182" s="1">
        <f t="shared" si="2"/>
        <v>183</v>
      </c>
      <c r="D182" s="1">
        <v>183</v>
      </c>
    </row>
    <row r="183" spans="1:4" x14ac:dyDescent="0.2">
      <c r="A183" s="1" t="s">
        <v>182</v>
      </c>
      <c r="B183" s="3">
        <f>VLOOKUP(A183,[3]TeamRtg!$A$3:$G$367,7,FALSE)</f>
        <v>0.12966106826535531</v>
      </c>
      <c r="C183" s="1">
        <f t="shared" si="2"/>
        <v>164</v>
      </c>
      <c r="D183" s="1">
        <v>182</v>
      </c>
    </row>
    <row r="184" spans="1:4" x14ac:dyDescent="0.2">
      <c r="A184" s="1" t="s">
        <v>183</v>
      </c>
      <c r="B184" s="3">
        <f>VLOOKUP(A184,[3]TeamRtg!$A$3:$G$367,7,FALSE)</f>
        <v>-5.9439997994469952E-2</v>
      </c>
      <c r="C184" s="1">
        <f t="shared" si="2"/>
        <v>194</v>
      </c>
      <c r="D184" s="1">
        <v>196</v>
      </c>
    </row>
    <row r="185" spans="1:4" x14ac:dyDescent="0.2">
      <c r="A185" s="1" t="s">
        <v>184</v>
      </c>
      <c r="B185" s="3">
        <f>VLOOKUP(A185,[3]TeamRtg!$A$3:$G$367,7,FALSE)</f>
        <v>-1.0911008807614852E-2</v>
      </c>
      <c r="C185" s="1">
        <f t="shared" si="2"/>
        <v>188</v>
      </c>
      <c r="D185" s="1">
        <v>184</v>
      </c>
    </row>
    <row r="186" spans="1:4" x14ac:dyDescent="0.2">
      <c r="A186" s="1" t="s">
        <v>185</v>
      </c>
      <c r="B186" s="3">
        <f>VLOOKUP(A186,[3]TeamRtg!$A$3:$G$367,7,FALSE)</f>
        <v>-2.2101432585718993E-4</v>
      </c>
      <c r="C186" s="1">
        <f t="shared" si="2"/>
        <v>184</v>
      </c>
      <c r="D186" s="1">
        <v>187</v>
      </c>
    </row>
    <row r="187" spans="1:4" x14ac:dyDescent="0.2">
      <c r="A187" s="1" t="s">
        <v>186</v>
      </c>
      <c r="B187" s="3">
        <f>VLOOKUP(A187,[3]TeamRtg!$A$3:$G$367,7,FALSE)</f>
        <v>3.7196552468586337E-2</v>
      </c>
      <c r="C187" s="1">
        <f t="shared" si="2"/>
        <v>178</v>
      </c>
      <c r="D187" s="1">
        <v>178</v>
      </c>
    </row>
    <row r="188" spans="1:4" x14ac:dyDescent="0.2">
      <c r="A188" s="1" t="s">
        <v>187</v>
      </c>
      <c r="B188" s="3">
        <f>VLOOKUP(A188,[3]TeamRtg!$A$3:$G$367,7,FALSE)</f>
        <v>-4.3097588579278208E-2</v>
      </c>
      <c r="C188" s="1">
        <f t="shared" si="2"/>
        <v>189</v>
      </c>
      <c r="D188" s="1">
        <v>191</v>
      </c>
    </row>
    <row r="189" spans="1:4" x14ac:dyDescent="0.2">
      <c r="A189" s="1" t="s">
        <v>188</v>
      </c>
      <c r="B189" s="3">
        <f>VLOOKUP(A189,[3]TeamRtg!$A$3:$G$367,7,FALSE)</f>
        <v>7.0578008497332673E-2</v>
      </c>
      <c r="C189" s="1">
        <f t="shared" si="2"/>
        <v>172</v>
      </c>
      <c r="D189" s="1">
        <v>175</v>
      </c>
    </row>
    <row r="190" spans="1:4" x14ac:dyDescent="0.2">
      <c r="A190" s="1" t="s">
        <v>189</v>
      </c>
      <c r="B190" s="3">
        <f>VLOOKUP(A190,[3]TeamRtg!$A$3:$G$367,7,FALSE)</f>
        <v>-4.6087651532144898E-2</v>
      </c>
      <c r="C190" s="1">
        <f t="shared" si="2"/>
        <v>190</v>
      </c>
      <c r="D190" s="1">
        <v>186</v>
      </c>
    </row>
    <row r="191" spans="1:4" x14ac:dyDescent="0.2">
      <c r="A191" s="1" t="s">
        <v>190</v>
      </c>
      <c r="B191" s="3">
        <f>VLOOKUP(A191,[3]TeamRtg!$A$3:$G$367,7,FALSE)</f>
        <v>-7.3376392588345885E-2</v>
      </c>
      <c r="C191" s="1">
        <f t="shared" si="2"/>
        <v>195</v>
      </c>
      <c r="D191" s="1">
        <v>194</v>
      </c>
    </row>
    <row r="192" spans="1:4" x14ac:dyDescent="0.2">
      <c r="A192" s="1" t="s">
        <v>191</v>
      </c>
      <c r="B192" s="3">
        <f>VLOOKUP(A192,[3]TeamRtg!$A$3:$G$367,7,FALSE)</f>
        <v>-5.8054341572980707E-2</v>
      </c>
      <c r="C192" s="1">
        <f t="shared" si="2"/>
        <v>192</v>
      </c>
      <c r="D192" s="1">
        <v>190</v>
      </c>
    </row>
    <row r="193" spans="1:4" x14ac:dyDescent="0.2">
      <c r="A193" s="1" t="s">
        <v>192</v>
      </c>
      <c r="B193" s="3">
        <f>VLOOKUP(A193,[3]TeamRtg!$A$3:$G$367,7,FALSE)</f>
        <v>-5.0237973065669815E-2</v>
      </c>
      <c r="C193" s="1">
        <f t="shared" si="2"/>
        <v>191</v>
      </c>
      <c r="D193" s="1">
        <v>189</v>
      </c>
    </row>
    <row r="194" spans="1:4" x14ac:dyDescent="0.2">
      <c r="A194" s="1" t="s">
        <v>193</v>
      </c>
      <c r="B194" s="3">
        <f>VLOOKUP(A194,[3]TeamRtg!$A$3:$G$367,7,FALSE)</f>
        <v>3.7541287537336942E-3</v>
      </c>
      <c r="C194" s="1">
        <f t="shared" si="2"/>
        <v>182</v>
      </c>
      <c r="D194" s="1">
        <v>188</v>
      </c>
    </row>
    <row r="195" spans="1:4" x14ac:dyDescent="0.2">
      <c r="A195" s="1" t="s">
        <v>194</v>
      </c>
      <c r="B195" s="3">
        <f>VLOOKUP(A195,[3]TeamRtg!$A$3:$G$367,7,FALSE)</f>
        <v>3.8459947868327393E-3</v>
      </c>
      <c r="C195" s="1">
        <f t="shared" ref="C195:C258" si="3">RANK(B195,$B$2:$B$366)</f>
        <v>181</v>
      </c>
      <c r="D195" s="1">
        <v>185</v>
      </c>
    </row>
    <row r="196" spans="1:4" x14ac:dyDescent="0.2">
      <c r="A196" s="1" t="s">
        <v>195</v>
      </c>
      <c r="B196" s="3">
        <f>VLOOKUP(A196,[3]TeamRtg!$A$3:$G$367,7,FALSE)</f>
        <v>-0.17211650904521839</v>
      </c>
      <c r="C196" s="1">
        <f t="shared" si="3"/>
        <v>207</v>
      </c>
      <c r="D196" s="1">
        <v>200</v>
      </c>
    </row>
    <row r="197" spans="1:4" x14ac:dyDescent="0.2">
      <c r="A197" s="1" t="s">
        <v>196</v>
      </c>
      <c r="B197" s="3">
        <f>VLOOKUP(A197,[3]TeamRtg!$A$3:$G$367,7,FALSE)</f>
        <v>1.0527669301433128E-2</v>
      </c>
      <c r="C197" s="1">
        <f t="shared" si="3"/>
        <v>180</v>
      </c>
      <c r="D197" s="1">
        <v>192</v>
      </c>
    </row>
    <row r="198" spans="1:4" x14ac:dyDescent="0.2">
      <c r="A198" s="1" t="s">
        <v>197</v>
      </c>
      <c r="B198" s="3">
        <f>VLOOKUP(A198,[3]TeamRtg!$A$3:$G$367,7,FALSE)</f>
        <v>-0.13509578530234509</v>
      </c>
      <c r="C198" s="1">
        <f t="shared" si="3"/>
        <v>202</v>
      </c>
      <c r="D198" s="1">
        <v>202</v>
      </c>
    </row>
    <row r="199" spans="1:4" x14ac:dyDescent="0.2">
      <c r="A199" s="1" t="s">
        <v>198</v>
      </c>
      <c r="B199" s="3">
        <f>VLOOKUP(A199,[3]TeamRtg!$A$3:$G$367,7,FALSE)</f>
        <v>-0.13112777718949115</v>
      </c>
      <c r="C199" s="1">
        <f t="shared" si="3"/>
        <v>200</v>
      </c>
      <c r="D199" s="1">
        <v>197</v>
      </c>
    </row>
    <row r="200" spans="1:4" x14ac:dyDescent="0.2">
      <c r="A200" s="1" t="s">
        <v>199</v>
      </c>
      <c r="B200" s="3">
        <f>VLOOKUP(A200,[3]TeamRtg!$A$3:$G$367,7,FALSE)</f>
        <v>-0.12553498969451035</v>
      </c>
      <c r="C200" s="1">
        <f t="shared" si="3"/>
        <v>199</v>
      </c>
      <c r="D200" s="1">
        <v>201</v>
      </c>
    </row>
    <row r="201" spans="1:4" x14ac:dyDescent="0.2">
      <c r="A201" s="1" t="s">
        <v>200</v>
      </c>
      <c r="B201" s="3">
        <f>VLOOKUP(A201,[3]TeamRtg!$A$3:$G$367,7,FALSE)</f>
        <v>-0.14573729731536511</v>
      </c>
      <c r="C201" s="1">
        <f t="shared" si="3"/>
        <v>204</v>
      </c>
      <c r="D201" s="1">
        <v>198</v>
      </c>
    </row>
    <row r="202" spans="1:4" x14ac:dyDescent="0.2">
      <c r="A202" s="1" t="s">
        <v>201</v>
      </c>
      <c r="B202" s="3">
        <f>VLOOKUP(A202,[3]TeamRtg!$A$3:$G$367,7,FALSE)</f>
        <v>-0.10687192272743964</v>
      </c>
      <c r="C202" s="1">
        <f t="shared" si="3"/>
        <v>197</v>
      </c>
      <c r="D202" s="1">
        <v>195</v>
      </c>
    </row>
    <row r="203" spans="1:4" x14ac:dyDescent="0.2">
      <c r="A203" s="1" t="s">
        <v>202</v>
      </c>
      <c r="B203" s="3">
        <f>VLOOKUP(A203,[3]TeamRtg!$A$3:$G$367,7,FALSE)</f>
        <v>-0.21006897541764016</v>
      </c>
      <c r="C203" s="1">
        <f t="shared" si="3"/>
        <v>213</v>
      </c>
      <c r="D203" s="1">
        <v>210</v>
      </c>
    </row>
    <row r="204" spans="1:4" x14ac:dyDescent="0.2">
      <c r="A204" s="1" t="s">
        <v>203</v>
      </c>
      <c r="B204" s="3">
        <f>VLOOKUP(A204,[3]TeamRtg!$A$3:$G$367,7,FALSE)</f>
        <v>-0.11127230015118804</v>
      </c>
      <c r="C204" s="1">
        <f t="shared" si="3"/>
        <v>198</v>
      </c>
      <c r="D204" s="1">
        <v>199</v>
      </c>
    </row>
    <row r="205" spans="1:4" x14ac:dyDescent="0.2">
      <c r="A205" s="1" t="s">
        <v>204</v>
      </c>
      <c r="B205" s="3">
        <f>VLOOKUP(A205,[3]TeamRtg!$A$3:$G$367,7,FALSE)</f>
        <v>-0.24745526391969025</v>
      </c>
      <c r="C205" s="1">
        <f t="shared" si="3"/>
        <v>219</v>
      </c>
      <c r="D205" s="1">
        <v>222</v>
      </c>
    </row>
    <row r="206" spans="1:4" x14ac:dyDescent="0.2">
      <c r="A206" s="1" t="s">
        <v>205</v>
      </c>
      <c r="B206" s="3">
        <f>VLOOKUP(A206,[3]TeamRtg!$A$3:$G$367,7,FALSE)</f>
        <v>-0.14739583003946463</v>
      </c>
      <c r="C206" s="1">
        <f t="shared" si="3"/>
        <v>205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-7.5894324784166523E-2</v>
      </c>
      <c r="C207" s="1">
        <f t="shared" si="3"/>
        <v>196</v>
      </c>
      <c r="D207" s="1">
        <v>203</v>
      </c>
    </row>
    <row r="208" spans="1:4" x14ac:dyDescent="0.2">
      <c r="A208" s="1" t="s">
        <v>207</v>
      </c>
      <c r="B208" s="3">
        <f>VLOOKUP(A208,[3]TeamRtg!$A$3:$G$367,7,FALSE)</f>
        <v>-0.16586767922154799</v>
      </c>
      <c r="C208" s="1">
        <f t="shared" si="3"/>
        <v>206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-0.20754802677768577</v>
      </c>
      <c r="C209" s="1">
        <f t="shared" si="3"/>
        <v>211</v>
      </c>
      <c r="D209" s="1">
        <v>219</v>
      </c>
    </row>
    <row r="210" spans="1:4" x14ac:dyDescent="0.2">
      <c r="A210" s="1" t="s">
        <v>209</v>
      </c>
      <c r="B210" s="3">
        <f>VLOOKUP(A210,[3]TeamRtg!$A$3:$G$367,7,FALSE)</f>
        <v>-0.20986316996108809</v>
      </c>
      <c r="C210" s="1">
        <f t="shared" si="3"/>
        <v>212</v>
      </c>
      <c r="D210" s="1">
        <v>211</v>
      </c>
    </row>
    <row r="211" spans="1:4" x14ac:dyDescent="0.2">
      <c r="A211" s="1" t="s">
        <v>210</v>
      </c>
      <c r="B211" s="3">
        <f>VLOOKUP(A211,[3]TeamRtg!$A$3:$G$367,7,FALSE)</f>
        <v>-0.2486532878937173</v>
      </c>
      <c r="C211" s="1">
        <f t="shared" si="3"/>
        <v>221</v>
      </c>
      <c r="D211" s="1">
        <v>217</v>
      </c>
    </row>
    <row r="212" spans="1:4" x14ac:dyDescent="0.2">
      <c r="A212" s="1" t="s">
        <v>211</v>
      </c>
      <c r="B212" s="3">
        <f>VLOOKUP(A212,[3]TeamRtg!$A$3:$G$367,7,FALSE)</f>
        <v>-0.13374353746804454</v>
      </c>
      <c r="C212" s="1">
        <f t="shared" si="3"/>
        <v>201</v>
      </c>
      <c r="D212" s="1">
        <v>209</v>
      </c>
    </row>
    <row r="213" spans="1:4" x14ac:dyDescent="0.2">
      <c r="A213" s="1" t="s">
        <v>212</v>
      </c>
      <c r="B213" s="3">
        <f>VLOOKUP(A213,[3]TeamRtg!$A$3:$G$367,7,FALSE)</f>
        <v>-0.22027293602827608</v>
      </c>
      <c r="C213" s="1">
        <f t="shared" si="3"/>
        <v>214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-0.17765865914764808</v>
      </c>
      <c r="C214" s="1">
        <f t="shared" si="3"/>
        <v>209</v>
      </c>
      <c r="D214" s="1">
        <v>208</v>
      </c>
    </row>
    <row r="215" spans="1:4" x14ac:dyDescent="0.2">
      <c r="A215" s="1" t="s">
        <v>214</v>
      </c>
      <c r="B215" s="3">
        <f>VLOOKUP(A215,[3]TeamRtg!$A$3:$G$367,7,FALSE)</f>
        <v>-0.22615085685927205</v>
      </c>
      <c r="C215" s="1">
        <f t="shared" si="3"/>
        <v>215</v>
      </c>
      <c r="D215" s="1">
        <v>213</v>
      </c>
    </row>
    <row r="216" spans="1:4" x14ac:dyDescent="0.2">
      <c r="A216" s="1" t="s">
        <v>215</v>
      </c>
      <c r="B216" s="3">
        <f>VLOOKUP(A216,[3]TeamRtg!$A$3:$G$367,7,FALSE)</f>
        <v>-0.24409708122164661</v>
      </c>
      <c r="C216" s="1">
        <f t="shared" si="3"/>
        <v>218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-0.26522904411852988</v>
      </c>
      <c r="C217" s="1">
        <f t="shared" si="3"/>
        <v>223</v>
      </c>
      <c r="D217" s="1">
        <v>218</v>
      </c>
    </row>
    <row r="218" spans="1:4" x14ac:dyDescent="0.2">
      <c r="A218" s="1" t="s">
        <v>217</v>
      </c>
      <c r="B218" s="3">
        <f>VLOOKUP(A218,[3]TeamRtg!$A$3:$G$367,7,FALSE)</f>
        <v>-0.17876048800798899</v>
      </c>
      <c r="C218" s="1">
        <f t="shared" si="3"/>
        <v>210</v>
      </c>
      <c r="D218" s="1">
        <v>206</v>
      </c>
    </row>
    <row r="219" spans="1:4" x14ac:dyDescent="0.2">
      <c r="A219" s="1" t="s">
        <v>218</v>
      </c>
      <c r="B219" s="3">
        <f>VLOOKUP(A219,[3]TeamRtg!$A$3:$G$367,7,FALSE)</f>
        <v>-0.27897291479286784</v>
      </c>
      <c r="C219" s="1">
        <f t="shared" si="3"/>
        <v>228</v>
      </c>
      <c r="D219" s="1">
        <v>224</v>
      </c>
    </row>
    <row r="220" spans="1:4" x14ac:dyDescent="0.2">
      <c r="A220" s="1" t="s">
        <v>219</v>
      </c>
      <c r="B220" s="3">
        <f>VLOOKUP(A220,[3]TeamRtg!$A$3:$G$367,7,FALSE)</f>
        <v>-0.17578405937188471</v>
      </c>
      <c r="C220" s="1">
        <f t="shared" si="3"/>
        <v>208</v>
      </c>
      <c r="D220" s="1">
        <v>214</v>
      </c>
    </row>
    <row r="221" spans="1:4" x14ac:dyDescent="0.2">
      <c r="A221" s="1" t="s">
        <v>220</v>
      </c>
      <c r="B221" s="3">
        <f>VLOOKUP(A221,[3]TeamRtg!$A$3:$G$367,7,FALSE)</f>
        <v>-0.24260698715410281</v>
      </c>
      <c r="C221" s="1">
        <f t="shared" si="3"/>
        <v>217</v>
      </c>
      <c r="D221" s="1">
        <v>216</v>
      </c>
    </row>
    <row r="222" spans="1:4" x14ac:dyDescent="0.2">
      <c r="A222" s="1" t="s">
        <v>221</v>
      </c>
      <c r="B222" s="3">
        <f>VLOOKUP(A222,[3]TeamRtg!$A$3:$G$367,7,FALSE)</f>
        <v>-0.13764132567735704</v>
      </c>
      <c r="C222" s="1">
        <f t="shared" si="3"/>
        <v>203</v>
      </c>
      <c r="D222" s="1">
        <v>204</v>
      </c>
    </row>
    <row r="223" spans="1:4" x14ac:dyDescent="0.2">
      <c r="A223" s="1" t="s">
        <v>222</v>
      </c>
      <c r="B223" s="3">
        <f>VLOOKUP(A223,[3]TeamRtg!$A$3:$G$367,7,FALSE)</f>
        <v>-0.23684363240805692</v>
      </c>
      <c r="C223" s="1">
        <f t="shared" si="3"/>
        <v>216</v>
      </c>
      <c r="D223" s="1">
        <v>221</v>
      </c>
    </row>
    <row r="224" spans="1:4" x14ac:dyDescent="0.2">
      <c r="A224" s="1" t="s">
        <v>223</v>
      </c>
      <c r="B224" s="3">
        <f>VLOOKUP(A224,[3]TeamRtg!$A$3:$G$367,7,FALSE)</f>
        <v>-0.26772283609125525</v>
      </c>
      <c r="C224" s="1">
        <f t="shared" si="3"/>
        <v>226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-0.25980172922660771</v>
      </c>
      <c r="C225" s="1">
        <f t="shared" si="3"/>
        <v>222</v>
      </c>
      <c r="D225" s="1">
        <v>220</v>
      </c>
    </row>
    <row r="226" spans="1:4" x14ac:dyDescent="0.2">
      <c r="A226" s="1" t="s">
        <v>225</v>
      </c>
      <c r="B226" s="3">
        <f>VLOOKUP(A226,[3]TeamRtg!$A$3:$G$367,7,FALSE)</f>
        <v>-0.24829606201909149</v>
      </c>
      <c r="C226" s="1">
        <f t="shared" si="3"/>
        <v>220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-0.31239925387414114</v>
      </c>
      <c r="C227" s="1">
        <f t="shared" si="3"/>
        <v>230</v>
      </c>
      <c r="D227" s="1">
        <v>226</v>
      </c>
    </row>
    <row r="228" spans="1:4" x14ac:dyDescent="0.2">
      <c r="A228" s="1" t="s">
        <v>227</v>
      </c>
      <c r="B228" s="3">
        <f>VLOOKUP(A228,[3]TeamRtg!$A$3:$G$367,7,FALSE)</f>
        <v>-0.28331314826083864</v>
      </c>
      <c r="C228" s="1">
        <f t="shared" si="3"/>
        <v>229</v>
      </c>
      <c r="D228" s="1">
        <v>229</v>
      </c>
    </row>
    <row r="229" spans="1:4" x14ac:dyDescent="0.2">
      <c r="A229" s="1" t="s">
        <v>228</v>
      </c>
      <c r="B229" s="3">
        <f>VLOOKUP(A229,[3]TeamRtg!$A$3:$G$367,7,FALSE)</f>
        <v>-0.27337007334217339</v>
      </c>
      <c r="C229" s="1">
        <f t="shared" si="3"/>
        <v>227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-0.36949002139245646</v>
      </c>
      <c r="C230" s="1">
        <f t="shared" si="3"/>
        <v>234</v>
      </c>
      <c r="D230" s="1">
        <v>231</v>
      </c>
    </row>
    <row r="231" spans="1:4" x14ac:dyDescent="0.2">
      <c r="A231" s="1" t="s">
        <v>230</v>
      </c>
      <c r="B231" s="3">
        <f>VLOOKUP(A231,[3]TeamRtg!$A$3:$G$367,7,FALSE)</f>
        <v>-0.26579765400691213</v>
      </c>
      <c r="C231" s="1">
        <f t="shared" si="3"/>
        <v>224</v>
      </c>
      <c r="D231" s="1">
        <v>227</v>
      </c>
    </row>
    <row r="232" spans="1:4" x14ac:dyDescent="0.2">
      <c r="A232" s="1" t="s">
        <v>231</v>
      </c>
      <c r="B232" s="3">
        <f>VLOOKUP(A232,[3]TeamRtg!$A$3:$G$367,7,FALSE)</f>
        <v>-0.37609124854190523</v>
      </c>
      <c r="C232" s="1">
        <f t="shared" si="3"/>
        <v>235</v>
      </c>
      <c r="D232" s="1">
        <v>234</v>
      </c>
    </row>
    <row r="233" spans="1:4" x14ac:dyDescent="0.2">
      <c r="A233" s="1" t="s">
        <v>232</v>
      </c>
      <c r="B233" s="3">
        <f>VLOOKUP(A233,[3]TeamRtg!$A$3:$G$367,7,FALSE)</f>
        <v>-0.38692843551576833</v>
      </c>
      <c r="C233" s="1">
        <f t="shared" si="3"/>
        <v>237</v>
      </c>
      <c r="D233" s="1">
        <v>235</v>
      </c>
    </row>
    <row r="234" spans="1:4" x14ac:dyDescent="0.2">
      <c r="A234" s="1" t="s">
        <v>233</v>
      </c>
      <c r="B234" s="3">
        <f>VLOOKUP(A234,[3]TeamRtg!$A$3:$G$367,7,FALSE)</f>
        <v>-0.43093427592318861</v>
      </c>
      <c r="C234" s="1">
        <f t="shared" si="3"/>
        <v>244</v>
      </c>
      <c r="D234" s="1">
        <v>239</v>
      </c>
    </row>
    <row r="235" spans="1:4" x14ac:dyDescent="0.2">
      <c r="A235" s="1" t="s">
        <v>234</v>
      </c>
      <c r="B235" s="3">
        <f>VLOOKUP(A235,[3]TeamRtg!$A$3:$G$367,7,FALSE)</f>
        <v>-0.35882162143131835</v>
      </c>
      <c r="C235" s="1">
        <f t="shared" si="3"/>
        <v>233</v>
      </c>
      <c r="D235" s="1">
        <v>233</v>
      </c>
    </row>
    <row r="236" spans="1:4" x14ac:dyDescent="0.2">
      <c r="A236" s="1" t="s">
        <v>235</v>
      </c>
      <c r="B236" s="3">
        <f>VLOOKUP(A236,[3]TeamRtg!$A$3:$G$367,7,FALSE)</f>
        <v>-0.35843646421985764</v>
      </c>
      <c r="C236" s="1">
        <f t="shared" si="3"/>
        <v>232</v>
      </c>
      <c r="D236" s="1">
        <v>232</v>
      </c>
    </row>
    <row r="237" spans="1:4" x14ac:dyDescent="0.2">
      <c r="A237" s="1" t="s">
        <v>236</v>
      </c>
      <c r="B237" s="3">
        <f>VLOOKUP(A237,[3]TeamRtg!$A$3:$G$367,7,FALSE)</f>
        <v>-0.38563757197209064</v>
      </c>
      <c r="C237" s="1">
        <f t="shared" si="3"/>
        <v>236</v>
      </c>
      <c r="D237" s="1">
        <v>237</v>
      </c>
    </row>
    <row r="238" spans="1:4" x14ac:dyDescent="0.2">
      <c r="A238" s="1" t="s">
        <v>237</v>
      </c>
      <c r="B238" s="3">
        <f>VLOOKUP(A238,[3]TeamRtg!$A$3:$G$367,7,FALSE)</f>
        <v>-0.26710012511177489</v>
      </c>
      <c r="C238" s="1">
        <f t="shared" si="3"/>
        <v>225</v>
      </c>
      <c r="D238" s="1">
        <v>230</v>
      </c>
    </row>
    <row r="239" spans="1:4" x14ac:dyDescent="0.2">
      <c r="A239" s="1" t="s">
        <v>238</v>
      </c>
      <c r="B239" s="3">
        <f>VLOOKUP(A239,[3]TeamRtg!$A$3:$G$367,7,FALSE)</f>
        <v>-0.4065261522975932</v>
      </c>
      <c r="C239" s="1">
        <f t="shared" si="3"/>
        <v>241</v>
      </c>
      <c r="D239" s="1">
        <v>243</v>
      </c>
    </row>
    <row r="240" spans="1:4" x14ac:dyDescent="0.2">
      <c r="A240" s="1" t="s">
        <v>239</v>
      </c>
      <c r="B240" s="3">
        <f>VLOOKUP(A240,[3]TeamRtg!$A$3:$G$367,7,FALSE)</f>
        <v>-0.38829224766505854</v>
      </c>
      <c r="C240" s="1">
        <f t="shared" si="3"/>
        <v>239</v>
      </c>
      <c r="D240" s="1">
        <v>241</v>
      </c>
    </row>
    <row r="241" spans="1:4" x14ac:dyDescent="0.2">
      <c r="A241" s="1" t="s">
        <v>240</v>
      </c>
      <c r="B241" s="3">
        <f>VLOOKUP(A241,[3]TeamRtg!$A$3:$G$367,7,FALSE)</f>
        <v>-0.40251836095285426</v>
      </c>
      <c r="C241" s="1">
        <f t="shared" si="3"/>
        <v>240</v>
      </c>
      <c r="D241" s="1">
        <v>236</v>
      </c>
    </row>
    <row r="242" spans="1:4" x14ac:dyDescent="0.2">
      <c r="A242" s="1" t="s">
        <v>241</v>
      </c>
      <c r="B242" s="3">
        <f>VLOOKUP(A242,[3]TeamRtg!$A$3:$G$367,7,FALSE)</f>
        <v>-0.32666940840585107</v>
      </c>
      <c r="C242" s="1">
        <f t="shared" si="3"/>
        <v>231</v>
      </c>
      <c r="D242" s="1">
        <v>238</v>
      </c>
    </row>
    <row r="243" spans="1:4" x14ac:dyDescent="0.2">
      <c r="A243" s="1" t="s">
        <v>242</v>
      </c>
      <c r="B243" s="3">
        <f>VLOOKUP(A243,[3]TeamRtg!$A$3:$G$367,7,FALSE)</f>
        <v>-0.42882961305766093</v>
      </c>
      <c r="C243" s="1">
        <f t="shared" si="3"/>
        <v>243</v>
      </c>
      <c r="D243" s="1">
        <v>244</v>
      </c>
    </row>
    <row r="244" spans="1:4" x14ac:dyDescent="0.2">
      <c r="A244" s="1" t="s">
        <v>243</v>
      </c>
      <c r="B244" s="3">
        <f>VLOOKUP(A244,[3]TeamRtg!$A$3:$G$367,7,FALSE)</f>
        <v>-0.4925205749428157</v>
      </c>
      <c r="C244" s="1">
        <f t="shared" si="3"/>
        <v>254</v>
      </c>
      <c r="D244" s="1">
        <v>247</v>
      </c>
    </row>
    <row r="245" spans="1:4" x14ac:dyDescent="0.2">
      <c r="A245" s="1" t="s">
        <v>244</v>
      </c>
      <c r="B245" s="3">
        <f>VLOOKUP(A245,[3]TeamRtg!$A$3:$G$367,7,FALSE)</f>
        <v>-0.46860168992857687</v>
      </c>
      <c r="C245" s="1">
        <f t="shared" si="3"/>
        <v>247</v>
      </c>
      <c r="D245" s="1">
        <v>253</v>
      </c>
    </row>
    <row r="246" spans="1:4" x14ac:dyDescent="0.2">
      <c r="A246" s="1" t="s">
        <v>245</v>
      </c>
      <c r="B246" s="3">
        <f>VLOOKUP(A246,[3]TeamRtg!$A$3:$G$367,7,FALSE)</f>
        <v>-0.38781223878403409</v>
      </c>
      <c r="C246" s="1">
        <f t="shared" si="3"/>
        <v>238</v>
      </c>
      <c r="D246" s="1">
        <v>240</v>
      </c>
    </row>
    <row r="247" spans="1:4" x14ac:dyDescent="0.2">
      <c r="A247" s="1" t="s">
        <v>246</v>
      </c>
      <c r="B247" s="3">
        <f>VLOOKUP(A247,[3]TeamRtg!$A$3:$G$367,7,FALSE)</f>
        <v>-0.48409398306696466</v>
      </c>
      <c r="C247" s="1">
        <f t="shared" si="3"/>
        <v>253</v>
      </c>
      <c r="D247" s="1">
        <v>251</v>
      </c>
    </row>
    <row r="248" spans="1:4" x14ac:dyDescent="0.2">
      <c r="A248" s="1" t="s">
        <v>247</v>
      </c>
      <c r="B248" s="3">
        <f>VLOOKUP(A248,[3]TeamRtg!$A$3:$G$367,7,FALSE)</f>
        <v>-0.47485221163883629</v>
      </c>
      <c r="C248" s="1">
        <f t="shared" si="3"/>
        <v>250</v>
      </c>
      <c r="D248" s="1">
        <v>254</v>
      </c>
    </row>
    <row r="249" spans="1:4" x14ac:dyDescent="0.2">
      <c r="A249" s="1" t="s">
        <v>248</v>
      </c>
      <c r="B249" s="3">
        <f>VLOOKUP(A249,[3]TeamRtg!$A$3:$G$367,7,FALSE)</f>
        <v>-0.48164443855409089</v>
      </c>
      <c r="C249" s="1">
        <f t="shared" si="3"/>
        <v>251</v>
      </c>
      <c r="D249" s="1">
        <v>252</v>
      </c>
    </row>
    <row r="250" spans="1:4" x14ac:dyDescent="0.2">
      <c r="A250" s="1" t="s">
        <v>249</v>
      </c>
      <c r="B250" s="3">
        <f>VLOOKUP(A250,[3]TeamRtg!$A$3:$G$367,7,FALSE)</f>
        <v>-0.47394175936490213</v>
      </c>
      <c r="C250" s="1">
        <f t="shared" si="3"/>
        <v>249</v>
      </c>
      <c r="D250" s="1">
        <v>245</v>
      </c>
    </row>
    <row r="251" spans="1:4" x14ac:dyDescent="0.2">
      <c r="A251" s="1" t="s">
        <v>250</v>
      </c>
      <c r="B251" s="3">
        <f>VLOOKUP(A251,[3]TeamRtg!$A$3:$G$367,7,FALSE)</f>
        <v>-0.46962637636214905</v>
      </c>
      <c r="C251" s="1">
        <f t="shared" si="3"/>
        <v>248</v>
      </c>
      <c r="D251" s="1">
        <v>249</v>
      </c>
    </row>
    <row r="252" spans="1:4" x14ac:dyDescent="0.2">
      <c r="A252" s="1" t="s">
        <v>251</v>
      </c>
      <c r="B252" s="3">
        <f>VLOOKUP(A252,[3]TeamRtg!$A$3:$G$367,7,FALSE)</f>
        <v>-0.41945904709258147</v>
      </c>
      <c r="C252" s="1">
        <f t="shared" si="3"/>
        <v>242</v>
      </c>
      <c r="D252" s="1">
        <v>242</v>
      </c>
    </row>
    <row r="253" spans="1:4" x14ac:dyDescent="0.2">
      <c r="A253" s="1" t="s">
        <v>252</v>
      </c>
      <c r="B253" s="3">
        <f>VLOOKUP(A253,[3]TeamRtg!$A$3:$G$367,7,FALSE)</f>
        <v>-0.46297355823685532</v>
      </c>
      <c r="C253" s="1">
        <f t="shared" si="3"/>
        <v>246</v>
      </c>
      <c r="D253" s="1">
        <v>246</v>
      </c>
    </row>
    <row r="254" spans="1:4" x14ac:dyDescent="0.2">
      <c r="A254" s="1" t="s">
        <v>253</v>
      </c>
      <c r="B254" s="3">
        <f>VLOOKUP(A254,[3]TeamRtg!$A$3:$G$367,7,FALSE)</f>
        <v>-0.48392103773354533</v>
      </c>
      <c r="C254" s="1">
        <f t="shared" si="3"/>
        <v>252</v>
      </c>
      <c r="D254" s="1">
        <v>248</v>
      </c>
    </row>
    <row r="255" spans="1:4" x14ac:dyDescent="0.2">
      <c r="A255" s="1" t="s">
        <v>254</v>
      </c>
      <c r="B255" s="3">
        <f>VLOOKUP(A255,[3]TeamRtg!$A$3:$G$367,7,FALSE)</f>
        <v>-0.52169089491445952</v>
      </c>
      <c r="C255" s="1">
        <f t="shared" si="3"/>
        <v>258</v>
      </c>
      <c r="D255" s="1">
        <v>257</v>
      </c>
    </row>
    <row r="256" spans="1:4" x14ac:dyDescent="0.2">
      <c r="A256" s="1" t="s">
        <v>255</v>
      </c>
      <c r="B256" s="3">
        <f>VLOOKUP(A256,[3]TeamRtg!$A$3:$G$367,7,FALSE)</f>
        <v>-0.51024380240871769</v>
      </c>
      <c r="C256" s="1">
        <f t="shared" si="3"/>
        <v>256</v>
      </c>
      <c r="D256" s="1">
        <v>256</v>
      </c>
    </row>
    <row r="257" spans="1:4" x14ac:dyDescent="0.2">
      <c r="A257" s="1" t="s">
        <v>256</v>
      </c>
      <c r="B257" s="3">
        <f>VLOOKUP(A257,[3]TeamRtg!$A$3:$G$367,7,FALSE)</f>
        <v>-0.53242000403236911</v>
      </c>
      <c r="C257" s="1">
        <f t="shared" si="3"/>
        <v>260</v>
      </c>
      <c r="D257" s="1">
        <v>258</v>
      </c>
    </row>
    <row r="258" spans="1:4" x14ac:dyDescent="0.2">
      <c r="A258" s="1" t="s">
        <v>257</v>
      </c>
      <c r="B258" s="3">
        <f>VLOOKUP(A258,[3]TeamRtg!$A$3:$G$367,7,FALSE)</f>
        <v>-0.50353831456378129</v>
      </c>
      <c r="C258" s="1">
        <f t="shared" si="3"/>
        <v>255</v>
      </c>
      <c r="D258" s="1">
        <v>255</v>
      </c>
    </row>
    <row r="259" spans="1:4" x14ac:dyDescent="0.2">
      <c r="A259" s="1" t="s">
        <v>258</v>
      </c>
      <c r="B259" s="3">
        <f>VLOOKUP(A259,[3]TeamRtg!$A$3:$G$367,7,FALSE)</f>
        <v>-0.59637149281778701</v>
      </c>
      <c r="C259" s="1">
        <f t="shared" ref="C259:C322" si="4">RANK(B259,$B$2:$B$366)</f>
        <v>266</v>
      </c>
      <c r="D259" s="1">
        <v>267</v>
      </c>
    </row>
    <row r="260" spans="1:4" x14ac:dyDescent="0.2">
      <c r="A260" s="1" t="s">
        <v>259</v>
      </c>
      <c r="B260" s="3">
        <f>VLOOKUP(A260,[3]TeamRtg!$A$3:$G$367,7,FALSE)</f>
        <v>-0.52240005963004199</v>
      </c>
      <c r="C260" s="1">
        <f t="shared" si="4"/>
        <v>259</v>
      </c>
      <c r="D260" s="1">
        <v>260</v>
      </c>
    </row>
    <row r="261" spans="1:4" x14ac:dyDescent="0.2">
      <c r="A261" s="1" t="s">
        <v>260</v>
      </c>
      <c r="B261" s="3">
        <f>VLOOKUP(A261,[3]TeamRtg!$A$3:$G$367,7,FALSE)</f>
        <v>-0.5764993708876307</v>
      </c>
      <c r="C261" s="1">
        <f t="shared" si="4"/>
        <v>264</v>
      </c>
      <c r="D261" s="1">
        <v>259</v>
      </c>
    </row>
    <row r="262" spans="1:4" x14ac:dyDescent="0.2">
      <c r="A262" s="1" t="s">
        <v>261</v>
      </c>
      <c r="B262" s="3">
        <f>VLOOKUP(A262,[3]TeamRtg!$A$3:$G$367,7,FALSE)</f>
        <v>-0.63759860145644409</v>
      </c>
      <c r="C262" s="1">
        <f t="shared" si="4"/>
        <v>273</v>
      </c>
      <c r="D262" s="1">
        <v>272</v>
      </c>
    </row>
    <row r="263" spans="1:4" x14ac:dyDescent="0.2">
      <c r="A263" s="1" t="s">
        <v>262</v>
      </c>
      <c r="B263" s="3">
        <f>VLOOKUP(A263,[3]TeamRtg!$A$3:$G$367,7,FALSE)</f>
        <v>-0.58644246649867371</v>
      </c>
      <c r="C263" s="1">
        <f t="shared" si="4"/>
        <v>265</v>
      </c>
      <c r="D263" s="1">
        <v>262</v>
      </c>
    </row>
    <row r="264" spans="1:4" x14ac:dyDescent="0.2">
      <c r="A264" s="1" t="s">
        <v>263</v>
      </c>
      <c r="B264" s="3">
        <f>VLOOKUP(A264,[3]TeamRtg!$A$3:$G$367,7,FALSE)</f>
        <v>-0.62504247947811853</v>
      </c>
      <c r="C264" s="1">
        <f t="shared" si="4"/>
        <v>271</v>
      </c>
      <c r="D264" s="1">
        <v>264</v>
      </c>
    </row>
    <row r="265" spans="1:4" x14ac:dyDescent="0.2">
      <c r="A265" s="1" t="s">
        <v>264</v>
      </c>
      <c r="B265" s="3">
        <f>VLOOKUP(A265,[3]TeamRtg!$A$3:$G$367,7,FALSE)</f>
        <v>-0.60597089496803425</v>
      </c>
      <c r="C265" s="1">
        <f t="shared" si="4"/>
        <v>268</v>
      </c>
      <c r="D265" s="1">
        <v>263</v>
      </c>
    </row>
    <row r="266" spans="1:4" x14ac:dyDescent="0.2">
      <c r="A266" s="1" t="s">
        <v>265</v>
      </c>
      <c r="B266" s="3">
        <f>VLOOKUP(A266,[3]TeamRtg!$A$3:$G$367,7,FALSE)</f>
        <v>-0.60281143538851023</v>
      </c>
      <c r="C266" s="1">
        <f t="shared" si="4"/>
        <v>267</v>
      </c>
      <c r="D266" s="1">
        <v>268</v>
      </c>
    </row>
    <row r="267" spans="1:4" x14ac:dyDescent="0.2">
      <c r="A267" s="1" t="s">
        <v>266</v>
      </c>
      <c r="B267" s="3">
        <f>VLOOKUP(A267,[3]TeamRtg!$A$3:$G$367,7,FALSE)</f>
        <v>-0.63505337753077429</v>
      </c>
      <c r="C267" s="1">
        <f t="shared" si="4"/>
        <v>272</v>
      </c>
      <c r="D267" s="1">
        <v>274</v>
      </c>
    </row>
    <row r="268" spans="1:4" x14ac:dyDescent="0.2">
      <c r="A268" s="1" t="s">
        <v>267</v>
      </c>
      <c r="B268" s="3">
        <f>VLOOKUP(A268,[3]TeamRtg!$A$3:$G$367,7,FALSE)</f>
        <v>-0.60870842040017847</v>
      </c>
      <c r="C268" s="1">
        <f t="shared" si="4"/>
        <v>269</v>
      </c>
      <c r="D268" s="1">
        <v>269</v>
      </c>
    </row>
    <row r="269" spans="1:4" x14ac:dyDescent="0.2">
      <c r="A269" s="1" t="s">
        <v>268</v>
      </c>
      <c r="B269" s="3">
        <f>VLOOKUP(A269,[3]TeamRtg!$A$3:$G$367,7,FALSE)</f>
        <v>-0.56851860224779205</v>
      </c>
      <c r="C269" s="1">
        <f t="shared" si="4"/>
        <v>263</v>
      </c>
      <c r="D269" s="1">
        <v>266</v>
      </c>
    </row>
    <row r="270" spans="1:4" x14ac:dyDescent="0.2">
      <c r="A270" s="1" t="s">
        <v>269</v>
      </c>
      <c r="B270" s="3">
        <f>VLOOKUP(A270,[3]TeamRtg!$A$3:$G$367,7,FALSE)</f>
        <v>-0.62249051246425324</v>
      </c>
      <c r="C270" s="1">
        <f t="shared" si="4"/>
        <v>270</v>
      </c>
      <c r="D270" s="1">
        <v>271</v>
      </c>
    </row>
    <row r="271" spans="1:4" x14ac:dyDescent="0.2">
      <c r="A271" s="1" t="s">
        <v>270</v>
      </c>
      <c r="B271" s="3">
        <f>VLOOKUP(A271,[3]TeamRtg!$A$3:$G$367,7,FALSE)</f>
        <v>-0.44565001027987872</v>
      </c>
      <c r="C271" s="1">
        <f t="shared" si="4"/>
        <v>245</v>
      </c>
      <c r="D271" s="1">
        <v>250</v>
      </c>
    </row>
    <row r="272" spans="1:4" x14ac:dyDescent="0.2">
      <c r="A272" s="1" t="s">
        <v>271</v>
      </c>
      <c r="B272" s="3">
        <f>VLOOKUP(A272,[3]TeamRtg!$A$3:$G$367,7,FALSE)</f>
        <v>-0.56277466361383588</v>
      </c>
      <c r="C272" s="1">
        <f t="shared" si="4"/>
        <v>262</v>
      </c>
      <c r="D272" s="1">
        <v>265</v>
      </c>
    </row>
    <row r="273" spans="1:4" x14ac:dyDescent="0.2">
      <c r="A273" s="1" t="s">
        <v>272</v>
      </c>
      <c r="B273" s="3">
        <f>VLOOKUP(A273,[3]TeamRtg!$A$3:$G$367,7,FALSE)</f>
        <v>-0.65460564228929552</v>
      </c>
      <c r="C273" s="1">
        <f t="shared" si="4"/>
        <v>275</v>
      </c>
      <c r="D273" s="1">
        <v>273</v>
      </c>
    </row>
    <row r="274" spans="1:4" x14ac:dyDescent="0.2">
      <c r="A274" s="1" t="s">
        <v>273</v>
      </c>
      <c r="B274" s="3">
        <f>VLOOKUP(A274,[3]TeamRtg!$A$3:$G$367,7,FALSE)</f>
        <v>-0.53598235260125271</v>
      </c>
      <c r="C274" s="1">
        <f t="shared" si="4"/>
        <v>261</v>
      </c>
      <c r="D274" s="1">
        <v>261</v>
      </c>
    </row>
    <row r="275" spans="1:4" x14ac:dyDescent="0.2">
      <c r="A275" s="1" t="s">
        <v>274</v>
      </c>
      <c r="B275" s="3">
        <f>VLOOKUP(A275,[3]TeamRtg!$A$3:$G$367,7,FALSE)</f>
        <v>-0.64015751557396283</v>
      </c>
      <c r="C275" s="1">
        <f t="shared" si="4"/>
        <v>274</v>
      </c>
      <c r="D275" s="1">
        <v>275</v>
      </c>
    </row>
    <row r="276" spans="1:4" x14ac:dyDescent="0.2">
      <c r="A276" s="1" t="s">
        <v>275</v>
      </c>
      <c r="B276" s="3">
        <f>VLOOKUP(A276,[3]TeamRtg!$A$3:$G$367,7,FALSE)</f>
        <v>-0.66821390026703498</v>
      </c>
      <c r="C276" s="1">
        <f t="shared" si="4"/>
        <v>277</v>
      </c>
      <c r="D276" s="1">
        <v>276</v>
      </c>
    </row>
    <row r="277" spans="1:4" x14ac:dyDescent="0.2">
      <c r="A277" s="1" t="s">
        <v>276</v>
      </c>
      <c r="B277" s="3">
        <f>VLOOKUP(A277,[3]TeamRtg!$A$3:$G$367,7,FALSE)</f>
        <v>-0.74221457468035101</v>
      </c>
      <c r="C277" s="1">
        <f t="shared" si="4"/>
        <v>287</v>
      </c>
      <c r="D277" s="1">
        <v>283</v>
      </c>
    </row>
    <row r="278" spans="1:4" x14ac:dyDescent="0.2">
      <c r="A278" s="1" t="s">
        <v>277</v>
      </c>
      <c r="B278" s="3">
        <f>VLOOKUP(A278,[3]TeamRtg!$A$3:$G$367,7,FALSE)</f>
        <v>-0.51210201693835389</v>
      </c>
      <c r="C278" s="1">
        <f t="shared" si="4"/>
        <v>257</v>
      </c>
      <c r="D278" s="1">
        <v>270</v>
      </c>
    </row>
    <row r="279" spans="1:4" x14ac:dyDescent="0.2">
      <c r="A279" s="1" t="s">
        <v>278</v>
      </c>
      <c r="B279" s="3">
        <f>VLOOKUP(A279,[3]TeamRtg!$A$3:$G$367,7,FALSE)</f>
        <v>-0.7095878884483634</v>
      </c>
      <c r="C279" s="1">
        <f t="shared" si="4"/>
        <v>278</v>
      </c>
      <c r="D279" s="1">
        <v>280</v>
      </c>
    </row>
    <row r="280" spans="1:4" x14ac:dyDescent="0.2">
      <c r="A280" s="1" t="s">
        <v>279</v>
      </c>
      <c r="B280" s="3">
        <f>VLOOKUP(A280,[3]TeamRtg!$A$3:$G$367,7,FALSE)</f>
        <v>-0.74063314890632026</v>
      </c>
      <c r="C280" s="1">
        <f t="shared" si="4"/>
        <v>286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-0.72826409605345066</v>
      </c>
      <c r="C281" s="1">
        <f t="shared" si="4"/>
        <v>282</v>
      </c>
      <c r="D281" s="1">
        <v>277</v>
      </c>
    </row>
    <row r="282" spans="1:4" x14ac:dyDescent="0.2">
      <c r="A282" s="1" t="s">
        <v>281</v>
      </c>
      <c r="B282" s="3">
        <f>VLOOKUP(A282,[3]TeamRtg!$A$3:$G$367,7,FALSE)</f>
        <v>-0.66314225461960952</v>
      </c>
      <c r="C282" s="1">
        <f t="shared" si="4"/>
        <v>276</v>
      </c>
      <c r="D282" s="1">
        <v>278</v>
      </c>
    </row>
    <row r="283" spans="1:4" x14ac:dyDescent="0.2">
      <c r="A283" s="1" t="s">
        <v>282</v>
      </c>
      <c r="B283" s="3">
        <f>VLOOKUP(A283,[3]TeamRtg!$A$3:$G$367,7,FALSE)</f>
        <v>-0.73861427645633759</v>
      </c>
      <c r="C283" s="1">
        <f t="shared" si="4"/>
        <v>285</v>
      </c>
      <c r="D283" s="1">
        <v>286</v>
      </c>
    </row>
    <row r="284" spans="1:4" x14ac:dyDescent="0.2">
      <c r="A284" s="1" t="s">
        <v>283</v>
      </c>
      <c r="B284" s="3">
        <f>VLOOKUP(A284,[3]TeamRtg!$A$3:$G$367,7,FALSE)</f>
        <v>-0.75697282929455945</v>
      </c>
      <c r="C284" s="1">
        <f t="shared" si="4"/>
        <v>288</v>
      </c>
      <c r="D284" s="1">
        <v>288</v>
      </c>
    </row>
    <row r="285" spans="1:4" x14ac:dyDescent="0.2">
      <c r="A285" s="1" t="s">
        <v>284</v>
      </c>
      <c r="B285" s="3">
        <f>VLOOKUP(A285,[3]TeamRtg!$A$3:$G$367,7,FALSE)</f>
        <v>-0.73725031260889751</v>
      </c>
      <c r="C285" s="1">
        <f t="shared" si="4"/>
        <v>284</v>
      </c>
      <c r="D285" s="1">
        <v>289</v>
      </c>
    </row>
    <row r="286" spans="1:4" x14ac:dyDescent="0.2">
      <c r="A286" s="1" t="s">
        <v>285</v>
      </c>
      <c r="B286" s="3">
        <f>VLOOKUP(A286,[3]TeamRtg!$A$3:$G$367,7,FALSE)</f>
        <v>-0.72070934513373974</v>
      </c>
      <c r="C286" s="1">
        <f t="shared" si="4"/>
        <v>281</v>
      </c>
      <c r="D286" s="1">
        <v>284</v>
      </c>
    </row>
    <row r="287" spans="1:4" x14ac:dyDescent="0.2">
      <c r="A287" s="1" t="s">
        <v>286</v>
      </c>
      <c r="B287" s="3">
        <f>VLOOKUP(A287,[3]TeamRtg!$A$3:$G$367,7,FALSE)</f>
        <v>-0.71892535474385477</v>
      </c>
      <c r="C287" s="1">
        <f t="shared" si="4"/>
        <v>279</v>
      </c>
      <c r="D287" s="1">
        <v>282</v>
      </c>
    </row>
    <row r="288" spans="1:4" x14ac:dyDescent="0.2">
      <c r="A288" s="1" t="s">
        <v>287</v>
      </c>
      <c r="B288" s="3">
        <f>VLOOKUP(A288,[3]TeamRtg!$A$3:$G$367,7,FALSE)</f>
        <v>-0.7196715002636187</v>
      </c>
      <c r="C288" s="1">
        <f t="shared" si="4"/>
        <v>280</v>
      </c>
      <c r="D288" s="1">
        <v>281</v>
      </c>
    </row>
    <row r="289" spans="1:4" x14ac:dyDescent="0.2">
      <c r="A289" s="1" t="s">
        <v>288</v>
      </c>
      <c r="B289" s="3">
        <f>VLOOKUP(A289,[3]TeamRtg!$A$3:$G$367,7,FALSE)</f>
        <v>-0.73475249182313362</v>
      </c>
      <c r="C289" s="1">
        <f t="shared" si="4"/>
        <v>283</v>
      </c>
      <c r="D289" s="1">
        <v>287</v>
      </c>
    </row>
    <row r="290" spans="1:4" x14ac:dyDescent="0.2">
      <c r="A290" s="1" t="s">
        <v>289</v>
      </c>
      <c r="B290" s="3">
        <f>VLOOKUP(A290,[3]TeamRtg!$A$3:$G$367,7,FALSE)</f>
        <v>-0.76323796105349218</v>
      </c>
      <c r="C290" s="1">
        <f t="shared" si="4"/>
        <v>289</v>
      </c>
      <c r="D290" s="1">
        <v>285</v>
      </c>
    </row>
    <row r="291" spans="1:4" x14ac:dyDescent="0.2">
      <c r="A291" s="1" t="s">
        <v>290</v>
      </c>
      <c r="B291" s="3">
        <f>VLOOKUP(A291,[3]TeamRtg!$A$3:$G$367,7,FALSE)</f>
        <v>-0.87494169935297028</v>
      </c>
      <c r="C291" s="1">
        <f t="shared" si="4"/>
        <v>293</v>
      </c>
      <c r="D291" s="1">
        <v>291</v>
      </c>
    </row>
    <row r="292" spans="1:4" x14ac:dyDescent="0.2">
      <c r="A292" s="1" t="s">
        <v>291</v>
      </c>
      <c r="B292" s="3">
        <f>VLOOKUP(A292,[3]TeamRtg!$A$3:$G$367,7,FALSE)</f>
        <v>-0.88012939321061623</v>
      </c>
      <c r="C292" s="1">
        <f t="shared" si="4"/>
        <v>294</v>
      </c>
      <c r="D292" s="1">
        <v>294</v>
      </c>
    </row>
    <row r="293" spans="1:4" x14ac:dyDescent="0.2">
      <c r="A293" s="1" t="s">
        <v>292</v>
      </c>
      <c r="B293" s="3">
        <f>VLOOKUP(A293,[3]TeamRtg!$A$3:$G$367,7,FALSE)</f>
        <v>-0.82284766374893981</v>
      </c>
      <c r="C293" s="1">
        <f t="shared" si="4"/>
        <v>291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-0.87238680671345403</v>
      </c>
      <c r="C294" s="1">
        <f t="shared" si="4"/>
        <v>292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-0.78773876416909827</v>
      </c>
      <c r="C295" s="1">
        <f t="shared" si="4"/>
        <v>290</v>
      </c>
      <c r="D295" s="1">
        <v>290</v>
      </c>
    </row>
    <row r="296" spans="1:4" x14ac:dyDescent="0.2">
      <c r="A296" s="1" t="s">
        <v>295</v>
      </c>
      <c r="B296" s="3">
        <f>VLOOKUP(A296,[3]TeamRtg!$A$3:$G$367,7,FALSE)</f>
        <v>-0.90343434756623364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-0.99029419966785215</v>
      </c>
      <c r="C297" s="1">
        <f t="shared" si="4"/>
        <v>298</v>
      </c>
      <c r="D297" s="1">
        <v>298</v>
      </c>
    </row>
    <row r="298" spans="1:4" x14ac:dyDescent="0.2">
      <c r="A298" s="1" t="s">
        <v>297</v>
      </c>
      <c r="B298" s="3">
        <f>VLOOKUP(A298,[3]TeamRtg!$A$3:$G$367,7,FALSE)</f>
        <v>-0.98858764036486735</v>
      </c>
      <c r="C298" s="1">
        <f t="shared" si="4"/>
        <v>297</v>
      </c>
      <c r="D298" s="1">
        <v>296</v>
      </c>
    </row>
    <row r="299" spans="1:4" x14ac:dyDescent="0.2">
      <c r="A299" s="1" t="s">
        <v>298</v>
      </c>
      <c r="B299" s="3">
        <f>VLOOKUP(A299,[3]TeamRtg!$A$3:$G$367,7,FALSE)</f>
        <v>-1.0378985434192385</v>
      </c>
      <c r="C299" s="1">
        <f t="shared" si="4"/>
        <v>302</v>
      </c>
      <c r="D299" s="1">
        <v>302</v>
      </c>
    </row>
    <row r="300" spans="1:4" x14ac:dyDescent="0.2">
      <c r="A300" s="1" t="s">
        <v>299</v>
      </c>
      <c r="B300" s="3">
        <f>VLOOKUP(A300,[3]TeamRtg!$A$3:$G$367,7,FALSE)</f>
        <v>-1.0667210688070272</v>
      </c>
      <c r="C300" s="1">
        <f t="shared" si="4"/>
        <v>306</v>
      </c>
      <c r="D300" s="1">
        <v>297</v>
      </c>
    </row>
    <row r="301" spans="1:4" x14ac:dyDescent="0.2">
      <c r="A301" s="1" t="s">
        <v>300</v>
      </c>
      <c r="B301" s="3">
        <f>VLOOKUP(A301,[3]TeamRtg!$A$3:$G$367,7,FALSE)</f>
        <v>-0.99880753440112935</v>
      </c>
      <c r="C301" s="1">
        <f t="shared" si="4"/>
        <v>299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-1.0305680667173598</v>
      </c>
      <c r="C302" s="1">
        <f t="shared" si="4"/>
        <v>300</v>
      </c>
      <c r="D302" s="1">
        <v>303</v>
      </c>
    </row>
    <row r="303" spans="1:4" x14ac:dyDescent="0.2">
      <c r="A303" s="1" t="s">
        <v>302</v>
      </c>
      <c r="B303" s="3">
        <f>VLOOKUP(A303,[3]TeamRtg!$A$3:$G$367,7,FALSE)</f>
        <v>-1.1022507404901996</v>
      </c>
      <c r="C303" s="1">
        <f t="shared" si="4"/>
        <v>307</v>
      </c>
      <c r="D303" s="1">
        <v>301</v>
      </c>
    </row>
    <row r="304" spans="1:4" x14ac:dyDescent="0.2">
      <c r="A304" s="1" t="s">
        <v>303</v>
      </c>
      <c r="B304" s="3">
        <f>VLOOKUP(A304,[3]TeamRtg!$A$3:$G$367,7,FALSE)</f>
        <v>-1.0593228334729399</v>
      </c>
      <c r="C304" s="1">
        <f t="shared" si="4"/>
        <v>305</v>
      </c>
      <c r="D304" s="1">
        <v>306</v>
      </c>
    </row>
    <row r="305" spans="1:4" x14ac:dyDescent="0.2">
      <c r="A305" s="1" t="s">
        <v>304</v>
      </c>
      <c r="B305" s="3">
        <f>VLOOKUP(A305,[3]TeamRtg!$A$3:$G$367,7,FALSE)</f>
        <v>-1.0565034134603191</v>
      </c>
      <c r="C305" s="1">
        <f t="shared" si="4"/>
        <v>304</v>
      </c>
      <c r="D305" s="1">
        <v>305</v>
      </c>
    </row>
    <row r="306" spans="1:4" x14ac:dyDescent="0.2">
      <c r="A306" s="1" t="s">
        <v>305</v>
      </c>
      <c r="B306" s="3">
        <f>VLOOKUP(A306,[3]TeamRtg!$A$3:$G$367,7,FALSE)</f>
        <v>-0.93454431757345724</v>
      </c>
      <c r="C306" s="1">
        <f t="shared" si="4"/>
        <v>296</v>
      </c>
      <c r="D306" s="1">
        <v>299</v>
      </c>
    </row>
    <row r="307" spans="1:4" x14ac:dyDescent="0.2">
      <c r="A307" s="1" t="s">
        <v>306</v>
      </c>
      <c r="B307" s="3">
        <f>VLOOKUP(A307,[3]TeamRtg!$A$3:$G$367,7,FALSE)</f>
        <v>-1.0471900436973152</v>
      </c>
      <c r="C307" s="1">
        <f t="shared" si="4"/>
        <v>303</v>
      </c>
      <c r="D307" s="1">
        <v>304</v>
      </c>
    </row>
    <row r="308" spans="1:4" x14ac:dyDescent="0.2">
      <c r="A308" s="1" t="s">
        <v>307</v>
      </c>
      <c r="B308" s="3">
        <f>VLOOKUP(A308,[3]TeamRtg!$A$3:$G$367,7,FALSE)</f>
        <v>-1.1459715307717986</v>
      </c>
      <c r="C308" s="1">
        <f t="shared" si="4"/>
        <v>312</v>
      </c>
      <c r="D308" s="1">
        <v>309</v>
      </c>
    </row>
    <row r="309" spans="1:4" x14ac:dyDescent="0.2">
      <c r="A309" s="1" t="s">
        <v>308</v>
      </c>
      <c r="B309" s="3">
        <f>VLOOKUP(A309,[3]TeamRtg!$A$3:$G$367,7,FALSE)</f>
        <v>-1.031925993086914</v>
      </c>
      <c r="C309" s="1">
        <f t="shared" si="4"/>
        <v>301</v>
      </c>
      <c r="D309" s="1">
        <v>307</v>
      </c>
    </row>
    <row r="310" spans="1:4" x14ac:dyDescent="0.2">
      <c r="A310" s="1" t="s">
        <v>309</v>
      </c>
      <c r="B310" s="3">
        <f>VLOOKUP(A310,[3]TeamRtg!$A$3:$G$367,7,FALSE)</f>
        <v>-1.170099199782406</v>
      </c>
      <c r="C310" s="1">
        <f t="shared" si="4"/>
        <v>316</v>
      </c>
      <c r="D310" s="1">
        <v>311</v>
      </c>
    </row>
    <row r="311" spans="1:4" x14ac:dyDescent="0.2">
      <c r="A311" s="1" t="s">
        <v>310</v>
      </c>
      <c r="B311" s="3">
        <f>VLOOKUP(A311,[3]TeamRtg!$A$3:$G$367,7,FALSE)</f>
        <v>-1.1472115655984927</v>
      </c>
      <c r="C311" s="1">
        <f t="shared" si="4"/>
        <v>313</v>
      </c>
      <c r="D311" s="1">
        <v>308</v>
      </c>
    </row>
    <row r="312" spans="1:4" x14ac:dyDescent="0.2">
      <c r="A312" s="1" t="s">
        <v>311</v>
      </c>
      <c r="B312" s="3">
        <f>VLOOKUP(A312,[3]TeamRtg!$A$3:$G$367,7,FALSE)</f>
        <v>-1.1739707399412647</v>
      </c>
      <c r="C312" s="1">
        <f t="shared" si="4"/>
        <v>317</v>
      </c>
      <c r="D312" s="1">
        <v>310</v>
      </c>
    </row>
    <row r="313" spans="1:4" x14ac:dyDescent="0.2">
      <c r="A313" s="1" t="s">
        <v>312</v>
      </c>
      <c r="B313" s="3">
        <f>VLOOKUP(A313,[3]TeamRtg!$A$3:$G$367,7,FALSE)</f>
        <v>-1.126966484071918</v>
      </c>
      <c r="C313" s="1">
        <f t="shared" si="4"/>
        <v>309</v>
      </c>
      <c r="D313" s="1">
        <v>316</v>
      </c>
    </row>
    <row r="314" spans="1:4" x14ac:dyDescent="0.2">
      <c r="A314" s="1" t="s">
        <v>313</v>
      </c>
      <c r="B314" s="3">
        <f>VLOOKUP(A314,[3]TeamRtg!$A$3:$G$367,7,FALSE)</f>
        <v>-1.2123375278921862</v>
      </c>
      <c r="C314" s="1">
        <f t="shared" si="4"/>
        <v>319</v>
      </c>
      <c r="D314" s="1">
        <v>312</v>
      </c>
    </row>
    <row r="315" spans="1:4" x14ac:dyDescent="0.2">
      <c r="A315" s="1" t="s">
        <v>314</v>
      </c>
      <c r="B315" s="3">
        <f>VLOOKUP(A315,[3]TeamRtg!$A$3:$G$367,7,FALSE)</f>
        <v>-1.1565772372608749</v>
      </c>
      <c r="C315" s="1">
        <f t="shared" si="4"/>
        <v>314</v>
      </c>
      <c r="D315" s="1">
        <v>315</v>
      </c>
    </row>
    <row r="316" spans="1:4" x14ac:dyDescent="0.2">
      <c r="A316" s="1" t="s">
        <v>315</v>
      </c>
      <c r="B316" s="3">
        <f>VLOOKUP(A316,[3]TeamRtg!$A$3:$G$367,7,FALSE)</f>
        <v>-1.2592408314687409</v>
      </c>
      <c r="C316" s="1">
        <f t="shared" si="4"/>
        <v>322</v>
      </c>
      <c r="D316" s="1">
        <v>321</v>
      </c>
    </row>
    <row r="317" spans="1:4" x14ac:dyDescent="0.2">
      <c r="A317" s="1" t="s">
        <v>316</v>
      </c>
      <c r="B317" s="3">
        <f>VLOOKUP(A317,[3]TeamRtg!$A$3:$G$367,7,FALSE)</f>
        <v>-1.1179461888751572</v>
      </c>
      <c r="C317" s="1">
        <f t="shared" si="4"/>
        <v>308</v>
      </c>
      <c r="D317" s="1">
        <v>318</v>
      </c>
    </row>
    <row r="318" spans="1:4" x14ac:dyDescent="0.2">
      <c r="A318" s="1" t="s">
        <v>317</v>
      </c>
      <c r="B318" s="3">
        <f>VLOOKUP(A318,[3]TeamRtg!$A$3:$G$367,7,FALSE)</f>
        <v>-1.1278332959159658</v>
      </c>
      <c r="C318" s="1">
        <f t="shared" si="4"/>
        <v>310</v>
      </c>
      <c r="D318" s="1">
        <v>314</v>
      </c>
    </row>
    <row r="319" spans="1:4" x14ac:dyDescent="0.2">
      <c r="A319" s="1" t="s">
        <v>318</v>
      </c>
      <c r="B319" s="3">
        <f>VLOOKUP(A319,[3]TeamRtg!$A$3:$G$367,7,FALSE)</f>
        <v>-1.163965644701193</v>
      </c>
      <c r="C319" s="1">
        <f t="shared" si="4"/>
        <v>315</v>
      </c>
      <c r="D319" s="1">
        <v>317</v>
      </c>
    </row>
    <row r="320" spans="1:4" x14ac:dyDescent="0.2">
      <c r="A320" s="1" t="s">
        <v>319</v>
      </c>
      <c r="B320" s="3">
        <f>VLOOKUP(A320,[3]TeamRtg!$A$3:$G$367,7,FALSE)</f>
        <v>-1.3256940651147915</v>
      </c>
      <c r="C320" s="1">
        <f t="shared" si="4"/>
        <v>325</v>
      </c>
      <c r="D320" s="1">
        <v>320</v>
      </c>
    </row>
    <row r="321" spans="1:4" x14ac:dyDescent="0.2">
      <c r="A321" s="1" t="s">
        <v>320</v>
      </c>
      <c r="B321" s="3">
        <f>VLOOKUP(A321,[3]TeamRtg!$A$3:$G$367,7,FALSE)</f>
        <v>-1.2400084019103557</v>
      </c>
      <c r="C321" s="1">
        <f t="shared" si="4"/>
        <v>320</v>
      </c>
      <c r="D321" s="1">
        <v>319</v>
      </c>
    </row>
    <row r="322" spans="1:4" x14ac:dyDescent="0.2">
      <c r="A322" s="1" t="s">
        <v>321</v>
      </c>
      <c r="B322" s="3">
        <f>VLOOKUP(A322,[3]TeamRtg!$A$3:$G$367,7,FALSE)</f>
        <v>-1.140342718181008</v>
      </c>
      <c r="C322" s="1">
        <f t="shared" si="4"/>
        <v>311</v>
      </c>
      <c r="D322" s="1">
        <v>313</v>
      </c>
    </row>
    <row r="323" spans="1:4" x14ac:dyDescent="0.2">
      <c r="A323" s="1" t="s">
        <v>322</v>
      </c>
      <c r="B323" s="3">
        <f>VLOOKUP(A323,[3]TeamRtg!$A$3:$G$367,7,FALSE)</f>
        <v>-1.4221941204026345</v>
      </c>
      <c r="C323" s="1">
        <f t="shared" ref="C323:C366" si="5">RANK(B323,$B$2:$B$366)</f>
        <v>333</v>
      </c>
      <c r="D323" s="1">
        <v>330</v>
      </c>
    </row>
    <row r="324" spans="1:4" x14ac:dyDescent="0.2">
      <c r="A324" s="1" t="s">
        <v>323</v>
      </c>
      <c r="B324" s="3">
        <f>VLOOKUP(A324,[3]TeamRtg!$A$3:$G$367,7,FALSE)</f>
        <v>-1.3395981580590053</v>
      </c>
      <c r="C324" s="1">
        <f t="shared" si="5"/>
        <v>326</v>
      </c>
      <c r="D324" s="1">
        <v>325</v>
      </c>
    </row>
    <row r="325" spans="1:4" x14ac:dyDescent="0.2">
      <c r="A325" s="1" t="s">
        <v>324</v>
      </c>
      <c r="B325" s="3">
        <f>VLOOKUP(A325,[3]TeamRtg!$A$3:$G$367,7,FALSE)</f>
        <v>-1.2786418147062397</v>
      </c>
      <c r="C325" s="1">
        <f t="shared" si="5"/>
        <v>323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-1.2517180289562946</v>
      </c>
      <c r="C326" s="1">
        <f t="shared" si="5"/>
        <v>321</v>
      </c>
      <c r="D326" s="1">
        <v>326</v>
      </c>
    </row>
    <row r="327" spans="1:4" x14ac:dyDescent="0.2">
      <c r="A327" s="1" t="s">
        <v>326</v>
      </c>
      <c r="B327" s="3">
        <f>VLOOKUP(A327,[3]TeamRtg!$A$3:$G$367,7,FALSE)</f>
        <v>-1.2949392373837925</v>
      </c>
      <c r="C327" s="1">
        <f t="shared" si="5"/>
        <v>324</v>
      </c>
      <c r="D327" s="1">
        <v>323</v>
      </c>
    </row>
    <row r="328" spans="1:4" x14ac:dyDescent="0.2">
      <c r="A328" s="1" t="s">
        <v>327</v>
      </c>
      <c r="B328" s="3">
        <f>VLOOKUP(A328,[3]TeamRtg!$A$3:$G$367,7,FALSE)</f>
        <v>-1.3905299536615858</v>
      </c>
      <c r="C328" s="1">
        <f t="shared" si="5"/>
        <v>330</v>
      </c>
      <c r="D328" s="1">
        <v>329</v>
      </c>
    </row>
    <row r="329" spans="1:4" x14ac:dyDescent="0.2">
      <c r="A329" s="1" t="s">
        <v>328</v>
      </c>
      <c r="B329" s="3">
        <f>VLOOKUP(A329,[3]TeamRtg!$A$3:$G$367,7,FALSE)</f>
        <v>-1.2090244399959735</v>
      </c>
      <c r="C329" s="1">
        <f t="shared" si="5"/>
        <v>318</v>
      </c>
      <c r="D329" s="1">
        <v>322</v>
      </c>
    </row>
    <row r="330" spans="1:4" x14ac:dyDescent="0.2">
      <c r="A330" s="1" t="s">
        <v>329</v>
      </c>
      <c r="B330" s="3">
        <f>VLOOKUP(A330,[3]TeamRtg!$A$3:$G$367,7,FALSE)</f>
        <v>-1.3652659374248222</v>
      </c>
      <c r="C330" s="1">
        <f t="shared" si="5"/>
        <v>327</v>
      </c>
      <c r="D330" s="1">
        <v>328</v>
      </c>
    </row>
    <row r="331" spans="1:4" x14ac:dyDescent="0.2">
      <c r="A331" s="1" t="s">
        <v>330</v>
      </c>
      <c r="B331" s="3">
        <f>VLOOKUP(A331,[3]TeamRtg!$A$3:$G$367,7,FALSE)</f>
        <v>-1.4944117977791533</v>
      </c>
      <c r="C331" s="1">
        <f t="shared" si="5"/>
        <v>340</v>
      </c>
      <c r="D331" s="1">
        <v>331</v>
      </c>
    </row>
    <row r="332" spans="1:4" x14ac:dyDescent="0.2">
      <c r="A332" s="1" t="s">
        <v>331</v>
      </c>
      <c r="B332" s="3">
        <f>VLOOKUP(A332,[3]TeamRtg!$A$3:$G$367,7,FALSE)</f>
        <v>-1.3657415817689351</v>
      </c>
      <c r="C332" s="1">
        <f t="shared" si="5"/>
        <v>328</v>
      </c>
      <c r="D332" s="1">
        <v>327</v>
      </c>
    </row>
    <row r="333" spans="1:4" x14ac:dyDescent="0.2">
      <c r="A333" s="1" t="s">
        <v>332</v>
      </c>
      <c r="B333" s="3">
        <f>VLOOKUP(A333,[3]TeamRtg!$A$3:$G$367,7,FALSE)</f>
        <v>-1.5368030299402002</v>
      </c>
      <c r="C333" s="1">
        <f t="shared" si="5"/>
        <v>343</v>
      </c>
      <c r="D333" s="1">
        <v>336</v>
      </c>
    </row>
    <row r="334" spans="1:4" x14ac:dyDescent="0.2">
      <c r="A334" s="1" t="s">
        <v>333</v>
      </c>
      <c r="B334" s="3">
        <f>VLOOKUP(A334,[3]TeamRtg!$A$3:$G$367,7,FALSE)</f>
        <v>-1.3842170985485931</v>
      </c>
      <c r="C334" s="1">
        <f t="shared" si="5"/>
        <v>329</v>
      </c>
      <c r="D334" s="1">
        <v>332</v>
      </c>
    </row>
    <row r="335" spans="1:4" x14ac:dyDescent="0.2">
      <c r="A335" s="1" t="s">
        <v>334</v>
      </c>
      <c r="B335" s="3">
        <f>VLOOKUP(A335,[3]TeamRtg!$A$3:$G$367,7,FALSE)</f>
        <v>-1.4178030121421465</v>
      </c>
      <c r="C335" s="1">
        <f t="shared" si="5"/>
        <v>332</v>
      </c>
      <c r="D335" s="1">
        <v>333</v>
      </c>
    </row>
    <row r="336" spans="1:4" x14ac:dyDescent="0.2">
      <c r="A336" s="1" t="s">
        <v>335</v>
      </c>
      <c r="B336" s="3">
        <f>VLOOKUP(A336,[3]TeamRtg!$A$3:$G$367,7,FALSE)</f>
        <v>-1.5499860443827158</v>
      </c>
      <c r="C336" s="1">
        <f t="shared" si="5"/>
        <v>344</v>
      </c>
      <c r="D336" s="1">
        <v>341</v>
      </c>
    </row>
    <row r="337" spans="1:4" x14ac:dyDescent="0.2">
      <c r="A337" s="1" t="s">
        <v>336</v>
      </c>
      <c r="B337" s="3">
        <f>VLOOKUP(A337,[3]TeamRtg!$A$3:$G$367,7,FALSE)</f>
        <v>-1.5350445929420353</v>
      </c>
      <c r="C337" s="1">
        <f t="shared" si="5"/>
        <v>342</v>
      </c>
      <c r="D337" s="1">
        <v>335</v>
      </c>
    </row>
    <row r="338" spans="1:4" x14ac:dyDescent="0.2">
      <c r="A338" s="1" t="s">
        <v>337</v>
      </c>
      <c r="B338" s="3">
        <f>VLOOKUP(A338,[3]TeamRtg!$A$3:$G$367,7,FALSE)</f>
        <v>-1.4431257090593632</v>
      </c>
      <c r="C338" s="1">
        <f t="shared" si="5"/>
        <v>334</v>
      </c>
      <c r="D338" s="1">
        <v>334</v>
      </c>
    </row>
    <row r="339" spans="1:4" x14ac:dyDescent="0.2">
      <c r="A339" s="1" t="s">
        <v>338</v>
      </c>
      <c r="B339" s="3">
        <f>VLOOKUP(A339,[3]TeamRtg!$A$3:$G$367,7,FALSE)</f>
        <v>-1.4722874066145455</v>
      </c>
      <c r="C339" s="1">
        <f t="shared" si="5"/>
        <v>337</v>
      </c>
      <c r="D339" s="1">
        <v>339</v>
      </c>
    </row>
    <row r="340" spans="1:4" x14ac:dyDescent="0.2">
      <c r="A340" s="1" t="s">
        <v>339</v>
      </c>
      <c r="B340" s="3">
        <f>VLOOKUP(A340,[3]TeamRtg!$A$3:$G$367,7,FALSE)</f>
        <v>-1.5713405438288117</v>
      </c>
      <c r="C340" s="1">
        <f t="shared" si="5"/>
        <v>345</v>
      </c>
      <c r="D340" s="1">
        <v>337</v>
      </c>
    </row>
    <row r="341" spans="1:4" x14ac:dyDescent="0.2">
      <c r="A341" s="1" t="s">
        <v>340</v>
      </c>
      <c r="B341" s="3">
        <f>VLOOKUP(A341,[3]TeamRtg!$A$3:$G$367,7,FALSE)</f>
        <v>-1.4699679456231247</v>
      </c>
      <c r="C341" s="1">
        <f t="shared" si="5"/>
        <v>336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-1.4118484457158085</v>
      </c>
      <c r="C342" s="1">
        <f t="shared" si="5"/>
        <v>331</v>
      </c>
      <c r="D342" s="1">
        <v>338</v>
      </c>
    </row>
    <row r="343" spans="1:4" x14ac:dyDescent="0.2">
      <c r="A343" s="1" t="s">
        <v>342</v>
      </c>
      <c r="B343" s="3">
        <f>VLOOKUP(A343,[3]TeamRtg!$A$3:$G$367,7,FALSE)</f>
        <v>-1.4450141490054567</v>
      </c>
      <c r="C343" s="1">
        <f t="shared" si="5"/>
        <v>335</v>
      </c>
      <c r="D343" s="1">
        <v>343</v>
      </c>
    </row>
    <row r="344" spans="1:4" x14ac:dyDescent="0.2">
      <c r="A344" s="1" t="s">
        <v>343</v>
      </c>
      <c r="B344" s="3">
        <f>VLOOKUP(A344,[3]TeamRtg!$A$3:$G$367,7,FALSE)</f>
        <v>-1.490092848033352</v>
      </c>
      <c r="C344" s="1">
        <f t="shared" si="5"/>
        <v>339</v>
      </c>
      <c r="D344" s="1">
        <v>342</v>
      </c>
    </row>
    <row r="345" spans="1:4" x14ac:dyDescent="0.2">
      <c r="A345" s="1" t="s">
        <v>344</v>
      </c>
      <c r="B345" s="3">
        <f>VLOOKUP(A345,[3]TeamRtg!$A$3:$G$367,7,FALSE)</f>
        <v>-1.5082021133128605</v>
      </c>
      <c r="C345" s="1">
        <f t="shared" si="5"/>
        <v>341</v>
      </c>
      <c r="D345" s="1">
        <v>345</v>
      </c>
    </row>
    <row r="346" spans="1:4" x14ac:dyDescent="0.2">
      <c r="A346" s="1" t="s">
        <v>345</v>
      </c>
      <c r="B346" s="3">
        <f>VLOOKUP(A346,[3]TeamRtg!$A$3:$G$367,7,FALSE)</f>
        <v>-1.5727700768928783</v>
      </c>
      <c r="C346" s="1">
        <f t="shared" si="5"/>
        <v>346</v>
      </c>
      <c r="D346" s="1">
        <v>346</v>
      </c>
    </row>
    <row r="347" spans="1:4" x14ac:dyDescent="0.2">
      <c r="A347" s="1" t="s">
        <v>346</v>
      </c>
      <c r="B347" s="3">
        <f>VLOOKUP(A347,[3]TeamRtg!$A$3:$G$367,7,FALSE)</f>
        <v>-1.4900716546612731</v>
      </c>
      <c r="C347" s="1">
        <f t="shared" si="5"/>
        <v>338</v>
      </c>
      <c r="D347" s="1">
        <v>344</v>
      </c>
    </row>
    <row r="348" spans="1:4" x14ac:dyDescent="0.2">
      <c r="A348" s="1" t="s">
        <v>347</v>
      </c>
      <c r="B348" s="3">
        <f>VLOOKUP(A348,[3]TeamRtg!$A$3:$G$367,7,FALSE)</f>
        <v>-1.573014525524649</v>
      </c>
      <c r="C348" s="1">
        <f t="shared" si="5"/>
        <v>347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-1.6417481117771751</v>
      </c>
      <c r="C349" s="1">
        <f t="shared" si="5"/>
        <v>348</v>
      </c>
      <c r="D349" s="1">
        <v>349</v>
      </c>
    </row>
    <row r="350" spans="1:4" x14ac:dyDescent="0.2">
      <c r="A350" s="1" t="s">
        <v>349</v>
      </c>
      <c r="B350" s="3">
        <f>VLOOKUP(A350,[3]TeamRtg!$A$3:$G$367,7,FALSE)</f>
        <v>-1.6561328282356698</v>
      </c>
      <c r="C350" s="1">
        <f t="shared" si="5"/>
        <v>350</v>
      </c>
      <c r="D350" s="1">
        <v>348</v>
      </c>
    </row>
    <row r="351" spans="1:4" x14ac:dyDescent="0.2">
      <c r="A351" s="1" t="s">
        <v>350</v>
      </c>
      <c r="B351" s="3">
        <f>VLOOKUP(A351,[3]TeamRtg!$A$3:$G$367,7,FALSE)</f>
        <v>-1.7325136948454389</v>
      </c>
      <c r="C351" s="1">
        <f t="shared" si="5"/>
        <v>352</v>
      </c>
      <c r="D351" s="1">
        <v>351</v>
      </c>
    </row>
    <row r="352" spans="1:4" x14ac:dyDescent="0.2">
      <c r="A352" s="1" t="s">
        <v>351</v>
      </c>
      <c r="B352" s="3">
        <f>VLOOKUP(A352,[3]TeamRtg!$A$3:$G$367,7,FALSE)</f>
        <v>-1.7501361704785552</v>
      </c>
      <c r="C352" s="1">
        <f t="shared" si="5"/>
        <v>353</v>
      </c>
      <c r="D352" s="1">
        <v>353</v>
      </c>
    </row>
    <row r="353" spans="1:4" x14ac:dyDescent="0.2">
      <c r="A353" s="1" t="s">
        <v>352</v>
      </c>
      <c r="B353" s="3">
        <f>VLOOKUP(A353,[3]TeamRtg!$A$3:$G$367,7,FALSE)</f>
        <v>-1.6759691726548958</v>
      </c>
      <c r="C353" s="1">
        <f t="shared" si="5"/>
        <v>351</v>
      </c>
      <c r="D353" s="1">
        <v>352</v>
      </c>
    </row>
    <row r="354" spans="1:4" x14ac:dyDescent="0.2">
      <c r="A354" s="1" t="s">
        <v>353</v>
      </c>
      <c r="B354" s="3">
        <f>VLOOKUP(A354,[3]TeamRtg!$A$3:$G$367,7,FALSE)</f>
        <v>-1.6514720951343829</v>
      </c>
      <c r="C354" s="1">
        <f t="shared" si="5"/>
        <v>349</v>
      </c>
      <c r="D354" s="1">
        <v>350</v>
      </c>
    </row>
    <row r="355" spans="1:4" x14ac:dyDescent="0.2">
      <c r="A355" s="1" t="s">
        <v>354</v>
      </c>
      <c r="B355" s="3">
        <f>VLOOKUP(A355,[3]TeamRtg!$A$3:$G$367,7,FALSE)</f>
        <v>-1.7795955220596993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-1.8022105555974404</v>
      </c>
      <c r="C356" s="1">
        <f t="shared" si="5"/>
        <v>356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-2.0139477078642383</v>
      </c>
      <c r="C357" s="1">
        <f t="shared" si="5"/>
        <v>360</v>
      </c>
      <c r="D357" s="1">
        <v>359</v>
      </c>
    </row>
    <row r="358" spans="1:4" x14ac:dyDescent="0.2">
      <c r="A358" s="1" t="s">
        <v>357</v>
      </c>
      <c r="B358" s="3">
        <f>VLOOKUP(A358,[3]TeamRtg!$A$3:$G$367,7,FALSE)</f>
        <v>-1.8857605535334339</v>
      </c>
      <c r="C358" s="1">
        <f t="shared" si="5"/>
        <v>357</v>
      </c>
      <c r="D358" s="1">
        <v>356</v>
      </c>
    </row>
    <row r="359" spans="1:4" x14ac:dyDescent="0.2">
      <c r="A359" s="1" t="s">
        <v>358</v>
      </c>
      <c r="B359" s="3">
        <f>VLOOKUP(A359,[3]TeamRtg!$A$3:$G$367,7,FALSE)</f>
        <v>-1.9001118454363595</v>
      </c>
      <c r="C359" s="1">
        <f t="shared" si="5"/>
        <v>358</v>
      </c>
      <c r="D359" s="1">
        <v>357</v>
      </c>
    </row>
    <row r="360" spans="1:4" x14ac:dyDescent="0.2">
      <c r="A360" s="1" t="s">
        <v>359</v>
      </c>
      <c r="B360" s="3">
        <f>VLOOKUP(A360,[3]TeamRtg!$A$3:$G$367,7,FALSE)</f>
        <v>-1.7833149783795097</v>
      </c>
      <c r="C360" s="1">
        <f t="shared" si="5"/>
        <v>355</v>
      </c>
      <c r="D360" s="1">
        <v>358</v>
      </c>
    </row>
    <row r="361" spans="1:4" x14ac:dyDescent="0.2">
      <c r="A361" s="1" t="s">
        <v>360</v>
      </c>
      <c r="B361" s="3">
        <f>VLOOKUP(A361,[3]TeamRtg!$A$3:$G$367,7,FALSE)</f>
        <v>-1.9873846775500879</v>
      </c>
      <c r="C361" s="1">
        <f t="shared" si="5"/>
        <v>359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-2.2286694300083734</v>
      </c>
      <c r="C362" s="1">
        <f t="shared" si="5"/>
        <v>362</v>
      </c>
      <c r="D362" s="1">
        <v>363</v>
      </c>
    </row>
    <row r="363" spans="1:4" x14ac:dyDescent="0.2">
      <c r="A363" s="1" t="s">
        <v>362</v>
      </c>
      <c r="B363" s="3">
        <f>VLOOKUP(A363,[3]TeamRtg!$A$3:$G$367,7,FALSE)</f>
        <v>-2.2058346108390943</v>
      </c>
      <c r="C363" s="1">
        <f t="shared" si="5"/>
        <v>361</v>
      </c>
      <c r="D363" s="1">
        <v>361</v>
      </c>
    </row>
    <row r="364" spans="1:4" x14ac:dyDescent="0.2">
      <c r="A364" s="1" t="s">
        <v>363</v>
      </c>
      <c r="B364" s="3">
        <f>VLOOKUP(A364,[3]TeamRtg!$A$3:$G$367,7,FALSE)</f>
        <v>-2.2430180179076911</v>
      </c>
      <c r="C364" s="1">
        <f t="shared" si="5"/>
        <v>363</v>
      </c>
      <c r="D364" s="1">
        <v>364</v>
      </c>
    </row>
    <row r="365" spans="1:4" x14ac:dyDescent="0.2">
      <c r="A365" s="1" t="s">
        <v>364</v>
      </c>
      <c r="B365" s="3">
        <f>VLOOKUP(A365,[3]TeamRtg!$A$3:$G$367,7,FALSE)</f>
        <v>-2.24964937721492</v>
      </c>
      <c r="C365" s="1">
        <f t="shared" si="5"/>
        <v>364</v>
      </c>
      <c r="D365" s="1">
        <v>362</v>
      </c>
    </row>
    <row r="366" spans="1:4" x14ac:dyDescent="0.2">
      <c r="A366" s="1" t="s">
        <v>365</v>
      </c>
      <c r="B366" s="3">
        <f>VLOOKUP(A366,[3]TeamRtg!$A$3:$G$367,7,FALSE)</f>
        <v>-2.6235220396516876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activeCell="F16" sqref="F16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2</v>
      </c>
      <c r="B2">
        <v>1</v>
      </c>
      <c r="C2">
        <v>1</v>
      </c>
      <c r="D2">
        <v>1</v>
      </c>
      <c r="E2">
        <v>1</v>
      </c>
      <c r="F2">
        <v>0.52110000000000001</v>
      </c>
      <c r="G2">
        <v>0.32505000000000001</v>
      </c>
      <c r="H2" t="s">
        <v>383</v>
      </c>
      <c r="I2">
        <v>1</v>
      </c>
      <c r="J2">
        <v>23.698276332727119</v>
      </c>
    </row>
    <row r="3" spans="1:10" x14ac:dyDescent="0.2">
      <c r="A3" t="s">
        <v>3</v>
      </c>
      <c r="B3">
        <v>1</v>
      </c>
      <c r="C3">
        <v>1</v>
      </c>
      <c r="D3">
        <v>1</v>
      </c>
      <c r="E3">
        <v>1</v>
      </c>
      <c r="F3">
        <v>0.47889999999999999</v>
      </c>
      <c r="G3">
        <v>0.28754999999999997</v>
      </c>
      <c r="H3" t="s">
        <v>382</v>
      </c>
      <c r="I3">
        <v>1</v>
      </c>
      <c r="J3">
        <v>23.168628302235671</v>
      </c>
    </row>
    <row r="4" spans="1:10" x14ac:dyDescent="0.2">
      <c r="A4" t="s">
        <v>13</v>
      </c>
      <c r="B4">
        <v>1</v>
      </c>
      <c r="C4">
        <v>1</v>
      </c>
      <c r="D4">
        <v>1</v>
      </c>
      <c r="E4">
        <v>1</v>
      </c>
      <c r="F4">
        <v>0.58645000000000003</v>
      </c>
      <c r="G4">
        <v>0.21340000000000001</v>
      </c>
      <c r="H4" t="s">
        <v>385</v>
      </c>
      <c r="I4">
        <v>3</v>
      </c>
      <c r="J4">
        <v>18.836157720404749</v>
      </c>
    </row>
    <row r="5" spans="1:10" x14ac:dyDescent="0.2">
      <c r="A5" t="s">
        <v>386</v>
      </c>
      <c r="B5">
        <v>1</v>
      </c>
      <c r="C5">
        <v>1</v>
      </c>
      <c r="D5">
        <v>1</v>
      </c>
      <c r="E5">
        <v>1</v>
      </c>
      <c r="F5">
        <v>0.41354999999999997</v>
      </c>
      <c r="G5">
        <v>0.17399999999999993</v>
      </c>
      <c r="H5" t="s">
        <v>384</v>
      </c>
      <c r="I5">
        <v>2</v>
      </c>
      <c r="J5">
        <v>18.116591097400342</v>
      </c>
    </row>
    <row r="6" spans="1:10" x14ac:dyDescent="0.2">
      <c r="A6" t="s">
        <v>58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 t="s">
        <v>382</v>
      </c>
      <c r="I6">
        <v>12</v>
      </c>
      <c r="J6">
        <v>10.607575381157361</v>
      </c>
    </row>
    <row r="7" spans="1:10" x14ac:dyDescent="0.2">
      <c r="A7" t="s">
        <v>12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 t="s">
        <v>382</v>
      </c>
      <c r="I7">
        <v>4</v>
      </c>
      <c r="J7">
        <v>19.656169100501039</v>
      </c>
    </row>
    <row r="8" spans="1:10" x14ac:dyDescent="0.2">
      <c r="A8" t="s">
        <v>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 t="s">
        <v>383</v>
      </c>
      <c r="I8">
        <v>4</v>
      </c>
      <c r="J8">
        <v>19.912380875616751</v>
      </c>
    </row>
    <row r="9" spans="1:10" x14ac:dyDescent="0.2">
      <c r="A9" t="s">
        <v>22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 t="s">
        <v>383</v>
      </c>
      <c r="I9">
        <v>6</v>
      </c>
      <c r="J9">
        <v>16.968495718532171</v>
      </c>
    </row>
    <row r="10" spans="1:10" x14ac:dyDescent="0.2">
      <c r="A10" t="s">
        <v>132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 t="s">
        <v>384</v>
      </c>
      <c r="I10">
        <v>13</v>
      </c>
      <c r="J10">
        <v>4.7044196436570411</v>
      </c>
    </row>
    <row r="11" spans="1:10" x14ac:dyDescent="0.2">
      <c r="A11" t="s">
        <v>56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 t="s">
        <v>385</v>
      </c>
      <c r="I11">
        <v>8</v>
      </c>
      <c r="J11">
        <v>11.029310509440901</v>
      </c>
    </row>
    <row r="12" spans="1:10" x14ac:dyDescent="0.2">
      <c r="A12" t="s">
        <v>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 t="s">
        <v>384</v>
      </c>
      <c r="I12">
        <v>1</v>
      </c>
      <c r="J12">
        <v>23.057528028184478</v>
      </c>
    </row>
    <row r="13" spans="1:10" x14ac:dyDescent="0.2">
      <c r="A13" t="s">
        <v>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 t="s">
        <v>385</v>
      </c>
      <c r="I13">
        <v>1</v>
      </c>
      <c r="J13">
        <v>22.660012020194909</v>
      </c>
    </row>
    <row r="14" spans="1:10" x14ac:dyDescent="0.2">
      <c r="A14" t="s">
        <v>206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 t="s">
        <v>384</v>
      </c>
      <c r="I14">
        <v>15</v>
      </c>
      <c r="J14">
        <v>0.21312405184055919</v>
      </c>
    </row>
    <row r="15" spans="1:10" x14ac:dyDescent="0.2">
      <c r="A15" t="s">
        <v>29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 t="s">
        <v>382</v>
      </c>
      <c r="I15">
        <v>8</v>
      </c>
      <c r="J15">
        <v>14.1383998729836</v>
      </c>
    </row>
    <row r="16" spans="1:10" x14ac:dyDescent="0.2">
      <c r="A16" t="s">
        <v>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 t="s">
        <v>383</v>
      </c>
      <c r="I16">
        <v>3</v>
      </c>
      <c r="J16">
        <v>20.97083468579552</v>
      </c>
    </row>
    <row r="17" spans="1:10" x14ac:dyDescent="0.2">
      <c r="A17" t="s">
        <v>154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 t="s">
        <v>383</v>
      </c>
      <c r="I17">
        <v>13</v>
      </c>
      <c r="J17">
        <v>2.6083148574060759</v>
      </c>
    </row>
    <row r="18" spans="1:10" x14ac:dyDescent="0.2">
      <c r="A18" t="s">
        <v>60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 t="s">
        <v>383</v>
      </c>
      <c r="I18">
        <v>12</v>
      </c>
      <c r="J18">
        <v>9.7941357758882948</v>
      </c>
    </row>
    <row r="19" spans="1:10" x14ac:dyDescent="0.2">
      <c r="A19" t="s">
        <v>182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 t="s">
        <v>382</v>
      </c>
      <c r="I19">
        <v>13</v>
      </c>
      <c r="J19">
        <v>2.1310612455384579</v>
      </c>
    </row>
    <row r="20" spans="1:10" x14ac:dyDescent="0.2">
      <c r="A20" t="s">
        <v>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 t="s">
        <v>385</v>
      </c>
      <c r="I20">
        <v>2</v>
      </c>
      <c r="J20">
        <v>20.908506008479328</v>
      </c>
    </row>
    <row r="21" spans="1:10" x14ac:dyDescent="0.2">
      <c r="A21" t="s">
        <v>293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 t="s">
        <v>382</v>
      </c>
      <c r="I21">
        <v>16</v>
      </c>
      <c r="J21">
        <v>-7.2185591209035449</v>
      </c>
    </row>
    <row r="22" spans="1:10" x14ac:dyDescent="0.2">
      <c r="A22" t="s">
        <v>139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 t="s">
        <v>385</v>
      </c>
      <c r="I22">
        <v>15</v>
      </c>
      <c r="J22">
        <v>3.942693201935243</v>
      </c>
    </row>
    <row r="23" spans="1:10" x14ac:dyDescent="0.2">
      <c r="A23" t="s">
        <v>28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 t="s">
        <v>385</v>
      </c>
      <c r="I23">
        <v>9</v>
      </c>
      <c r="J23">
        <v>15.53395662020711</v>
      </c>
    </row>
    <row r="24" spans="1:10" x14ac:dyDescent="0.2">
      <c r="A24" t="s">
        <v>14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 t="s">
        <v>382</v>
      </c>
      <c r="I24">
        <v>2</v>
      </c>
      <c r="J24">
        <v>20.65655264831895</v>
      </c>
    </row>
    <row r="25" spans="1:10" x14ac:dyDescent="0.2">
      <c r="A25" t="s">
        <v>20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 t="s">
        <v>384</v>
      </c>
      <c r="I25">
        <v>4</v>
      </c>
      <c r="J25">
        <v>16.816980413993029</v>
      </c>
    </row>
    <row r="26" spans="1:10" x14ac:dyDescent="0.2">
      <c r="A26" t="s">
        <v>92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 t="s">
        <v>383</v>
      </c>
      <c r="I26">
        <v>14</v>
      </c>
      <c r="J26">
        <v>6.970747918389864</v>
      </c>
    </row>
    <row r="27" spans="1:10" x14ac:dyDescent="0.2">
      <c r="A27" t="s">
        <v>17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 t="s">
        <v>382</v>
      </c>
      <c r="I27">
        <v>7</v>
      </c>
      <c r="J27">
        <v>18.061704750271812</v>
      </c>
    </row>
    <row r="28" spans="1:10" x14ac:dyDescent="0.2">
      <c r="A28" t="s">
        <v>275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 t="s">
        <v>383</v>
      </c>
      <c r="I28">
        <v>16</v>
      </c>
      <c r="J28">
        <v>-5.3135212359347586</v>
      </c>
    </row>
    <row r="29" spans="1:10" x14ac:dyDescent="0.2">
      <c r="A29" t="s">
        <v>18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 t="s">
        <v>384</v>
      </c>
      <c r="I29">
        <v>6</v>
      </c>
      <c r="J29">
        <v>16.63084451378386</v>
      </c>
    </row>
    <row r="30" spans="1:10" x14ac:dyDescent="0.2">
      <c r="A30" t="s">
        <v>89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 t="s">
        <v>385</v>
      </c>
      <c r="I30">
        <v>12</v>
      </c>
      <c r="J30">
        <v>7.3588143041314016</v>
      </c>
    </row>
    <row r="31" spans="1:10" x14ac:dyDescent="0.2">
      <c r="A31" t="s">
        <v>53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 t="s">
        <v>383</v>
      </c>
      <c r="I31">
        <v>7</v>
      </c>
      <c r="J31">
        <v>12.241609973382021</v>
      </c>
    </row>
    <row r="32" spans="1:10" x14ac:dyDescent="0.2">
      <c r="A32" t="s">
        <v>78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 t="s">
        <v>382</v>
      </c>
      <c r="I32">
        <v>11</v>
      </c>
      <c r="J32">
        <v>7.7373456911862846</v>
      </c>
    </row>
    <row r="33" spans="1:10" x14ac:dyDescent="0.2">
      <c r="A33" t="s">
        <v>9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 t="s">
        <v>384</v>
      </c>
      <c r="I33">
        <v>3</v>
      </c>
      <c r="J33">
        <v>19.99120546697802</v>
      </c>
    </row>
    <row r="34" spans="1:10" x14ac:dyDescent="0.2">
      <c r="A34" t="s">
        <v>50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 t="s">
        <v>383</v>
      </c>
      <c r="I34">
        <v>10</v>
      </c>
      <c r="J34">
        <v>11.96195079214662</v>
      </c>
    </row>
    <row r="35" spans="1:10" x14ac:dyDescent="0.2">
      <c r="A35" t="s">
        <v>24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 t="s">
        <v>385</v>
      </c>
      <c r="I35">
        <v>4</v>
      </c>
      <c r="J35">
        <v>15.83213015954283</v>
      </c>
    </row>
    <row r="36" spans="1:10" x14ac:dyDescent="0.2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 t="s">
        <v>385</v>
      </c>
      <c r="I36">
        <v>6</v>
      </c>
      <c r="J36">
        <v>13.97752668447534</v>
      </c>
    </row>
    <row r="37" spans="1:10" x14ac:dyDescent="0.2">
      <c r="A37" t="s">
        <v>138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 t="s">
        <v>384</v>
      </c>
      <c r="I37">
        <v>14</v>
      </c>
      <c r="J37">
        <v>3.8798755560939222</v>
      </c>
    </row>
    <row r="38" spans="1:10" x14ac:dyDescent="0.2">
      <c r="A38" t="s">
        <v>77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 t="s">
        <v>384</v>
      </c>
      <c r="I38">
        <v>12</v>
      </c>
      <c r="J38">
        <v>9.0872035902891817</v>
      </c>
    </row>
    <row r="39" spans="1:10" x14ac:dyDescent="0.2">
      <c r="A39" t="s">
        <v>33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 t="s">
        <v>384</v>
      </c>
      <c r="I39">
        <v>8</v>
      </c>
      <c r="J39">
        <v>14.73771853734006</v>
      </c>
    </row>
    <row r="40" spans="1:10" x14ac:dyDescent="0.2">
      <c r="A40" t="s">
        <v>221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 t="s">
        <v>385</v>
      </c>
      <c r="I40">
        <v>14</v>
      </c>
      <c r="J40">
        <v>-0.36300712066444207</v>
      </c>
    </row>
    <row r="41" spans="1:10" x14ac:dyDescent="0.2">
      <c r="A41" t="s">
        <v>319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 t="s">
        <v>385</v>
      </c>
      <c r="I41">
        <v>16</v>
      </c>
      <c r="J41">
        <v>-11.44814822660846</v>
      </c>
    </row>
    <row r="42" spans="1:10" x14ac:dyDescent="0.2">
      <c r="A42" t="s">
        <v>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 t="s">
        <v>383</v>
      </c>
      <c r="I42">
        <v>2</v>
      </c>
      <c r="J42">
        <v>20.95234284206305</v>
      </c>
    </row>
    <row r="43" spans="1:10" x14ac:dyDescent="0.2">
      <c r="A43" t="s">
        <v>235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 t="s">
        <v>383</v>
      </c>
      <c r="I43">
        <v>15</v>
      </c>
      <c r="J43">
        <v>-2.423138952361608</v>
      </c>
    </row>
    <row r="44" spans="1:10" x14ac:dyDescent="0.2">
      <c r="A44" t="s">
        <v>38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 t="s">
        <v>382</v>
      </c>
      <c r="I44">
        <v>9</v>
      </c>
      <c r="J44">
        <v>12.90381283391684</v>
      </c>
    </row>
    <row r="45" spans="1:10" x14ac:dyDescent="0.2">
      <c r="A45" t="s">
        <v>31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 t="s">
        <v>385</v>
      </c>
      <c r="I45">
        <v>7</v>
      </c>
      <c r="J45">
        <v>15.029836879013709</v>
      </c>
    </row>
    <row r="46" spans="1:10" x14ac:dyDescent="0.2">
      <c r="A46" t="s">
        <v>27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 t="s">
        <v>382</v>
      </c>
      <c r="I46">
        <v>10</v>
      </c>
      <c r="J46">
        <v>15.748134392962729</v>
      </c>
    </row>
    <row r="47" spans="1:10" x14ac:dyDescent="0.2">
      <c r="A47" t="s">
        <v>316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 t="s">
        <v>384</v>
      </c>
      <c r="I47">
        <v>16</v>
      </c>
      <c r="J47">
        <v>-9.5097540407855199</v>
      </c>
    </row>
    <row r="48" spans="1:10" x14ac:dyDescent="0.2">
      <c r="A48" t="s">
        <v>55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 t="s">
        <v>384</v>
      </c>
      <c r="I48">
        <v>11</v>
      </c>
      <c r="J48">
        <v>10.63039633378199</v>
      </c>
    </row>
    <row r="49" spans="1:10" x14ac:dyDescent="0.2">
      <c r="A49" t="s">
        <v>30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 t="s">
        <v>384</v>
      </c>
      <c r="I49">
        <v>5</v>
      </c>
      <c r="J49">
        <v>15.127354829706849</v>
      </c>
    </row>
    <row r="50" spans="1:10" x14ac:dyDescent="0.2">
      <c r="A50" t="s">
        <v>46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 t="s">
        <v>384</v>
      </c>
      <c r="I50">
        <v>9</v>
      </c>
      <c r="J50">
        <v>12.689579175374289</v>
      </c>
    </row>
    <row r="51" spans="1:10" x14ac:dyDescent="0.2">
      <c r="A51" t="s">
        <v>10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 t="s">
        <v>382</v>
      </c>
      <c r="I51">
        <v>6</v>
      </c>
      <c r="J51">
        <v>20.60232878669483</v>
      </c>
    </row>
    <row r="52" spans="1:10" x14ac:dyDescent="0.2">
      <c r="A52" t="s">
        <v>186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 t="s">
        <v>382</v>
      </c>
      <c r="I52">
        <v>15</v>
      </c>
      <c r="J52">
        <v>1.2683199118622079</v>
      </c>
    </row>
    <row r="53" spans="1:10" x14ac:dyDescent="0.2">
      <c r="A53" t="s">
        <v>25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 t="s">
        <v>383</v>
      </c>
      <c r="I53">
        <v>11</v>
      </c>
      <c r="J53">
        <v>14.540908746576729</v>
      </c>
    </row>
    <row r="54" spans="1:10" x14ac:dyDescent="0.2">
      <c r="A54" t="s">
        <v>37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 t="s">
        <v>385</v>
      </c>
      <c r="I54">
        <v>10</v>
      </c>
      <c r="J54">
        <v>13.356192913880911</v>
      </c>
    </row>
    <row r="55" spans="1:10" x14ac:dyDescent="0.2">
      <c r="A55" t="s">
        <v>11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 t="s">
        <v>382</v>
      </c>
      <c r="I55">
        <v>5</v>
      </c>
      <c r="J55">
        <v>17.0702498636938</v>
      </c>
    </row>
    <row r="56" spans="1:10" x14ac:dyDescent="0.2">
      <c r="A56" t="s">
        <v>179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 t="s">
        <v>385</v>
      </c>
      <c r="I56">
        <v>13</v>
      </c>
      <c r="J56">
        <v>1.3275629744540129</v>
      </c>
    </row>
    <row r="57" spans="1:10" x14ac:dyDescent="0.2">
      <c r="A57" t="s">
        <v>43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 t="s">
        <v>384</v>
      </c>
      <c r="I57">
        <v>10</v>
      </c>
      <c r="J57">
        <v>12.789403074251901</v>
      </c>
    </row>
    <row r="58" spans="1:10" x14ac:dyDescent="0.2">
      <c r="A58" t="s">
        <v>23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 t="s">
        <v>384</v>
      </c>
      <c r="I58">
        <v>7</v>
      </c>
      <c r="J58">
        <v>15.9543796000304</v>
      </c>
    </row>
    <row r="59" spans="1:10" x14ac:dyDescent="0.2">
      <c r="A59" t="s">
        <v>21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 t="s">
        <v>383</v>
      </c>
      <c r="I59">
        <v>9</v>
      </c>
      <c r="J59">
        <v>16.302758515786241</v>
      </c>
    </row>
    <row r="60" spans="1:10" x14ac:dyDescent="0.2">
      <c r="A60" t="s">
        <v>63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 t="s">
        <v>385</v>
      </c>
      <c r="I60">
        <v>11</v>
      </c>
      <c r="J60">
        <v>10.27897449131121</v>
      </c>
    </row>
    <row r="61" spans="1:10" x14ac:dyDescent="0.2">
      <c r="A61" t="s">
        <v>15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 t="s">
        <v>385</v>
      </c>
      <c r="I61">
        <v>5</v>
      </c>
      <c r="J61">
        <v>19.34915077848537</v>
      </c>
    </row>
    <row r="62" spans="1:10" x14ac:dyDescent="0.2">
      <c r="A62" t="s">
        <v>44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 t="s">
        <v>383</v>
      </c>
      <c r="I62">
        <v>8</v>
      </c>
      <c r="J62">
        <v>11.84309439202905</v>
      </c>
    </row>
    <row r="63" spans="1:10" x14ac:dyDescent="0.2">
      <c r="A63" t="s">
        <v>40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 t="s">
        <v>382</v>
      </c>
      <c r="I63">
        <v>3</v>
      </c>
      <c r="J63">
        <v>12.899059162147511</v>
      </c>
    </row>
    <row r="64" spans="1:10" x14ac:dyDescent="0.2">
      <c r="A64" t="s">
        <v>26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 t="s">
        <v>383</v>
      </c>
      <c r="I64">
        <v>5</v>
      </c>
      <c r="J64">
        <v>16.165764580511631</v>
      </c>
    </row>
    <row r="65" spans="1:10" x14ac:dyDescent="0.2">
      <c r="A65" t="s">
        <v>160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 t="s">
        <v>382</v>
      </c>
      <c r="I65">
        <v>14</v>
      </c>
      <c r="J65">
        <v>3.093516573216617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2026-04-15T05:14:38Z</dcterms:modified>
</cp:coreProperties>
</file>