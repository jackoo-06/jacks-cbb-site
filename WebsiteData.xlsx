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30E50D93-D2AD-004A-A3BE-FAC4348DB99E}" xr6:coauthVersionLast="47" xr6:coauthVersionMax="47" xr10:uidLastSave="{00000000-0000-0000-0000-000000000000}"/>
  <bookViews>
    <workbookView xWindow="0" yWindow="780" windowWidth="21500" windowHeight="19960" activeTab="2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5" l="1"/>
  <c r="C2" i="4"/>
  <c r="O28" i="4" l="1"/>
  <c r="L28" i="4"/>
  <c r="F28" i="4"/>
  <c r="B28" i="4"/>
  <c r="O27" i="4"/>
  <c r="L27" i="4"/>
  <c r="F27" i="4"/>
  <c r="G27" i="4" s="1"/>
  <c r="B27" i="4"/>
  <c r="G28" i="4" l="1"/>
  <c r="H28" i="4"/>
  <c r="I28" i="4" s="1"/>
  <c r="H27" i="4"/>
  <c r="I27" i="4" s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O24" i="4" l="1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5" i="5"/>
  <c r="K6" i="5"/>
  <c r="K7" i="5"/>
  <c r="K8" i="5"/>
  <c r="K9" i="5"/>
  <c r="K10" i="5"/>
  <c r="K11" i="5"/>
  <c r="K1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339" i="2" l="1"/>
  <c r="C146" i="2"/>
  <c r="C143" i="2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  <c r="E2" i="1" l="1"/>
  <c r="H2" i="1" l="1"/>
  <c r="L2" i="1" s="1"/>
  <c r="I2" i="1"/>
  <c r="G2" i="1"/>
</calcChain>
</file>

<file path=xl/sharedStrings.xml><?xml version="1.0" encoding="utf-8"?>
<sst xmlns="http://schemas.openxmlformats.org/spreadsheetml/2006/main" count="742" uniqueCount="475">
  <si>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</si>
  <si>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</si>
  <si>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</si>
  <si>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</si>
  <si>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</si>
  <si>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</si>
  <si>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</si>
  <si>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</si>
  <si>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</si>
  <si>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</si>
  <si>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</si>
  <si>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</si>
  <si>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</si>
  <si>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</si>
  <si>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</si>
  <si>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</si>
  <si>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</si>
  <si>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</si>
  <si>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</si>
  <si>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</si>
  <si>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</si>
  <si>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</si>
  <si>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</si>
  <si>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</si>
  <si>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</si>
  <si>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</si>
  <si>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</si>
  <si>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</si>
  <si>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</si>
  <si>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</si>
  <si>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</si>
  <si>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</si>
  <si>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</si>
  <si>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</si>
  <si>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</si>
  <si>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</si>
  <si>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</si>
  <si>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</si>
  <si>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</si>
  <si>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</si>
  <si>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</si>
  <si>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</si>
  <si>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</si>
  <si>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</si>
  <si>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</si>
  <si>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</si>
  <si>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</si>
  <si>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</si>
  <si>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</si>
  <si>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</si>
  <si>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</si>
  <si>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</si>
  <si>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</si>
  <si>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</si>
  <si>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</si>
  <si>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</si>
  <si>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</si>
  <si>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</si>
  <si>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</si>
  <si>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</si>
  <si>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</si>
  <si>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</si>
  <si>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</si>
  <si>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</si>
  <si>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</si>
  <si>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</si>
  <si>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</si>
  <si>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</si>
  <si>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</si>
  <si>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</si>
  <si>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</si>
  <si>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</si>
  <si>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</si>
  <si>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</si>
  <si>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</si>
  <si>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</si>
  <si>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</si>
  <si>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</si>
  <si>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</si>
  <si>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</si>
  <si>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</si>
  <si>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</si>
  <si>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</si>
  <si>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</si>
  <si>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</si>
  <si>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</si>
  <si>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</si>
  <si>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</si>
  <si>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</si>
  <si>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</si>
  <si>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</si>
  <si>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</si>
  <si>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</si>
  <si>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</si>
  <si>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</si>
  <si>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</si>
  <si>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</si>
  <si>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</si>
  <si>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</si>
  <si>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</si>
  <si>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</si>
  <si>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</si>
  <si>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</si>
  <si>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</si>
  <si>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</si>
  <si>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</si>
  <si>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</si>
  <si>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</si>
  <si>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</si>
  <si>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</si>
  <si>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</si>
  <si>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</si>
  <si>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</si>
  <si>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</si>
  <si>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</si>
  <si>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</si>
  <si>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</si>
  <si>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</si>
  <si>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</si>
  <si>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</si>
  <si>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</si>
  <si>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</si>
  <si>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</si>
  <si>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</si>
  <si>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</si>
  <si>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</si>
  <si>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</si>
  <si>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</si>
  <si>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</si>
  <si>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</si>
  <si>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</si>
  <si>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</si>
  <si>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</si>
  <si>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</si>
  <si>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</si>
  <si>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</si>
  <si>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</si>
  <si>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</si>
  <si>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</si>
  <si>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</si>
  <si>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</si>
  <si>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</si>
  <si>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</si>
  <si>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</si>
  <si>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</si>
  <si>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</si>
  <si>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</si>
  <si>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</si>
  <si>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</si>
  <si>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</si>
  <si>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</si>
  <si>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</si>
  <si>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</si>
  <si>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</si>
  <si>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</si>
  <si>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</si>
  <si>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</si>
  <si>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</si>
  <si>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</si>
  <si>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</si>
  <si>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</si>
  <si>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</si>
  <si>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</si>
  <si>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</si>
  <si>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</si>
  <si>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</si>
  <si>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</si>
  <si>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</si>
  <si>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</si>
  <si>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</si>
  <si>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</si>
  <si>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</si>
  <si>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</si>
  <si>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</si>
  <si>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</si>
  <si>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</si>
  <si>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</si>
  <si>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</si>
  <si>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</si>
  <si>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</si>
  <si>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</si>
  <si>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</si>
  <si>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</si>
  <si>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</si>
  <si>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</si>
  <si>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</si>
  <si>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</si>
  <si>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</si>
  <si>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</si>
  <si>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</si>
  <si>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</si>
  <si>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</si>
  <si>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</si>
  <si>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</si>
  <si>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</si>
  <si>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</si>
  <si>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</si>
  <si>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</si>
  <si>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</si>
  <si>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</si>
  <si>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</si>
  <si>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</si>
  <si>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</si>
  <si>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</si>
  <si>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</si>
  <si>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</si>
  <si>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</si>
  <si>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</si>
  <si>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</si>
  <si>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</si>
  <si>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</si>
  <si>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</si>
  <si>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</si>
  <si>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</si>
  <si>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</si>
  <si>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</si>
  <si>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</si>
  <si>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</si>
  <si>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</si>
  <si>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</si>
  <si>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</si>
  <si>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</si>
  <si>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</si>
  <si>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</si>
  <si>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</si>
  <si>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</si>
  <si>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</si>
  <si>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</si>
  <si>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</si>
  <si>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</si>
  <si>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</si>
  <si>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</si>
  <si>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</si>
  <si>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</si>
  <si>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</si>
  <si>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</si>
  <si>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</si>
  <si>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</si>
  <si>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</si>
  <si>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</si>
  <si>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</si>
  <si>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</si>
  <si>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</si>
  <si>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</si>
  <si>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</si>
  <si>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</si>
  <si>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</si>
  <si>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</si>
  <si>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</si>
  <si>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</si>
  <si>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</si>
  <si>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</si>
  <si>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</si>
  <si>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</si>
  <si>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</si>
  <si>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</si>
  <si>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</si>
  <si>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</si>
  <si>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</si>
  <si>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</si>
  <si>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</si>
  <si>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</si>
  <si>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</si>
  <si>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</si>
  <si>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</si>
  <si>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</si>
  <si>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</si>
  <si>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</si>
  <si>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</si>
  <si>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</si>
  <si>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</si>
  <si>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</si>
  <si>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</si>
  <si>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</si>
  <si>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</si>
  <si>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</si>
  <si>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</si>
  <si>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</si>
  <si>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</si>
  <si>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</si>
  <si>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</si>
  <si>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</si>
  <si>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</si>
  <si>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</si>
  <si>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</si>
  <si>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</si>
  <si>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</si>
  <si>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</si>
  <si>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</si>
  <si>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</si>
  <si>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</si>
  <si>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</si>
  <si>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</si>
  <si>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</si>
  <si>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</si>
  <si>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</si>
  <si>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</si>
  <si>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</si>
  <si>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</si>
  <si>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</si>
  <si>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</si>
  <si>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</si>
  <si>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</si>
  <si>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</si>
  <si>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</si>
  <si>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</si>
  <si>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</si>
  <si>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</si>
  <si>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</si>
  <si>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</si>
  <si>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</si>
  <si>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</si>
  <si>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</si>
  <si>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</si>
  <si>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</si>
  <si>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</si>
  <si>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</si>
  <si>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</si>
  <si>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</si>
  <si>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</si>
  <si>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</si>
  <si>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</si>
  <si>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</si>
  <si>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</si>
  <si>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</si>
  <si>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</si>
  <si>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</si>
  <si>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</si>
  <si>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</si>
  <si>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</si>
  <si>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</si>
  <si>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</si>
  <si>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</si>
  <si>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</si>
  <si>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</si>
  <si>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</si>
  <si>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</si>
  <si>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</si>
  <si>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</si>
  <si>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</si>
  <si>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</si>
  <si>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</si>
  <si>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</si>
  <si>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</si>
  <si>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</si>
  <si>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</si>
  <si>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</si>
  <si>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</si>
  <si>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</si>
  <si>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</si>
  <si>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</si>
  <si>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</si>
  <si>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</si>
  <si>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</si>
  <si>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</si>
  <si>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</si>
  <si>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</si>
  <si>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</si>
  <si>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</si>
  <si>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</si>
  <si>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</si>
  <si>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</si>
  <si>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</si>
  <si>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</si>
  <si>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</si>
  <si>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</si>
  <si>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</si>
  <si>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</si>
  <si>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</si>
  <si>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</si>
  <si>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</si>
  <si>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</si>
  <si>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</si>
  <si>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</si>
  <si>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</si>
  <si>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</si>
  <si>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</si>
  <si>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</si>
  <si>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</si>
  <si>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</si>
  <si>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</si>
  <si>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</si>
  <si>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</si>
  <si>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</si>
  <si>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</si>
  <si>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</si>
  <si>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</si>
  <si>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</si>
  <si>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</si>
  <si>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</si>
  <si>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</si>
  <si>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</si>
  <si>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</si>
  <si>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</si>
  <si>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</si>
  <si>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</si>
  <si>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</si>
  <si>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</si>
  <si>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</si>
  <si>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</si>
  <si>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</si>
  <si>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</si>
  <si>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</si>
  <si>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</si>
  <si>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</si>
  <si>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</si>
  <si>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</si>
  <si>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</si>
  <si>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</si>
  <si>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</si>
  <si>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</si>
  <si>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</si>
  <si>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</si>
  <si>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</si>
  <si>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</si>
  <si>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</si>
  <si>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</si>
  <si>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</si>
  <si>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</si>
  <si>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</si>
  <si>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</si>
  <si>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</si>
  <si>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</si>
  <si>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</si>
  <si>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</si>
  <si>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</si>
  <si>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</si>
  <si>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</si>
  <si>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</si>
  <si>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</si>
  <si>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</si>
  <si>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</si>
  <si>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</si>
  <si>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</si>
  <si>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</si>
  <si>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</si>
  <si>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</si>
  <si>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</si>
  <si>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</si>
  <si>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</si>
  <si>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</si>
  <si>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</si>
  <si>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</si>
  <si>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</si>
  <si>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East Region Winner</t>
  </si>
  <si>
    <t>Midwest Region Winner</t>
  </si>
  <si>
    <t>Closed</t>
  </si>
  <si>
    <t>Reach Sweet 16 - Yes</t>
  </si>
  <si>
    <t>Reach Sweet 16 - No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</si>
  <si>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</si>
  <si>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</si>
  <si>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</si>
  <si>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</si>
  <si>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</si>
  <si>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</si>
  <si>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</si>
  <si>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</si>
  <si>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</si>
  <si>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</si>
  <si>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</si>
  <si>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</si>
  <si>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</si>
  <si>
    <t>03/27/2026</t>
  </si>
  <si>
    <t>MSU/UCONN</t>
  </si>
  <si>
    <t>TENN/ISU</t>
  </si>
  <si>
    <t>Hedge Tennesse Region Position; lock in 1.47 units</t>
  </si>
  <si>
    <t>Hedged position to lock in 7.5 units</t>
  </si>
  <si>
    <t>2026-27</t>
  </si>
  <si>
    <t>04/11/2026</t>
  </si>
  <si>
    <t>03/15/2026</t>
  </si>
  <si>
    <t>03/16/2026</t>
  </si>
  <si>
    <t>04/15/2026</t>
  </si>
  <si>
    <t>USC</t>
  </si>
  <si>
    <t>04/18/2026</t>
  </si>
  <si>
    <t>04/20/2026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</si>
</sst>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UConn</v>
          </cell>
          <cell r="D2" t="str">
            <v>Michigan</v>
          </cell>
          <cell r="E2">
            <v>-3.9870333483830418</v>
          </cell>
          <cell r="F2" t="b">
            <v>0</v>
          </cell>
          <cell r="G2">
            <v>0.57468333957489515</v>
          </cell>
          <cell r="H2">
            <v>0</v>
          </cell>
          <cell r="I2">
            <v>9.712273918843628E-2</v>
          </cell>
          <cell r="J2">
            <v>5.1676547655618021E-2</v>
          </cell>
          <cell r="K2">
            <v>0</v>
          </cell>
        </row>
        <row r="3">
          <cell r="B3">
            <v>2</v>
          </cell>
          <cell r="C3" t="str">
            <v>Michigan</v>
          </cell>
          <cell r="D3" t="str">
            <v>Uconn</v>
          </cell>
          <cell r="E3">
            <v>9.4138169436454788</v>
          </cell>
          <cell r="F3" t="b">
            <v>0</v>
          </cell>
          <cell r="G3">
            <v>0.55995832643338628</v>
          </cell>
          <cell r="H3">
            <v>0</v>
          </cell>
          <cell r="I3">
            <v>6.901135046373752E-2</v>
          </cell>
          <cell r="J3">
            <v>0.43705408374879218</v>
          </cell>
          <cell r="K3">
            <v>0</v>
          </cell>
        </row>
        <row r="4">
          <cell r="B4">
            <v>3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>
            <v>4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>
            <v>5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>
            <v>6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>
            <v>7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>
            <v>8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>
            <v>9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>
            <v>10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>
            <v>11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12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UConn</v>
          </cell>
          <cell r="C2" t="str">
            <v>Michigan</v>
          </cell>
          <cell r="D2">
            <v>18.116591097400342</v>
          </cell>
          <cell r="E2">
            <v>100.0952772073922</v>
          </cell>
          <cell r="F2">
            <v>94.276311107817818</v>
          </cell>
          <cell r="G2">
            <v>0.55882352941176472</v>
          </cell>
          <cell r="H2">
            <v>66.089696969696973</v>
          </cell>
          <cell r="I2">
            <v>58.727272727272727</v>
          </cell>
          <cell r="J2">
            <v>17.696969696969695</v>
          </cell>
          <cell r="K2">
            <v>11.454545454545455</v>
          </cell>
          <cell r="L2">
            <v>11.030303030303031</v>
          </cell>
          <cell r="M2">
            <v>0</v>
          </cell>
          <cell r="N2">
            <v>23.168628302235671</v>
          </cell>
          <cell r="O2">
            <v>98.200984374253366</v>
          </cell>
          <cell r="P2">
            <v>96.398308125131024</v>
          </cell>
          <cell r="Q2">
            <v>0.58467532467532468</v>
          </cell>
          <cell r="R2">
            <v>71.510000000000005</v>
          </cell>
          <cell r="S2">
            <v>60.15625</v>
          </cell>
          <cell r="T2">
            <v>23.53125</v>
          </cell>
          <cell r="U2">
            <v>11.0625</v>
          </cell>
          <cell r="V2">
            <v>12.0625</v>
          </cell>
          <cell r="W2">
            <v>0</v>
          </cell>
          <cell r="X2">
            <v>7</v>
          </cell>
        </row>
        <row r="3">
          <cell r="A3">
            <v>2</v>
          </cell>
          <cell r="B3" t="str">
            <v>Michigan</v>
          </cell>
          <cell r="C3" t="str">
            <v>Uconn</v>
          </cell>
          <cell r="D3">
            <v>23.168628302235671</v>
          </cell>
          <cell r="E3">
            <v>98.200984374253366</v>
          </cell>
          <cell r="F3">
            <v>96.398308125131024</v>
          </cell>
          <cell r="G3">
            <v>0.58467532467532468</v>
          </cell>
          <cell r="H3">
            <v>71.510000000000005</v>
          </cell>
          <cell r="I3">
            <v>60.15625</v>
          </cell>
          <cell r="J3">
            <v>23.53125</v>
          </cell>
          <cell r="K3">
            <v>11.0625</v>
          </cell>
          <cell r="L3">
            <v>12.0625</v>
          </cell>
          <cell r="M3">
            <v>0</v>
          </cell>
          <cell r="N3">
            <v>18.116591097400342</v>
          </cell>
          <cell r="O3">
            <v>100.0952772073922</v>
          </cell>
          <cell r="P3">
            <v>94.276311107817818</v>
          </cell>
          <cell r="Q3">
            <v>0.55882352941176472</v>
          </cell>
          <cell r="R3">
            <v>66.089696969696973</v>
          </cell>
          <cell r="S3">
            <v>58.727272727272727</v>
          </cell>
          <cell r="T3">
            <v>17.696969696969695</v>
          </cell>
          <cell r="U3">
            <v>11.454545454545455</v>
          </cell>
          <cell r="V3">
            <v>11.030303030303031</v>
          </cell>
          <cell r="W3">
            <v>0</v>
          </cell>
          <cell r="X3">
            <v>-7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workbookViewId="0">
      <selection activeCell="M2" sqref="M2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406</v>
      </c>
      <c r="L1" s="1" t="s">
        <v>387</v>
      </c>
      <c r="M1" s="1" t="s">
        <v>442</v>
      </c>
    </row>
    <row r="2" spans="1:13" x14ac:dyDescent="0.2">
      <c r="A2" s="1">
        <v>1</v>
      </c>
      <c r="B2" s="6" t="str">
        <f>VLOOKUP(A2,[1]Games!$B$2:$K$398,2,FALSE)</f>
        <v>UConn</v>
      </c>
      <c r="C2" s="6" t="str">
        <f>VLOOKUP(A2,[1]Games!$B$2:$K$398,3,FALSE)</f>
        <v>Michigan</v>
      </c>
      <c r="D2" s="6" t="str">
        <f>B2</f>
        <v>UConn</v>
      </c>
      <c r="E2" s="5">
        <f>VLOOKUP(A2,[1]Games!$B$2:$K$398,4,FALSE)</f>
        <v>-3.9870333483830418</v>
      </c>
      <c r="F2" s="5">
        <f>-VLOOKUP(A2,[2]Games!$A$2:$X$282,24,FALSE)</f>
        <v>-7</v>
      </c>
      <c r="G2" s="7">
        <f>VLOOKUP(A2,[1]Games!$B$2:$K$398,9,FALSE)</f>
        <v>5.1676547655618021E-2</v>
      </c>
      <c r="H2" s="7">
        <f>VLOOKUP(A2,[1]Games!$B$2:$K$398,7,FALSE)</f>
        <v>0</v>
      </c>
      <c r="I2" s="7">
        <f>VLOOKUP(A2,[1]Games!$B$2:$K$398,8,FALSE)/4</f>
        <v>2.428068479710907E-2</v>
      </c>
      <c r="J2" s="8" t="s">
        <v>443</v>
      </c>
      <c r="K2" s="5"/>
      <c r="L2" s="9">
        <f>IF(J2="Yes",(H2*1500)/100,0)</f>
        <v>0</v>
      </c>
      <c r="M2" s="1" t="s">
        <v>443</v>
      </c>
    </row>
    <row r="3" spans="1:13" x14ac:dyDescent="0.2">
      <c r="B3" s="6"/>
      <c r="C3" s="6"/>
      <c r="D3" s="6"/>
      <c r="E3" s="5"/>
      <c r="F3" s="5"/>
      <c r="G3" s="7"/>
      <c r="H3" s="7"/>
      <c r="I3" s="7"/>
      <c r="J3" s="8"/>
      <c r="K3" s="5"/>
      <c r="L3" s="9"/>
    </row>
    <row r="4" spans="1:13" x14ac:dyDescent="0.2">
      <c r="B4" s="6"/>
      <c r="C4" s="6"/>
      <c r="D4" s="6"/>
      <c r="E4" s="5"/>
      <c r="F4" s="5"/>
      <c r="G4" s="7"/>
      <c r="H4" s="7"/>
      <c r="I4" s="7"/>
      <c r="J4" s="8"/>
      <c r="K4" s="5"/>
      <c r="L4" s="9"/>
    </row>
    <row r="5" spans="1:13" x14ac:dyDescent="0.2">
      <c r="B5" s="6"/>
      <c r="C5" s="6"/>
      <c r="D5" s="6"/>
      <c r="E5" s="5"/>
      <c r="F5" s="5"/>
      <c r="G5" s="7"/>
      <c r="H5" s="7"/>
      <c r="I5" s="7"/>
      <c r="J5" s="8"/>
      <c r="K5" s="5"/>
      <c r="L5" s="9"/>
    </row>
    <row r="6" spans="1:13" x14ac:dyDescent="0.2">
      <c r="B6" s="6"/>
      <c r="C6" s="6"/>
      <c r="D6" s="6"/>
      <c r="E6" s="5"/>
      <c r="F6" s="5"/>
      <c r="G6" s="7"/>
      <c r="H6" s="7"/>
      <c r="I6" s="7"/>
      <c r="J6" s="8"/>
      <c r="K6" s="5"/>
      <c r="L6" s="9"/>
    </row>
    <row r="7" spans="1:13" x14ac:dyDescent="0.2">
      <c r="B7" s="6"/>
      <c r="C7" s="6"/>
      <c r="D7" s="6"/>
      <c r="E7" s="5"/>
      <c r="F7" s="5"/>
      <c r="G7" s="7"/>
      <c r="H7" s="7"/>
      <c r="I7" s="7"/>
      <c r="J7" s="8"/>
      <c r="K7" s="5"/>
      <c r="L7" s="9"/>
    </row>
    <row r="8" spans="1:13" x14ac:dyDescent="0.2">
      <c r="B8" s="6"/>
      <c r="C8" s="6"/>
      <c r="D8" s="6"/>
      <c r="E8" s="5"/>
      <c r="F8" s="5"/>
      <c r="G8" s="7"/>
      <c r="H8" s="7"/>
      <c r="I8" s="7"/>
      <c r="J8" s="8"/>
      <c r="K8" s="5"/>
      <c r="L8" s="9"/>
    </row>
    <row r="9" spans="1:13" x14ac:dyDescent="0.2">
      <c r="B9" s="6"/>
      <c r="C9" s="6"/>
      <c r="D9" s="6"/>
      <c r="E9" s="5"/>
      <c r="F9" s="5"/>
      <c r="G9" s="7"/>
      <c r="H9" s="7"/>
      <c r="I9" s="7"/>
      <c r="J9" s="8"/>
      <c r="K9" s="5"/>
      <c r="L9" s="9"/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7" sqref="C3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14</v>
      </c>
      <c r="B2" s="1">
        <f>COUNTIF($C$6:$C$150,"L")</f>
        <v>9</v>
      </c>
      <c r="C2" s="12">
        <f>SUM(F6:F28)/SUM(E6:E28)</f>
        <v>0.1354484843874442</v>
      </c>
      <c r="D2" s="13">
        <f>AVERAGE(H6:H150)</f>
        <v>2.1875961833042315E-2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8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449</v>
      </c>
      <c r="B17" s="1">
        <f t="shared" si="4"/>
        <v>12</v>
      </c>
      <c r="C17" s="1" t="s">
        <v>388</v>
      </c>
      <c r="D17" s="1" t="s">
        <v>450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451</v>
      </c>
      <c r="B18" s="1">
        <f t="shared" si="4"/>
        <v>13</v>
      </c>
      <c r="C18" s="1" t="s">
        <v>388</v>
      </c>
      <c r="D18" s="1" t="s">
        <v>454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451</v>
      </c>
      <c r="B19" s="1">
        <f t="shared" si="4"/>
        <v>14</v>
      </c>
      <c r="C19" s="1" t="s">
        <v>389</v>
      </c>
      <c r="D19" s="1" t="s">
        <v>455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451</v>
      </c>
      <c r="B20" s="1">
        <f t="shared" si="4"/>
        <v>15</v>
      </c>
      <c r="C20" s="1" t="s">
        <v>388</v>
      </c>
      <c r="D20" s="1" t="s">
        <v>453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451</v>
      </c>
      <c r="B21" s="1">
        <f t="shared" si="4"/>
        <v>16</v>
      </c>
      <c r="C21" s="1" t="s">
        <v>388</v>
      </c>
      <c r="D21" s="1" t="s">
        <v>452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456</v>
      </c>
      <c r="B22" s="1">
        <f t="shared" si="4"/>
        <v>17</v>
      </c>
      <c r="C22" s="1" t="s">
        <v>388</v>
      </c>
      <c r="D22" s="1" t="s">
        <v>457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456</v>
      </c>
      <c r="B23" s="1">
        <f t="shared" si="4"/>
        <v>18</v>
      </c>
      <c r="C23" s="1" t="s">
        <v>388</v>
      </c>
      <c r="D23" s="1" t="s">
        <v>457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456</v>
      </c>
      <c r="B24" s="1">
        <f t="shared" si="4"/>
        <v>19</v>
      </c>
      <c r="C24" s="1" t="s">
        <v>388</v>
      </c>
      <c r="D24" s="1" t="s">
        <v>458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459</v>
      </c>
      <c r="B25" s="1">
        <f t="shared" si="4"/>
        <v>20</v>
      </c>
      <c r="C25" s="1" t="s">
        <v>388</v>
      </c>
      <c r="D25" s="1" t="s">
        <v>460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415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459</v>
      </c>
      <c r="B26" s="1">
        <f t="shared" si="4"/>
        <v>21</v>
      </c>
      <c r="C26" s="1" t="s">
        <v>388</v>
      </c>
      <c r="D26" s="1" t="s">
        <v>461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415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A27" s="1" t="s">
        <v>462</v>
      </c>
      <c r="B27" s="1">
        <f t="shared" si="4"/>
        <v>22</v>
      </c>
      <c r="C27" s="1" t="s">
        <v>389</v>
      </c>
      <c r="D27" s="1" t="s">
        <v>463</v>
      </c>
      <c r="E27" s="1">
        <v>0.71540000000000004</v>
      </c>
      <c r="F27" s="14">
        <f t="shared" ref="F27" si="39">IF(C27="P",0,IF(C27="L",-E27,IF(K27&lt;0,E27*(100/-K27),E27*(K27/100)))/1)</f>
        <v>-0.71540000000000004</v>
      </c>
      <c r="G27" s="14">
        <f t="shared" ref="G27" si="40">F27+G26</f>
        <v>1.8978673548592437</v>
      </c>
      <c r="H27" s="10">
        <f t="shared" ref="H27" si="41">((M27-P27)*3.55%)+(O27-L27)</f>
        <v>2.2355360815523584E-3</v>
      </c>
      <c r="I27" s="10">
        <f>AVERAGE($H$6:H27)</f>
        <v>2.1054410952090506E-2</v>
      </c>
      <c r="J27" s="1" t="s">
        <v>415</v>
      </c>
      <c r="K27" s="1">
        <v>-111</v>
      </c>
      <c r="L27" s="12">
        <f t="shared" ref="L27" si="42">IF(K27&lt;0,K27/(K27-100),100/(K27+100))</f>
        <v>0.52606635071090047</v>
      </c>
      <c r="M27" s="1">
        <v>2</v>
      </c>
      <c r="N27" s="1">
        <v>-112</v>
      </c>
      <c r="O27" s="12">
        <f t="shared" ref="O27" si="43">IF(N27&lt;0,N27/(N27-100),100/(N27+100))</f>
        <v>0.52830188679245282</v>
      </c>
      <c r="P27" s="1">
        <v>2</v>
      </c>
    </row>
    <row r="28" spans="1:16" x14ac:dyDescent="0.2">
      <c r="A28" s="1" t="s">
        <v>462</v>
      </c>
      <c r="B28" s="1">
        <f t="shared" si="4"/>
        <v>23</v>
      </c>
      <c r="C28" s="1" t="s">
        <v>388</v>
      </c>
      <c r="D28" s="1" t="s">
        <v>464</v>
      </c>
      <c r="E28" s="1">
        <v>0.71289999999999998</v>
      </c>
      <c r="F28" s="14">
        <f t="shared" ref="F28" si="44">IF(C28="P",0,IF(C28="L",-E28,IF(K28&lt;0,E28*(100/-K28),E28*(K28/100)))/1)</f>
        <v>0.64225225225225224</v>
      </c>
      <c r="G28" s="14">
        <f t="shared" ref="G28" si="45">F28+G27</f>
        <v>2.540119607111496</v>
      </c>
      <c r="H28" s="10">
        <f t="shared" ref="H28" si="46">((M28-P28)*3.55%)+(O28-L28)</f>
        <v>3.9950081213982157E-2</v>
      </c>
      <c r="I28" s="10">
        <f>AVERAGE($H$6:H28)</f>
        <v>2.1875961833042315E-2</v>
      </c>
      <c r="J28" s="1" t="s">
        <v>415</v>
      </c>
      <c r="K28" s="1">
        <v>-111</v>
      </c>
      <c r="L28" s="12">
        <f t="shared" ref="L28" si="47">IF(K28&lt;0,K28/(K28-100),100/(K28+100))</f>
        <v>0.52606635071090047</v>
      </c>
      <c r="M28" s="1">
        <v>4</v>
      </c>
      <c r="N28" s="1">
        <v>-113</v>
      </c>
      <c r="O28" s="12">
        <f t="shared" ref="O28" si="48">IF(N28&lt;0,N28/(N28-100),100/(N28+100))</f>
        <v>0.53051643192488263</v>
      </c>
      <c r="P28" s="1">
        <v>3</v>
      </c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7"/>
  <sheetViews>
    <sheetView tabSelected="1" workbookViewId="0">
      <selection activeCell="E18" sqref="E18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171</v>
      </c>
      <c r="G2" s="1" t="s">
        <v>446</v>
      </c>
      <c r="H2" s="11" t="s">
        <v>416</v>
      </c>
      <c r="I2" s="1" t="s">
        <v>466</v>
      </c>
      <c r="J2" s="1" t="s">
        <v>388</v>
      </c>
      <c r="K2" s="1">
        <v>7.5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3619</v>
      </c>
      <c r="G3" s="1" t="s">
        <v>446</v>
      </c>
      <c r="H3" s="11" t="s">
        <v>417</v>
      </c>
      <c r="J3" s="1" t="s">
        <v>389</v>
      </c>
      <c r="K3" s="1">
        <f t="shared" ref="K3:K12" si="0">IF(J3=0,0,IF(J3="P",0,IF(J3="L",-E3,IF(D3&lt;0,E3*(100/-D3),E3*(D3/100)))/1))</f>
        <v>-1.58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403</v>
      </c>
      <c r="G4" s="1" t="s">
        <v>446</v>
      </c>
      <c r="H4" s="11" t="s">
        <v>417</v>
      </c>
      <c r="I4" s="1" t="s">
        <v>466</v>
      </c>
      <c r="J4" s="1" t="s">
        <v>388</v>
      </c>
      <c r="K4" s="1">
        <v>7.5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446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444</v>
      </c>
      <c r="C6" s="1" t="s">
        <v>9</v>
      </c>
      <c r="D6" s="1">
        <v>816</v>
      </c>
      <c r="E6" s="1">
        <v>0.85</v>
      </c>
      <c r="F6" s="1">
        <v>468</v>
      </c>
      <c r="G6" s="1" t="s">
        <v>446</v>
      </c>
      <c r="H6" s="1" t="s">
        <v>469</v>
      </c>
      <c r="J6" s="1" t="s">
        <v>389</v>
      </c>
      <c r="K6" s="1">
        <f t="shared" si="0"/>
        <v>-0.85</v>
      </c>
    </row>
    <row r="7" spans="1:11" x14ac:dyDescent="0.2">
      <c r="A7" s="1" t="s">
        <v>415</v>
      </c>
      <c r="B7" s="1" t="s">
        <v>445</v>
      </c>
      <c r="C7" s="1" t="s">
        <v>10</v>
      </c>
      <c r="D7" s="1">
        <v>1725</v>
      </c>
      <c r="E7" s="1">
        <v>0.45</v>
      </c>
      <c r="F7" s="1">
        <v>265</v>
      </c>
      <c r="G7" s="1" t="s">
        <v>446</v>
      </c>
      <c r="H7" s="1" t="s">
        <v>469</v>
      </c>
      <c r="J7" s="1" t="s">
        <v>389</v>
      </c>
      <c r="K7" s="1">
        <f t="shared" si="0"/>
        <v>-0.45</v>
      </c>
    </row>
    <row r="8" spans="1:11" x14ac:dyDescent="0.2">
      <c r="A8" s="1" t="s">
        <v>415</v>
      </c>
      <c r="B8" s="1" t="s">
        <v>447</v>
      </c>
      <c r="C8" s="1" t="s">
        <v>23</v>
      </c>
      <c r="D8" s="1">
        <v>281</v>
      </c>
      <c r="E8" s="1">
        <v>0.65</v>
      </c>
      <c r="F8" s="1">
        <v>281</v>
      </c>
      <c r="G8" s="1" t="s">
        <v>446</v>
      </c>
      <c r="H8" s="1" t="s">
        <v>470</v>
      </c>
      <c r="J8" s="1" t="s">
        <v>389</v>
      </c>
      <c r="K8" s="1">
        <f t="shared" si="0"/>
        <v>-0.65</v>
      </c>
    </row>
    <row r="9" spans="1:11" x14ac:dyDescent="0.2">
      <c r="A9" s="1" t="s">
        <v>415</v>
      </c>
      <c r="B9" s="1" t="s">
        <v>447</v>
      </c>
      <c r="C9" s="1" t="s">
        <v>10</v>
      </c>
      <c r="D9" s="1">
        <v>155</v>
      </c>
      <c r="E9" s="1">
        <v>1</v>
      </c>
      <c r="F9" s="1">
        <v>155</v>
      </c>
      <c r="G9" s="1" t="s">
        <v>446</v>
      </c>
      <c r="H9" s="1" t="s">
        <v>470</v>
      </c>
      <c r="J9" s="1" t="s">
        <v>388</v>
      </c>
      <c r="K9" s="1">
        <f t="shared" si="0"/>
        <v>1.55</v>
      </c>
    </row>
    <row r="10" spans="1:11" x14ac:dyDescent="0.2">
      <c r="A10" s="1" t="s">
        <v>415</v>
      </c>
      <c r="B10" s="1" t="s">
        <v>448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446</v>
      </c>
      <c r="H10" s="1" t="s">
        <v>470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415</v>
      </c>
      <c r="B11" s="1" t="s">
        <v>447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446</v>
      </c>
      <c r="H11" s="1" t="s">
        <v>470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448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446</v>
      </c>
      <c r="H12" s="1" t="s">
        <v>470</v>
      </c>
      <c r="J12" s="1" t="s">
        <v>389</v>
      </c>
      <c r="K12" s="1">
        <f t="shared" si="0"/>
        <v>-1.0649999999999999</v>
      </c>
    </row>
    <row r="13" spans="1:11" x14ac:dyDescent="0.2">
      <c r="A13" s="1" t="s">
        <v>415</v>
      </c>
      <c r="B13" s="1" t="s">
        <v>445</v>
      </c>
      <c r="C13" s="1" t="s">
        <v>10</v>
      </c>
      <c r="D13" s="1">
        <v>-324</v>
      </c>
      <c r="E13" s="1">
        <v>6.2755999999999998</v>
      </c>
      <c r="F13" s="1">
        <v>-324</v>
      </c>
      <c r="G13" s="1" t="s">
        <v>446</v>
      </c>
      <c r="H13" s="1" t="s">
        <v>469</v>
      </c>
      <c r="I13" s="1" t="s">
        <v>465</v>
      </c>
      <c r="J13" s="1" t="s">
        <v>388</v>
      </c>
      <c r="K13" s="1">
        <f t="shared" ref="K13" si="1">IF(J13=0,0,IF(J13="P",0,IF(J13="L",-E13,IF(D13&lt;0,E13*(100/-D13),E13*(D13/100)))/1))</f>
        <v>1.9369135802469135</v>
      </c>
    </row>
    <row r="14" spans="1:11" x14ac:dyDescent="0.2">
      <c r="A14" s="1" t="s">
        <v>467</v>
      </c>
      <c r="B14" s="1" t="s">
        <v>412</v>
      </c>
      <c r="C14" s="1" t="s">
        <v>25</v>
      </c>
      <c r="D14" s="1">
        <v>6000</v>
      </c>
      <c r="E14" s="1">
        <v>0.66666999999999998</v>
      </c>
      <c r="G14" s="1" t="s">
        <v>413</v>
      </c>
      <c r="H14" s="1" t="s">
        <v>468</v>
      </c>
    </row>
    <row r="15" spans="1:11" x14ac:dyDescent="0.2">
      <c r="A15" s="1" t="s">
        <v>467</v>
      </c>
      <c r="B15" s="1" t="s">
        <v>412</v>
      </c>
      <c r="C15" s="1" t="s">
        <v>472</v>
      </c>
      <c r="D15" s="1">
        <v>8000</v>
      </c>
      <c r="E15" s="1">
        <v>0.5</v>
      </c>
      <c r="G15" s="1" t="s">
        <v>413</v>
      </c>
      <c r="H15" s="1" t="s">
        <v>471</v>
      </c>
    </row>
    <row r="16" spans="1:11" x14ac:dyDescent="0.2">
      <c r="A16" s="1" t="s">
        <v>467</v>
      </c>
      <c r="B16" s="1" t="s">
        <v>412</v>
      </c>
      <c r="C16" s="1" t="s">
        <v>5</v>
      </c>
      <c r="D16" s="1">
        <v>3500</v>
      </c>
      <c r="E16" s="1">
        <v>1.143</v>
      </c>
      <c r="G16" s="1" t="s">
        <v>413</v>
      </c>
      <c r="H16" s="1" t="s">
        <v>473</v>
      </c>
    </row>
    <row r="17" spans="1:8" x14ac:dyDescent="0.2">
      <c r="A17" s="1" t="s">
        <v>467</v>
      </c>
      <c r="B17" s="1" t="s">
        <v>412</v>
      </c>
      <c r="C17" s="1" t="s">
        <v>12</v>
      </c>
      <c r="D17" s="1">
        <v>3000</v>
      </c>
      <c r="E17" s="1">
        <v>1.3340000000000001</v>
      </c>
      <c r="G17" s="1" t="s">
        <v>413</v>
      </c>
      <c r="H17" s="1" t="s">
        <v>474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C2" sqref="C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F16" sqref="F1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2</v>
      </c>
      <c r="B2">
        <v>1</v>
      </c>
      <c r="C2">
        <v>1</v>
      </c>
      <c r="D2">
        <v>1</v>
      </c>
      <c r="E2">
        <v>1</v>
      </c>
      <c r="F2">
        <v>0.52110000000000001</v>
      </c>
      <c r="G2">
        <v>0.32505000000000001</v>
      </c>
      <c r="H2" t="s">
        <v>383</v>
      </c>
      <c r="I2">
        <v>1</v>
      </c>
      <c r="J2">
        <v>23.698276332727119</v>
      </c>
    </row>
    <row r="3" spans="1:10" x14ac:dyDescent="0.2">
      <c r="A3" t="s">
        <v>3</v>
      </c>
      <c r="B3">
        <v>1</v>
      </c>
      <c r="C3">
        <v>1</v>
      </c>
      <c r="D3">
        <v>1</v>
      </c>
      <c r="E3">
        <v>1</v>
      </c>
      <c r="F3">
        <v>0.47889999999999999</v>
      </c>
      <c r="G3">
        <v>0.28754999999999997</v>
      </c>
      <c r="H3" t="s">
        <v>382</v>
      </c>
      <c r="I3">
        <v>1</v>
      </c>
      <c r="J3">
        <v>23.168628302235671</v>
      </c>
    </row>
    <row r="4" spans="1:10" x14ac:dyDescent="0.2">
      <c r="A4" t="s">
        <v>13</v>
      </c>
      <c r="B4">
        <v>1</v>
      </c>
      <c r="C4">
        <v>1</v>
      </c>
      <c r="D4">
        <v>1</v>
      </c>
      <c r="E4">
        <v>1</v>
      </c>
      <c r="F4">
        <v>0.58645000000000003</v>
      </c>
      <c r="G4">
        <v>0.21340000000000001</v>
      </c>
      <c r="H4" t="s">
        <v>385</v>
      </c>
      <c r="I4">
        <v>3</v>
      </c>
      <c r="J4">
        <v>18.836157720404749</v>
      </c>
    </row>
    <row r="5" spans="1:10" x14ac:dyDescent="0.2">
      <c r="A5" t="s">
        <v>386</v>
      </c>
      <c r="B5">
        <v>1</v>
      </c>
      <c r="C5">
        <v>1</v>
      </c>
      <c r="D5">
        <v>1</v>
      </c>
      <c r="E5">
        <v>1</v>
      </c>
      <c r="F5">
        <v>0.41354999999999997</v>
      </c>
      <c r="G5">
        <v>0.17399999999999993</v>
      </c>
      <c r="H5" t="s">
        <v>384</v>
      </c>
      <c r="I5">
        <v>2</v>
      </c>
      <c r="J5">
        <v>18.116591097400342</v>
      </c>
    </row>
    <row r="6" spans="1:10" x14ac:dyDescent="0.2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 t="s">
        <v>382</v>
      </c>
      <c r="I6">
        <v>12</v>
      </c>
      <c r="J6">
        <v>10.607575381157361</v>
      </c>
    </row>
    <row r="7" spans="1:10" x14ac:dyDescent="0.2">
      <c r="A7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t="s">
        <v>382</v>
      </c>
      <c r="I7">
        <v>4</v>
      </c>
      <c r="J7">
        <v>19.656169100501039</v>
      </c>
    </row>
    <row r="8" spans="1:10" x14ac:dyDescent="0.2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t="s">
        <v>383</v>
      </c>
      <c r="I8">
        <v>4</v>
      </c>
      <c r="J8">
        <v>19.912380875616751</v>
      </c>
    </row>
    <row r="9" spans="1:10" x14ac:dyDescent="0.2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t="s">
        <v>383</v>
      </c>
      <c r="I9">
        <v>6</v>
      </c>
      <c r="J9">
        <v>16.968495718532171</v>
      </c>
    </row>
    <row r="10" spans="1:10" x14ac:dyDescent="0.2">
      <c r="A10" t="s">
        <v>132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">
        <v>384</v>
      </c>
      <c r="I10">
        <v>13</v>
      </c>
      <c r="J10">
        <v>4.7044196436570411</v>
      </c>
    </row>
    <row r="11" spans="1:10" x14ac:dyDescent="0.2">
      <c r="A11" t="s">
        <v>56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t="s">
        <v>385</v>
      </c>
      <c r="I11">
        <v>8</v>
      </c>
      <c r="J11">
        <v>11.029310509440901</v>
      </c>
    </row>
    <row r="12" spans="1:10" x14ac:dyDescent="0.2">
      <c r="A12" t="s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t="s">
        <v>384</v>
      </c>
      <c r="I12">
        <v>1</v>
      </c>
      <c r="J12">
        <v>23.057528028184478</v>
      </c>
    </row>
    <row r="13" spans="1:10" x14ac:dyDescent="0.2">
      <c r="A13" t="s">
        <v>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385</v>
      </c>
      <c r="I13">
        <v>1</v>
      </c>
      <c r="J13">
        <v>22.660012020194909</v>
      </c>
    </row>
    <row r="14" spans="1:10" x14ac:dyDescent="0.2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384</v>
      </c>
      <c r="I14">
        <v>15</v>
      </c>
      <c r="J14">
        <v>0.21312405184055919</v>
      </c>
    </row>
    <row r="15" spans="1:10" x14ac:dyDescent="0.2">
      <c r="A15" t="s">
        <v>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382</v>
      </c>
      <c r="I15">
        <v>8</v>
      </c>
      <c r="J15">
        <v>14.1383998729836</v>
      </c>
    </row>
    <row r="16" spans="1:10" x14ac:dyDescent="0.2">
      <c r="A16" t="s">
        <v>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383</v>
      </c>
      <c r="I16">
        <v>3</v>
      </c>
      <c r="J16">
        <v>20.97083468579552</v>
      </c>
    </row>
    <row r="17" spans="1:10" x14ac:dyDescent="0.2">
      <c r="A17" t="s">
        <v>154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t="s">
        <v>383</v>
      </c>
      <c r="I17">
        <v>13</v>
      </c>
      <c r="J17">
        <v>2.6083148574060759</v>
      </c>
    </row>
    <row r="18" spans="1:10" x14ac:dyDescent="0.2">
      <c r="A18" t="s">
        <v>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383</v>
      </c>
      <c r="I18">
        <v>12</v>
      </c>
      <c r="J18">
        <v>9.7941357758882948</v>
      </c>
    </row>
    <row r="19" spans="1:10" x14ac:dyDescent="0.2">
      <c r="A19" t="s">
        <v>182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382</v>
      </c>
      <c r="I19">
        <v>13</v>
      </c>
      <c r="J19">
        <v>2.1310612455384579</v>
      </c>
    </row>
    <row r="20" spans="1:10" x14ac:dyDescent="0.2">
      <c r="A20" t="s">
        <v>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385</v>
      </c>
      <c r="I20">
        <v>2</v>
      </c>
      <c r="J20">
        <v>20.908506008479328</v>
      </c>
    </row>
    <row r="21" spans="1:10" x14ac:dyDescent="0.2">
      <c r="A21" t="s">
        <v>293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382</v>
      </c>
      <c r="I21">
        <v>16</v>
      </c>
      <c r="J21">
        <v>-7.2185591209035449</v>
      </c>
    </row>
    <row r="22" spans="1:10" x14ac:dyDescent="0.2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385</v>
      </c>
      <c r="I22">
        <v>15</v>
      </c>
      <c r="J22">
        <v>3.942693201935243</v>
      </c>
    </row>
    <row r="23" spans="1:10" x14ac:dyDescent="0.2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385</v>
      </c>
      <c r="I23">
        <v>9</v>
      </c>
      <c r="J23">
        <v>15.53395662020711</v>
      </c>
    </row>
    <row r="24" spans="1:10" x14ac:dyDescent="0.2">
      <c r="A24" t="s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382</v>
      </c>
      <c r="I24">
        <v>2</v>
      </c>
      <c r="J24">
        <v>20.65655264831895</v>
      </c>
    </row>
    <row r="25" spans="1:10" x14ac:dyDescent="0.2">
      <c r="A25" t="s">
        <v>20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384</v>
      </c>
      <c r="I25">
        <v>4</v>
      </c>
      <c r="J25">
        <v>16.816980413993029</v>
      </c>
    </row>
    <row r="26" spans="1:10" x14ac:dyDescent="0.2">
      <c r="A26" t="s">
        <v>92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383</v>
      </c>
      <c r="I26">
        <v>14</v>
      </c>
      <c r="J26">
        <v>6.970747918389864</v>
      </c>
    </row>
    <row r="27" spans="1:10" x14ac:dyDescent="0.2">
      <c r="A27" t="s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382</v>
      </c>
      <c r="I27">
        <v>7</v>
      </c>
      <c r="J27">
        <v>18.061704750271812</v>
      </c>
    </row>
    <row r="28" spans="1:10" x14ac:dyDescent="0.2">
      <c r="A28" t="s">
        <v>275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383</v>
      </c>
      <c r="I28">
        <v>16</v>
      </c>
      <c r="J28">
        <v>-5.3135212359347586</v>
      </c>
    </row>
    <row r="29" spans="1:10" x14ac:dyDescent="0.2">
      <c r="A29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384</v>
      </c>
      <c r="I29">
        <v>6</v>
      </c>
      <c r="J29">
        <v>16.63084451378386</v>
      </c>
    </row>
    <row r="30" spans="1:10" x14ac:dyDescent="0.2">
      <c r="A30" t="s">
        <v>89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385</v>
      </c>
      <c r="I30">
        <v>12</v>
      </c>
      <c r="J30">
        <v>7.3588143041314016</v>
      </c>
    </row>
    <row r="31" spans="1:10" x14ac:dyDescent="0.2">
      <c r="A31" t="s">
        <v>53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383</v>
      </c>
      <c r="I31">
        <v>7</v>
      </c>
      <c r="J31">
        <v>12.241609973382021</v>
      </c>
    </row>
    <row r="32" spans="1:10" x14ac:dyDescent="0.2">
      <c r="A32" t="s">
        <v>78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382</v>
      </c>
      <c r="I32">
        <v>11</v>
      </c>
      <c r="J32">
        <v>7.7373456911862846</v>
      </c>
    </row>
    <row r="33" spans="1:10" x14ac:dyDescent="0.2">
      <c r="A33" t="s">
        <v>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384</v>
      </c>
      <c r="I33">
        <v>3</v>
      </c>
      <c r="J33">
        <v>19.99120546697802</v>
      </c>
    </row>
    <row r="34" spans="1:10" x14ac:dyDescent="0.2">
      <c r="A34" t="s">
        <v>50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383</v>
      </c>
      <c r="I34">
        <v>10</v>
      </c>
      <c r="J34">
        <v>11.96195079214662</v>
      </c>
    </row>
    <row r="35" spans="1:10" x14ac:dyDescent="0.2">
      <c r="A35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385</v>
      </c>
      <c r="I35">
        <v>4</v>
      </c>
      <c r="J35">
        <v>15.83213015954283</v>
      </c>
    </row>
    <row r="36" spans="1:10" x14ac:dyDescent="0.2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385</v>
      </c>
      <c r="I36">
        <v>6</v>
      </c>
      <c r="J36">
        <v>13.97752668447534</v>
      </c>
    </row>
    <row r="37" spans="1:10" x14ac:dyDescent="0.2">
      <c r="A37" t="s">
        <v>138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384</v>
      </c>
      <c r="I37">
        <v>14</v>
      </c>
      <c r="J37">
        <v>3.8798755560939222</v>
      </c>
    </row>
    <row r="38" spans="1:10" x14ac:dyDescent="0.2">
      <c r="A38" t="s">
        <v>77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384</v>
      </c>
      <c r="I38">
        <v>12</v>
      </c>
      <c r="J38">
        <v>9.0872035902891817</v>
      </c>
    </row>
    <row r="39" spans="1:10" x14ac:dyDescent="0.2">
      <c r="A39" t="s">
        <v>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384</v>
      </c>
      <c r="I39">
        <v>8</v>
      </c>
      <c r="J39">
        <v>14.73771853734006</v>
      </c>
    </row>
    <row r="40" spans="1:10" x14ac:dyDescent="0.2">
      <c r="A40" t="s">
        <v>221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385</v>
      </c>
      <c r="I40">
        <v>14</v>
      </c>
      <c r="J40">
        <v>-0.36300712066444207</v>
      </c>
    </row>
    <row r="41" spans="1:10" x14ac:dyDescent="0.2">
      <c r="A41" t="s">
        <v>319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385</v>
      </c>
      <c r="I41">
        <v>16</v>
      </c>
      <c r="J41">
        <v>-11.44814822660846</v>
      </c>
    </row>
    <row r="42" spans="1:10" x14ac:dyDescent="0.2">
      <c r="A42" t="s">
        <v>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383</v>
      </c>
      <c r="I42">
        <v>2</v>
      </c>
      <c r="J42">
        <v>20.95234284206305</v>
      </c>
    </row>
    <row r="43" spans="1:10" x14ac:dyDescent="0.2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383</v>
      </c>
      <c r="I43">
        <v>15</v>
      </c>
      <c r="J43">
        <v>-2.423138952361608</v>
      </c>
    </row>
    <row r="44" spans="1:10" x14ac:dyDescent="0.2">
      <c r="A44" t="s">
        <v>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382</v>
      </c>
      <c r="I44">
        <v>9</v>
      </c>
      <c r="J44">
        <v>12.90381283391684</v>
      </c>
    </row>
    <row r="45" spans="1:10" x14ac:dyDescent="0.2">
      <c r="A45" t="s">
        <v>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385</v>
      </c>
      <c r="I45">
        <v>7</v>
      </c>
      <c r="J45">
        <v>15.029836879013709</v>
      </c>
    </row>
    <row r="46" spans="1:10" x14ac:dyDescent="0.2">
      <c r="A46" t="s">
        <v>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382</v>
      </c>
      <c r="I46">
        <v>10</v>
      </c>
      <c r="J46">
        <v>15.748134392962729</v>
      </c>
    </row>
    <row r="47" spans="1:10" x14ac:dyDescent="0.2">
      <c r="A47" t="s">
        <v>316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384</v>
      </c>
      <c r="I47">
        <v>16</v>
      </c>
      <c r="J47">
        <v>-9.5097540407855199</v>
      </c>
    </row>
    <row r="48" spans="1:10" x14ac:dyDescent="0.2">
      <c r="A48" t="s">
        <v>55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384</v>
      </c>
      <c r="I48">
        <v>11</v>
      </c>
      <c r="J48">
        <v>10.63039633378199</v>
      </c>
    </row>
    <row r="49" spans="1:10" x14ac:dyDescent="0.2">
      <c r="A49" t="s">
        <v>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384</v>
      </c>
      <c r="I49">
        <v>5</v>
      </c>
      <c r="J49">
        <v>15.127354829706849</v>
      </c>
    </row>
    <row r="50" spans="1:10" x14ac:dyDescent="0.2">
      <c r="A50" t="s">
        <v>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9</v>
      </c>
      <c r="J50">
        <v>12.689579175374289</v>
      </c>
    </row>
    <row r="51" spans="1:10" x14ac:dyDescent="0.2">
      <c r="A51" t="s">
        <v>10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382</v>
      </c>
      <c r="I51">
        <v>6</v>
      </c>
      <c r="J51">
        <v>20.60232878669483</v>
      </c>
    </row>
    <row r="52" spans="1:10" x14ac:dyDescent="0.2">
      <c r="A52" t="s">
        <v>186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382</v>
      </c>
      <c r="I52">
        <v>15</v>
      </c>
      <c r="J52">
        <v>1.2683199118622079</v>
      </c>
    </row>
    <row r="53" spans="1:10" x14ac:dyDescent="0.2">
      <c r="A53" t="s">
        <v>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383</v>
      </c>
      <c r="I53">
        <v>11</v>
      </c>
      <c r="J53">
        <v>14.540908746576729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382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383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383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382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2026-04-21T02:07:52Z</dcterms:modified>
</cp:coreProperties>
</file>