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13A3AF17-59FC-6E41-A32B-5B838C2BECB6}" xr6:coauthVersionLast="47" xr6:coauthVersionMax="47" xr10:uidLastSave="{00000000-0000-0000-0000-000000000000}"/>
  <bookViews>
    <workbookView xWindow="0" yWindow="780" windowWidth="21500" windowHeight="1996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2" i="1" l="1"/>
  <c r="H2" i="1" l="1"/>
  <c r="L2" i="1" s="1"/>
  <c r="I2" i="1"/>
  <c r="G2" i="1"/>
</calcChain>
</file>

<file path=xl/sharedStrings.xml><?xml version="1.0" encoding="utf-8"?>
<sst xmlns="http://schemas.openxmlformats.org/spreadsheetml/2006/main" count="737" uniqueCount="474">
  <si>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</si>
  <si>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</si>
  <si>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</si>
  <si>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</si>
  <si>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</si>
  <si>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</si>
  <si>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</si>
  <si>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</si>
  <si>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</si>
  <si>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</si>
  <si>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</si>
  <si>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</si>
  <si>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</si>
  <si>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</si>
  <si>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</si>
  <si>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</si>
  <si>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</si>
  <si>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</si>
  <si>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</si>
  <si>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</si>
  <si>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</si>
  <si>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</si>
  <si>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</si>
  <si>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</si>
  <si>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</si>
  <si>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</si>
  <si>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</si>
  <si>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</si>
  <si>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</si>
  <si>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</si>
  <si>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</si>
  <si>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</si>
  <si>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</si>
  <si>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</si>
  <si>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</si>
  <si>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</si>
  <si>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</si>
  <si>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</si>
  <si>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</si>
  <si>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</si>
  <si>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</si>
  <si>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</si>
  <si>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</si>
  <si>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</si>
  <si>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</si>
  <si>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</si>
  <si>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</si>
  <si>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</si>
  <si>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</si>
  <si>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</si>
  <si>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</si>
  <si>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</si>
  <si>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</si>
  <si>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</si>
  <si>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</si>
  <si>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</si>
  <si>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</si>
  <si>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</si>
  <si>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</si>
  <si>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</si>
  <si>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</si>
  <si>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</si>
  <si>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</si>
  <si>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</si>
  <si>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</si>
  <si>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</si>
  <si>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</si>
  <si>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</si>
  <si>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</si>
  <si>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</si>
  <si>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</si>
  <si>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</si>
  <si>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</si>
  <si>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</si>
  <si>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</si>
  <si>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</si>
  <si>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</si>
  <si>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</si>
  <si>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</si>
  <si>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</si>
  <si>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</si>
  <si>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</si>
  <si>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</si>
  <si>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</si>
  <si>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</si>
  <si>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</si>
  <si>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</si>
  <si>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</si>
  <si>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</si>
  <si>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</si>
  <si>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</si>
  <si>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</si>
  <si>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</si>
  <si>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</si>
  <si>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</si>
  <si>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</si>
  <si>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</si>
  <si>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</si>
  <si>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</si>
  <si>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</si>
  <si>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</si>
  <si>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</si>
  <si>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</si>
  <si>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</si>
  <si>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</si>
  <si>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</si>
  <si>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</si>
  <si>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</si>
  <si>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</si>
  <si>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</si>
  <si>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</si>
  <si>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</si>
  <si>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</si>
  <si>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</si>
  <si>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</si>
  <si>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</si>
  <si>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</si>
  <si>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</si>
  <si>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</si>
  <si>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</si>
  <si>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</si>
  <si>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</si>
  <si>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</si>
  <si>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</si>
  <si>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</si>
  <si>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</si>
  <si>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</si>
  <si>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</si>
  <si>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</si>
  <si>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</si>
  <si>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</si>
  <si>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</si>
  <si>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</si>
  <si>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</si>
  <si>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</si>
  <si>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</si>
  <si>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</si>
  <si>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</si>
  <si>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</si>
  <si>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</si>
  <si>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</si>
  <si>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</si>
  <si>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</si>
  <si>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</si>
  <si>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</si>
  <si>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</si>
  <si>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</si>
  <si>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</si>
  <si>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</si>
  <si>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</si>
  <si>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</si>
  <si>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</si>
  <si>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</si>
  <si>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</si>
  <si>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</si>
  <si>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</si>
  <si>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</si>
  <si>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</si>
  <si>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</si>
  <si>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</si>
  <si>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</si>
  <si>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</si>
  <si>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</si>
  <si>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</si>
  <si>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</si>
  <si>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</si>
  <si>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</si>
  <si>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</si>
  <si>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</si>
  <si>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</si>
  <si>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</si>
  <si>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</si>
  <si>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</si>
  <si>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</si>
  <si>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</si>
  <si>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</si>
  <si>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</si>
  <si>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</si>
  <si>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</si>
  <si>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</si>
  <si>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</si>
  <si>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</si>
  <si>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</si>
  <si>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</si>
  <si>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</si>
  <si>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</si>
  <si>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</si>
  <si>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</si>
  <si>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</si>
  <si>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</si>
  <si>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</si>
  <si>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</si>
  <si>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</si>
  <si>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</si>
  <si>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</si>
  <si>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</si>
  <si>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</si>
  <si>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</si>
  <si>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</si>
  <si>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</si>
  <si>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</si>
  <si>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</si>
  <si>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</si>
  <si>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</si>
  <si>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</si>
  <si>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</si>
  <si>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</si>
  <si>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</si>
  <si>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</si>
  <si>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</si>
  <si>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</si>
  <si>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</si>
  <si>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</si>
  <si>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</si>
  <si>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</si>
  <si>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</si>
  <si>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</si>
  <si>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</si>
  <si>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</si>
  <si>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</si>
  <si>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</si>
  <si>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</si>
  <si>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</si>
  <si>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</si>
  <si>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</si>
  <si>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</si>
  <si>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</si>
  <si>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</si>
  <si>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</si>
  <si>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</si>
  <si>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</si>
  <si>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</si>
  <si>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</si>
  <si>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</si>
  <si>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</si>
  <si>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</si>
  <si>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</si>
  <si>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</si>
  <si>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</si>
  <si>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</si>
  <si>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</si>
  <si>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</si>
  <si>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</si>
  <si>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</si>
  <si>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</si>
  <si>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</si>
  <si>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</si>
  <si>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</si>
  <si>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</si>
  <si>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</si>
  <si>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</si>
  <si>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</si>
  <si>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</si>
  <si>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</si>
  <si>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</si>
  <si>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</si>
  <si>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</si>
  <si>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</si>
  <si>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</si>
  <si>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</si>
  <si>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</si>
  <si>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</si>
  <si>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</si>
  <si>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</si>
  <si>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</si>
  <si>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</si>
  <si>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</si>
  <si>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</si>
  <si>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</si>
  <si>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</si>
  <si>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</si>
  <si>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</si>
  <si>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</si>
  <si>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</si>
  <si>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</si>
  <si>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</si>
  <si>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</si>
  <si>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</si>
  <si>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</si>
  <si>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</si>
  <si>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</si>
  <si>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</si>
  <si>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</si>
  <si>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</si>
  <si>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</si>
  <si>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</si>
  <si>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</si>
  <si>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</si>
  <si>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</si>
  <si>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</si>
  <si>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</si>
  <si>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</si>
  <si>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</si>
  <si>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</si>
  <si>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</si>
  <si>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</si>
  <si>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</si>
  <si>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</si>
  <si>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</si>
  <si>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</si>
  <si>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</si>
  <si>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</si>
  <si>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</si>
  <si>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</si>
  <si>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</si>
  <si>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</si>
  <si>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</si>
  <si>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</si>
  <si>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</si>
  <si>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</si>
  <si>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</si>
  <si>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</si>
  <si>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</si>
  <si>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</si>
  <si>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</si>
  <si>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</si>
  <si>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</si>
  <si>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</si>
  <si>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</si>
  <si>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</si>
  <si>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</si>
  <si>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</si>
  <si>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</si>
  <si>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</si>
  <si>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</si>
  <si>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</si>
  <si>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</si>
  <si>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</si>
  <si>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</si>
  <si>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</si>
  <si>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</si>
  <si>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</si>
  <si>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</si>
  <si>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</si>
  <si>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</si>
  <si>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</si>
  <si>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</si>
  <si>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</si>
  <si>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</si>
  <si>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</si>
  <si>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</si>
  <si>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</si>
  <si>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</si>
  <si>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</si>
  <si>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</si>
  <si>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</si>
  <si>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</si>
  <si>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</si>
  <si>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</si>
  <si>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</si>
  <si>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</si>
  <si>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</si>
  <si>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</si>
  <si>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</si>
  <si>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</si>
  <si>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</si>
  <si>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</si>
  <si>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</si>
  <si>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</si>
  <si>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</si>
  <si>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</si>
  <si>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</si>
  <si>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</si>
  <si>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</si>
  <si>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</si>
  <si>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</si>
  <si>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</si>
  <si>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</si>
  <si>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</si>
  <si>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</si>
  <si>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</si>
  <si>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</si>
  <si>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</si>
  <si>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</si>
  <si>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</si>
  <si>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</si>
  <si>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</si>
  <si>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</si>
  <si>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</si>
  <si>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</si>
  <si>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</si>
  <si>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</si>
  <si>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</si>
  <si>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</si>
  <si>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</si>
  <si>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</si>
  <si>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</si>
  <si>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</si>
  <si>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</si>
  <si>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</si>
  <si>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</si>
  <si>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</si>
  <si>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</si>
  <si>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</si>
  <si>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</si>
  <si>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</si>
  <si>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</si>
  <si>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</si>
  <si>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</si>
  <si>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</si>
  <si>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</si>
  <si>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</si>
  <si>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</si>
  <si>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</si>
  <si>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</si>
  <si>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</si>
  <si>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</si>
  <si>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</si>
  <si>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</si>
  <si>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</si>
  <si>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</si>
  <si>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</si>
  <si>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</si>
  <si>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</si>
  <si>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</si>
  <si>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</si>
  <si>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</si>
  <si>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</si>
  <si>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</si>
  <si>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</si>
  <si>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</si>
  <si>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</si>
  <si>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</si>
  <si>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</si>
  <si>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</si>
  <si>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</si>
  <si>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</si>
  <si>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</si>
  <si>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</si>
  <si>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</si>
  <si>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</si>
  <si>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</si>
  <si>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</si>
  <si>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</si>
  <si>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</si>
  <si>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</si>
  <si>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</si>
  <si>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</si>
  <si>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</si>
  <si>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</si>
  <si>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</si>
  <si>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</si>
  <si>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</si>
  <si>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</si>
  <si>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East Region Winner</t>
  </si>
  <si>
    <t>Midwest Region Winner</t>
  </si>
  <si>
    <t>Closed</t>
  </si>
  <si>
    <t>Reach Sweet 16 - Yes</t>
  </si>
  <si>
    <t>Reach Sweet 16 - No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</si>
  <si>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</si>
  <si>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</si>
  <si>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</si>
  <si>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</si>
  <si>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</si>
  <si>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</si>
  <si>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</si>
  <si>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</si>
  <si>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</si>
  <si>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</si>
  <si>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</si>
  <si>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</si>
  <si>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</si>
  <si>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</si>
  <si>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</si>
  <si>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</si>
  <si>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</si>
  <si>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</si>
  <si>
    <t>2026-27</t>
  </si>
  <si>
    <t>04/11/2026</t>
  </si>
  <si>
    <t>03/15/2026</t>
  </si>
  <si>
    <t>03/16/2026</t>
  </si>
  <si>
    <t>04/15/2026</t>
  </si>
  <si>
    <t>USC</t>
  </si>
  <si>
    <t>04/18/2026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</si>
</sst>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UConn</v>
          </cell>
          <cell r="D2" t="str">
            <v>Michigan</v>
          </cell>
          <cell r="E2">
            <v>-3.9870333483830418</v>
          </cell>
          <cell r="F2" t="b">
            <v>0</v>
          </cell>
          <cell r="G2">
            <v>0.57468333957489515</v>
          </cell>
          <cell r="H2">
            <v>0</v>
          </cell>
          <cell r="I2">
            <v>9.712273918843628E-2</v>
          </cell>
          <cell r="J2">
            <v>5.1676547655618021E-2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Uconn</v>
          </cell>
          <cell r="E3">
            <v>9.4138169436454788</v>
          </cell>
          <cell r="F3" t="b">
            <v>0</v>
          </cell>
          <cell r="G3">
            <v>0.55995832643338628</v>
          </cell>
          <cell r="H3">
            <v>0</v>
          </cell>
          <cell r="I3">
            <v>6.901135046373752E-2</v>
          </cell>
          <cell r="J3">
            <v>0.43705408374879218</v>
          </cell>
          <cell r="K3">
            <v>0</v>
          </cell>
        </row>
        <row r="4">
          <cell r="B4">
            <v>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>
            <v>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UConn</v>
          </cell>
          <cell r="C2" t="str">
            <v>Michigan</v>
          </cell>
          <cell r="D2">
            <v>18.116591097400342</v>
          </cell>
          <cell r="E2">
            <v>100.0952772073922</v>
          </cell>
          <cell r="F2">
            <v>94.276311107817818</v>
          </cell>
          <cell r="G2">
            <v>0.55882352941176472</v>
          </cell>
          <cell r="H2">
            <v>66.089696969696973</v>
          </cell>
          <cell r="I2">
            <v>58.727272727272727</v>
          </cell>
          <cell r="J2">
            <v>17.696969696969695</v>
          </cell>
          <cell r="K2">
            <v>11.454545454545455</v>
          </cell>
          <cell r="L2">
            <v>11.030303030303031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7</v>
          </cell>
        </row>
        <row r="3">
          <cell r="A3">
            <v>2</v>
          </cell>
          <cell r="B3" t="str">
            <v>Michigan</v>
          </cell>
          <cell r="C3" t="str">
            <v>Uconn</v>
          </cell>
          <cell r="D3">
            <v>23.168628302235671</v>
          </cell>
          <cell r="E3">
            <v>98.200984374253366</v>
          </cell>
          <cell r="F3">
            <v>96.398308125131024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M2" sqref="M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1</v>
      </c>
      <c r="B2" s="6" t="str">
        <f>VLOOKUP(A2,[1]Games!$B$2:$K$398,2,FALSE)</f>
        <v>UConn</v>
      </c>
      <c r="C2" s="6" t="str">
        <f>VLOOKUP(A2,[1]Games!$B$2:$K$398,3,FALSE)</f>
        <v>Michigan</v>
      </c>
      <c r="D2" s="6" t="str">
        <f>B2</f>
        <v>UConn</v>
      </c>
      <c r="E2" s="5">
        <f>VLOOKUP(A2,[1]Games!$B$2:$K$398,4,FALSE)</f>
        <v>-3.9870333483830418</v>
      </c>
      <c r="F2" s="5">
        <f>-VLOOKUP(A2,[2]Games!$A$2:$X$282,24,FALSE)</f>
        <v>-7</v>
      </c>
      <c r="G2" s="7">
        <f>VLOOKUP(A2,[1]Games!$B$2:$K$398,9,FALSE)</f>
        <v>5.1676547655618021E-2</v>
      </c>
      <c r="H2" s="7">
        <f>VLOOKUP(A2,[1]Games!$B$2:$K$398,7,FALSE)</f>
        <v>0</v>
      </c>
      <c r="I2" s="7">
        <f>VLOOKUP(A2,[1]Games!$B$2:$K$398,8,FALSE)/4</f>
        <v>2.428068479710907E-2</v>
      </c>
      <c r="J2" s="8" t="s">
        <v>443</v>
      </c>
      <c r="K2" s="5"/>
      <c r="L2" s="9">
        <f>IF(J2="Yes",(H2*1500)/100,0)</f>
        <v>0</v>
      </c>
      <c r="M2" s="1" t="s">
        <v>443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8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449</v>
      </c>
      <c r="B17" s="1">
        <f t="shared" si="4"/>
        <v>12</v>
      </c>
      <c r="C17" s="1" t="s">
        <v>388</v>
      </c>
      <c r="D17" s="1" t="s">
        <v>450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451</v>
      </c>
      <c r="B18" s="1">
        <f t="shared" si="4"/>
        <v>13</v>
      </c>
      <c r="C18" s="1" t="s">
        <v>388</v>
      </c>
      <c r="D18" s="1" t="s">
        <v>454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451</v>
      </c>
      <c r="B19" s="1">
        <f t="shared" si="4"/>
        <v>14</v>
      </c>
      <c r="C19" s="1" t="s">
        <v>389</v>
      </c>
      <c r="D19" s="1" t="s">
        <v>455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451</v>
      </c>
      <c r="B20" s="1">
        <f t="shared" si="4"/>
        <v>15</v>
      </c>
      <c r="C20" s="1" t="s">
        <v>388</v>
      </c>
      <c r="D20" s="1" t="s">
        <v>453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451</v>
      </c>
      <c r="B21" s="1">
        <f t="shared" si="4"/>
        <v>16</v>
      </c>
      <c r="C21" s="1" t="s">
        <v>388</v>
      </c>
      <c r="D21" s="1" t="s">
        <v>452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456</v>
      </c>
      <c r="B22" s="1">
        <f t="shared" si="4"/>
        <v>17</v>
      </c>
      <c r="C22" s="1" t="s">
        <v>388</v>
      </c>
      <c r="D22" s="1" t="s">
        <v>457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456</v>
      </c>
      <c r="B23" s="1">
        <f t="shared" si="4"/>
        <v>18</v>
      </c>
      <c r="C23" s="1" t="s">
        <v>388</v>
      </c>
      <c r="D23" s="1" t="s">
        <v>457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456</v>
      </c>
      <c r="B24" s="1">
        <f t="shared" si="4"/>
        <v>19</v>
      </c>
      <c r="C24" s="1" t="s">
        <v>388</v>
      </c>
      <c r="D24" s="1" t="s">
        <v>458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459</v>
      </c>
      <c r="B25" s="1">
        <f t="shared" si="4"/>
        <v>20</v>
      </c>
      <c r="C25" s="1" t="s">
        <v>388</v>
      </c>
      <c r="D25" s="1" t="s">
        <v>460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459</v>
      </c>
      <c r="B26" s="1">
        <f t="shared" si="4"/>
        <v>21</v>
      </c>
      <c r="C26" s="1" t="s">
        <v>388</v>
      </c>
      <c r="D26" s="1" t="s">
        <v>461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462</v>
      </c>
      <c r="B27" s="1">
        <f t="shared" si="4"/>
        <v>22</v>
      </c>
      <c r="C27" s="1" t="s">
        <v>389</v>
      </c>
      <c r="D27" s="1" t="s">
        <v>463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415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462</v>
      </c>
      <c r="B28" s="1">
        <f t="shared" si="4"/>
        <v>23</v>
      </c>
      <c r="C28" s="1" t="s">
        <v>388</v>
      </c>
      <c r="D28" s="1" t="s">
        <v>464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415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6"/>
  <sheetViews>
    <sheetView tabSelected="1" workbookViewId="0">
      <selection activeCell="D29" sqref="D29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171</v>
      </c>
      <c r="G2" s="1" t="s">
        <v>446</v>
      </c>
      <c r="H2" s="11" t="s">
        <v>416</v>
      </c>
      <c r="I2" s="1" t="s">
        <v>466</v>
      </c>
      <c r="J2" s="1" t="s">
        <v>388</v>
      </c>
      <c r="K2" s="1">
        <v>7.5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446</v>
      </c>
      <c r="H3" s="11" t="s">
        <v>417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403</v>
      </c>
      <c r="G4" s="1" t="s">
        <v>446</v>
      </c>
      <c r="H4" s="11" t="s">
        <v>417</v>
      </c>
      <c r="I4" s="1" t="s">
        <v>466</v>
      </c>
      <c r="J4" s="1" t="s">
        <v>388</v>
      </c>
      <c r="K4" s="1">
        <v>7.5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446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444</v>
      </c>
      <c r="C6" s="1" t="s">
        <v>9</v>
      </c>
      <c r="D6" s="1">
        <v>816</v>
      </c>
      <c r="E6" s="1">
        <v>0.85</v>
      </c>
      <c r="F6" s="1">
        <v>468</v>
      </c>
      <c r="G6" s="1" t="s">
        <v>446</v>
      </c>
      <c r="H6" s="1" t="s">
        <v>469</v>
      </c>
      <c r="J6" s="1" t="s">
        <v>389</v>
      </c>
      <c r="K6" s="1">
        <f t="shared" si="0"/>
        <v>-0.85</v>
      </c>
    </row>
    <row r="7" spans="1:11" x14ac:dyDescent="0.2">
      <c r="A7" s="1" t="s">
        <v>415</v>
      </c>
      <c r="B7" s="1" t="s">
        <v>445</v>
      </c>
      <c r="C7" s="1" t="s">
        <v>10</v>
      </c>
      <c r="D7" s="1">
        <v>1725</v>
      </c>
      <c r="E7" s="1">
        <v>0.45</v>
      </c>
      <c r="F7" s="1">
        <v>265</v>
      </c>
      <c r="G7" s="1" t="s">
        <v>446</v>
      </c>
      <c r="H7" s="1" t="s">
        <v>469</v>
      </c>
      <c r="J7" s="1" t="s">
        <v>389</v>
      </c>
      <c r="K7" s="1">
        <f t="shared" si="0"/>
        <v>-0.45</v>
      </c>
    </row>
    <row r="8" spans="1:11" x14ac:dyDescent="0.2">
      <c r="A8" s="1" t="s">
        <v>415</v>
      </c>
      <c r="B8" s="1" t="s">
        <v>447</v>
      </c>
      <c r="C8" s="1" t="s">
        <v>23</v>
      </c>
      <c r="D8" s="1">
        <v>281</v>
      </c>
      <c r="E8" s="1">
        <v>0.65</v>
      </c>
      <c r="F8" s="1">
        <v>281</v>
      </c>
      <c r="G8" s="1" t="s">
        <v>446</v>
      </c>
      <c r="H8" s="1" t="s">
        <v>470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447</v>
      </c>
      <c r="C9" s="1" t="s">
        <v>10</v>
      </c>
      <c r="D9" s="1">
        <v>155</v>
      </c>
      <c r="E9" s="1">
        <v>1</v>
      </c>
      <c r="F9" s="1">
        <v>155</v>
      </c>
      <c r="G9" s="1" t="s">
        <v>446</v>
      </c>
      <c r="H9" s="1" t="s">
        <v>470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448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446</v>
      </c>
      <c r="H10" s="1" t="s">
        <v>470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447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446</v>
      </c>
      <c r="H11" s="1" t="s">
        <v>470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448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446</v>
      </c>
      <c r="H12" s="1" t="s">
        <v>470</v>
      </c>
      <c r="J12" s="1" t="s">
        <v>389</v>
      </c>
      <c r="K12" s="1">
        <f t="shared" si="0"/>
        <v>-1.0649999999999999</v>
      </c>
    </row>
    <row r="13" spans="1:11" x14ac:dyDescent="0.2">
      <c r="A13" s="1" t="s">
        <v>415</v>
      </c>
      <c r="B13" s="1" t="s">
        <v>445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446</v>
      </c>
      <c r="H13" s="1" t="s">
        <v>469</v>
      </c>
      <c r="I13" s="1" t="s">
        <v>465</v>
      </c>
      <c r="J13" s="1" t="s">
        <v>388</v>
      </c>
      <c r="K13" s="1">
        <f t="shared" ref="K13" si="1">IF(J13=0,0,IF(J13="P",0,IF(J13="L",-E13,IF(D13&lt;0,E13*(100/-D13),E13*(D13/100)))/1))</f>
        <v>1.9369135802469135</v>
      </c>
    </row>
    <row r="14" spans="1:11" x14ac:dyDescent="0.2">
      <c r="A14" s="1" t="s">
        <v>467</v>
      </c>
      <c r="B14" s="1" t="s">
        <v>412</v>
      </c>
      <c r="C14" s="1" t="s">
        <v>25</v>
      </c>
      <c r="D14" s="1">
        <v>6000</v>
      </c>
      <c r="E14" s="1">
        <v>0.66666999999999998</v>
      </c>
      <c r="G14" s="1" t="s">
        <v>413</v>
      </c>
      <c r="H14" s="1" t="s">
        <v>468</v>
      </c>
    </row>
    <row r="15" spans="1:11" x14ac:dyDescent="0.2">
      <c r="A15" s="1" t="s">
        <v>467</v>
      </c>
      <c r="B15" s="1" t="s">
        <v>412</v>
      </c>
      <c r="C15" s="1" t="s">
        <v>472</v>
      </c>
      <c r="D15" s="1">
        <v>8000</v>
      </c>
      <c r="E15" s="1">
        <v>0.5</v>
      </c>
      <c r="G15" s="1" t="s">
        <v>413</v>
      </c>
      <c r="H15" s="1" t="s">
        <v>471</v>
      </c>
    </row>
    <row r="16" spans="1:11" x14ac:dyDescent="0.2">
      <c r="A16" s="1" t="s">
        <v>467</v>
      </c>
      <c r="B16" s="1" t="s">
        <v>412</v>
      </c>
      <c r="C16" s="1" t="s">
        <v>5</v>
      </c>
      <c r="D16" s="1">
        <v>3500</v>
      </c>
      <c r="E16" s="1">
        <v>1.143</v>
      </c>
      <c r="G16" s="1" t="s">
        <v>413</v>
      </c>
      <c r="H16" s="1" t="s">
        <v>473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C2" sqref="C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383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382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385</v>
      </c>
      <c r="I4">
        <v>3</v>
      </c>
      <c r="J4">
        <v>18.836157720404749</v>
      </c>
    </row>
    <row r="5" spans="1:10" x14ac:dyDescent="0.2">
      <c r="A5" t="s">
        <v>386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384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382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382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383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383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384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385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384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385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382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383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383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383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382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385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382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384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382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384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383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382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384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385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384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385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383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383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382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382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384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2026-04-18T23:35:02Z</dcterms:modified>
</cp:coreProperties>
</file>